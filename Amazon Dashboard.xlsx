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Rajat\DATA Analyst\Projects\"/>
    </mc:Choice>
  </mc:AlternateContent>
  <xr:revisionPtr revIDLastSave="0" documentId="13_ncr:1_{9D9BE2C5-6F1B-4FE3-825B-7C9A645561A2}" xr6:coauthVersionLast="47" xr6:coauthVersionMax="47" xr10:uidLastSave="{00000000-0000-0000-0000-000000000000}"/>
  <bookViews>
    <workbookView xWindow="-120" yWindow="-120" windowWidth="20730" windowHeight="11040" activeTab="2" xr2:uid="{9CED7E9E-6E94-4971-B8BD-EBA6CFCCDA9D}"/>
  </bookViews>
  <sheets>
    <sheet name="Master Sheet" sheetId="1" r:id="rId1"/>
    <sheet name="Pivot" sheetId="2" r:id="rId2"/>
    <sheet name="Dashboard" sheetId="3" r:id="rId3"/>
  </sheets>
  <definedNames>
    <definedName name="_xlnm._FilterDatabase" localSheetId="0" hidden="1">'Master Sheet'!$A$4:$H$3500</definedName>
    <definedName name="Slicer_Buyer_Category">#N/A</definedName>
    <definedName name="Slicer_Departments">#N/A</definedName>
    <definedName name="Slicer_Merchant_Category">#N/A</definedName>
    <definedName name="Slicer_year_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01" i="1" l="1"/>
  <c r="C3501" i="1"/>
  <c r="B3501" i="1"/>
  <c r="B28" i="2"/>
  <c r="B29" i="2"/>
</calcChain>
</file>

<file path=xl/sharedStrings.xml><?xml version="1.0" encoding="utf-8"?>
<sst xmlns="http://schemas.openxmlformats.org/spreadsheetml/2006/main" count="10533" uniqueCount="52">
  <si>
    <t>year_id</t>
  </si>
  <si>
    <t>Merchant_Category</t>
  </si>
  <si>
    <t>Buyer_Category</t>
  </si>
  <si>
    <t>Departments</t>
  </si>
  <si>
    <t>Volume</t>
  </si>
  <si>
    <t>Revenue</t>
  </si>
  <si>
    <t>Transaction_Count</t>
  </si>
  <si>
    <t>Average selling price</t>
  </si>
  <si>
    <t>Unverified Merchant</t>
  </si>
  <si>
    <t>Guest</t>
  </si>
  <si>
    <t>Home and Garden</t>
  </si>
  <si>
    <t>Very HIGH Volume</t>
  </si>
  <si>
    <t>NEW</t>
  </si>
  <si>
    <t>Automotive</t>
  </si>
  <si>
    <t>LOW Volume</t>
  </si>
  <si>
    <t>Casual Buyer</t>
  </si>
  <si>
    <t>MEDIUM Volume</t>
  </si>
  <si>
    <t>HIGH Volume</t>
  </si>
  <si>
    <t>One-and-Done</t>
  </si>
  <si>
    <t>Movies, Music and Games</t>
  </si>
  <si>
    <t>Very LOW Volume</t>
  </si>
  <si>
    <t>Low Engaged</t>
  </si>
  <si>
    <t>Other</t>
  </si>
  <si>
    <t>Super Engaged</t>
  </si>
  <si>
    <t>Sports and Outdoors</t>
  </si>
  <si>
    <t>Medium Engaged</t>
  </si>
  <si>
    <t>Very Engaged</t>
  </si>
  <si>
    <t>Books</t>
  </si>
  <si>
    <t>Merchant</t>
  </si>
  <si>
    <t>Clothing and Shoes</t>
  </si>
  <si>
    <t>Non Merchant</t>
  </si>
  <si>
    <t>Electronics and Computers</t>
  </si>
  <si>
    <t>Digital Games and Software</t>
  </si>
  <si>
    <t>Getting Engaged</t>
  </si>
  <si>
    <t>Appstore</t>
  </si>
  <si>
    <t>Inactive Merchant</t>
  </si>
  <si>
    <t>Toys, Kids and Baby</t>
  </si>
  <si>
    <t>Grocery</t>
  </si>
  <si>
    <t>Row Labels</t>
  </si>
  <si>
    <t>Grand Total</t>
  </si>
  <si>
    <t>NA</t>
  </si>
  <si>
    <t>AMAZON SALES DASHBOARD</t>
  </si>
  <si>
    <t>Total Revenue</t>
  </si>
  <si>
    <t>Total Orders</t>
  </si>
  <si>
    <t>Buyer's Category</t>
  </si>
  <si>
    <t>Merchant Category</t>
  </si>
  <si>
    <t>Count of Merchant_Category</t>
  </si>
  <si>
    <t>Count of Buyer_Category</t>
  </si>
  <si>
    <t xml:space="preserve"> Revenue Contribution</t>
  </si>
  <si>
    <t>Total Transaction</t>
  </si>
  <si>
    <t>Mer. Revenue</t>
  </si>
  <si>
    <t>Average selling price(ASP)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</si>
</sst>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36"/>
      <color theme="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1" tint="0.249977111117893"/>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1" xfId="0" applyBorder="1" applyAlignment="1">
      <alignment horizontal="center" wrapText="1"/>
    </xf>
    <xf numFmtId="0" fontId="1" fillId="0" borderId="1" xfId="0" applyFont="1" applyBorder="1" applyAlignment="1">
      <alignment horizontal="center" wrapText="1"/>
    </xf>
    <xf numFmtId="0" fontId="0" fillId="0" borderId="0" xfId="0" pivotButton="1"/>
    <xf numFmtId="0" fontId="0" fillId="0" borderId="0" xfId="0" applyAlignment="1">
      <alignment horizontal="left"/>
    </xf>
    <xf numFmtId="10" fontId="0" fillId="0" borderId="0" xfId="0" applyNumberFormat="1"/>
    <xf numFmtId="0" fontId="1" fillId="0" borderId="2" xfId="0" applyFont="1" applyBorder="1" applyAlignment="1">
      <alignment horizontal="center" wrapText="1"/>
    </xf>
    <xf numFmtId="2" fontId="0" fillId="0" borderId="0" xfId="0" applyNumberFormat="1"/>
    <xf numFmtId="4" fontId="0" fillId="0" borderId="0" xfId="0" applyNumberFormat="1"/>
    <xf numFmtId="0" fontId="0" fillId="2" borderId="6" xfId="0" applyFill="1" applyBorder="1"/>
    <xf numFmtId="0" fontId="0" fillId="2" borderId="0" xfId="0" applyFill="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0" xfId="0" applyFont="1" applyFill="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cellXfs>
  <cellStyles count="1">
    <cellStyle name="Normal" xfId="0" builtinId="0"/>
  </cellStyles>
  <dxfs count="24">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Pivot!$B$21</c:f>
              <c:strCache>
                <c:ptCount val="1"/>
                <c:pt idx="0">
                  <c:v>Total</c:v>
                </c:pt>
              </c:strCache>
            </c:strRef>
          </c:tx>
          <c:spPr>
            <a:solidFill>
              <a:schemeClr val="accent1"/>
            </a:solidFill>
            <a:ln>
              <a:noFill/>
            </a:ln>
            <a:effectLst/>
            <a:sp3d/>
          </c:spPr>
          <c:invertIfNegative val="0"/>
          <c:cat>
            <c:strRef>
              <c:f>Pivot!$A$22:$A$26</c:f>
              <c:strCache>
                <c:ptCount val="4"/>
                <c:pt idx="0">
                  <c:v>2014</c:v>
                </c:pt>
                <c:pt idx="1">
                  <c:v>2015</c:v>
                </c:pt>
                <c:pt idx="2">
                  <c:v>2016</c:v>
                </c:pt>
                <c:pt idx="3">
                  <c:v>2017</c:v>
                </c:pt>
              </c:strCache>
            </c:strRef>
          </c:cat>
          <c:val>
            <c:numRef>
              <c:f>Pivot!$B$22:$B$26</c:f>
              <c:numCache>
                <c:formatCode>#,##0.00</c:formatCode>
                <c:ptCount val="4"/>
                <c:pt idx="0">
                  <c:v>27325360205.760006</c:v>
                </c:pt>
                <c:pt idx="1">
                  <c:v>32868888890.460018</c:v>
                </c:pt>
                <c:pt idx="2">
                  <c:v>36524651859.410004</c:v>
                </c:pt>
                <c:pt idx="3">
                  <c:v>43949702283.749977</c:v>
                </c:pt>
              </c:numCache>
            </c:numRef>
          </c:val>
          <c:extLst>
            <c:ext xmlns:c16="http://schemas.microsoft.com/office/drawing/2014/chart" uri="{C3380CC4-5D6E-409C-BE32-E72D297353CC}">
              <c16:uniqueId val="{00000000-80C0-4B3A-8BCF-D57392445FB2}"/>
            </c:ext>
          </c:extLst>
        </c:ser>
        <c:dLbls>
          <c:showLegendKey val="0"/>
          <c:showVal val="0"/>
          <c:showCatName val="0"/>
          <c:showSerName val="0"/>
          <c:showPercent val="0"/>
          <c:showBubbleSize val="0"/>
        </c:dLbls>
        <c:gapWidth val="150"/>
        <c:shape val="box"/>
        <c:axId val="1917788560"/>
        <c:axId val="1674656784"/>
        <c:axId val="0"/>
      </c:bar3DChart>
      <c:catAx>
        <c:axId val="191778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56784"/>
        <c:crosses val="autoZero"/>
        <c:auto val="1"/>
        <c:lblAlgn val="ctr"/>
        <c:lblOffset val="100"/>
        <c:noMultiLvlLbl val="0"/>
      </c:catAx>
      <c:valAx>
        <c:axId val="1674656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8856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Dashboard.xlsx]Pivot!PivotTable7</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Pivot!$B$59</c:f>
              <c:strCache>
                <c:ptCount val="1"/>
                <c:pt idx="0">
                  <c:v>Total</c:v>
                </c:pt>
              </c:strCache>
            </c:strRef>
          </c:tx>
          <c:spPr>
            <a:ln w="28575" cap="rnd">
              <a:solidFill>
                <a:schemeClr val="accent1"/>
              </a:solidFill>
              <a:round/>
            </a:ln>
            <a:effectLst/>
          </c:spPr>
          <c:marker>
            <c:symbol val="none"/>
          </c:marker>
          <c:cat>
            <c:strRef>
              <c:f>Pivot!$A$60:$A$64</c:f>
              <c:strCache>
                <c:ptCount val="4"/>
                <c:pt idx="0">
                  <c:v>2014</c:v>
                </c:pt>
                <c:pt idx="1">
                  <c:v>2015</c:v>
                </c:pt>
                <c:pt idx="2">
                  <c:v>2016</c:v>
                </c:pt>
                <c:pt idx="3">
                  <c:v>2017</c:v>
                </c:pt>
              </c:strCache>
            </c:strRef>
          </c:cat>
          <c:val>
            <c:numRef>
              <c:f>Pivot!$B$60:$B$64</c:f>
              <c:numCache>
                <c:formatCode>#,##0.00</c:formatCode>
                <c:ptCount val="4"/>
                <c:pt idx="0">
                  <c:v>66.455035541870743</c:v>
                </c:pt>
                <c:pt idx="1">
                  <c:v>65.326452637114613</c:v>
                </c:pt>
                <c:pt idx="2">
                  <c:v>62.852878968572021</c:v>
                </c:pt>
                <c:pt idx="3">
                  <c:v>63.970247571434321</c:v>
                </c:pt>
              </c:numCache>
            </c:numRef>
          </c:val>
          <c:smooth val="0"/>
          <c:extLst>
            <c:ext xmlns:c16="http://schemas.microsoft.com/office/drawing/2014/chart" uri="{C3380CC4-5D6E-409C-BE32-E72D297353CC}">
              <c16:uniqueId val="{00000000-D65C-42AD-A19C-33856C656AC9}"/>
            </c:ext>
          </c:extLst>
        </c:ser>
        <c:dLbls>
          <c:showLegendKey val="0"/>
          <c:showVal val="0"/>
          <c:showCatName val="0"/>
          <c:showSerName val="0"/>
          <c:showPercent val="0"/>
          <c:showBubbleSize val="0"/>
        </c:dLbls>
        <c:smooth val="0"/>
        <c:axId val="1011653584"/>
        <c:axId val="1030003152"/>
      </c:lineChart>
      <c:catAx>
        <c:axId val="10116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03152"/>
        <c:crosses val="autoZero"/>
        <c:auto val="1"/>
        <c:lblAlgn val="ctr"/>
        <c:lblOffset val="100"/>
        <c:noMultiLvlLbl val="0"/>
      </c:catAx>
      <c:valAx>
        <c:axId val="1030003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Dashboard.xlsx]Pivot!PivotTable4</c:name>
    <c:fmtId val="31"/>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Pivot!$A$46:$A$50</c:f>
              <c:strCache>
                <c:ptCount val="4"/>
                <c:pt idx="0">
                  <c:v>2014</c:v>
                </c:pt>
                <c:pt idx="1">
                  <c:v>2015</c:v>
                </c:pt>
                <c:pt idx="2">
                  <c:v>2016</c:v>
                </c:pt>
                <c:pt idx="3">
                  <c:v>2017</c:v>
                </c:pt>
              </c:strCache>
            </c:strRef>
          </c:cat>
          <c:val>
            <c:numRef>
              <c:f>Pivot!$B$46:$B$50</c:f>
              <c:numCache>
                <c:formatCode>#,##0.00</c:formatCode>
                <c:ptCount val="4"/>
                <c:pt idx="0">
                  <c:v>480</c:v>
                </c:pt>
                <c:pt idx="1">
                  <c:v>482</c:v>
                </c:pt>
                <c:pt idx="2">
                  <c:v>481</c:v>
                </c:pt>
                <c:pt idx="3">
                  <c:v>513</c:v>
                </c:pt>
              </c:numCache>
            </c:numRef>
          </c:val>
          <c:extLst>
            <c:ext xmlns:c16="http://schemas.microsoft.com/office/drawing/2014/chart" uri="{C3380CC4-5D6E-409C-BE32-E72D297353CC}">
              <c16:uniqueId val="{00000000-0614-4EA8-A24E-4EE3FFC7F34C}"/>
            </c:ext>
          </c:extLst>
        </c:ser>
        <c:dLbls>
          <c:showLegendKey val="0"/>
          <c:showVal val="1"/>
          <c:showCatName val="0"/>
          <c:showSerName val="0"/>
          <c:showPercent val="0"/>
          <c:showBubbleSize val="0"/>
        </c:dLbls>
        <c:gapWidth val="84"/>
        <c:gapDepth val="53"/>
        <c:shape val="box"/>
        <c:axId val="1223356928"/>
        <c:axId val="1030002672"/>
        <c:axId val="0"/>
      </c:bar3DChart>
      <c:catAx>
        <c:axId val="122335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0002672"/>
        <c:crosses val="autoZero"/>
        <c:auto val="1"/>
        <c:lblAlgn val="ctr"/>
        <c:lblOffset val="100"/>
        <c:noMultiLvlLbl val="0"/>
      </c:catAx>
      <c:valAx>
        <c:axId val="1030002672"/>
        <c:scaling>
          <c:orientation val="minMax"/>
        </c:scaling>
        <c:delete val="1"/>
        <c:axPos val="l"/>
        <c:numFmt formatCode="#,##0.00" sourceLinked="1"/>
        <c:majorTickMark val="out"/>
        <c:minorTickMark val="none"/>
        <c:tickLblPos val="nextTo"/>
        <c:crossAx val="122335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Dashboard.xlsx]Pivot!PivotTable1</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5 Departments</a:t>
            </a:r>
            <a:endParaRPr lang="en-US"/>
          </a:p>
        </c:rich>
      </c:tx>
      <c:layout>
        <c:manualLayout>
          <c:xMode val="edge"/>
          <c:yMode val="edge"/>
          <c:x val="0.30541511258461118"/>
          <c:y val="7.768299795858850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Pivot!$A$7:$A$12</c:f>
              <c:strCache>
                <c:ptCount val="5"/>
                <c:pt idx="0">
                  <c:v>Home and Garden</c:v>
                </c:pt>
                <c:pt idx="1">
                  <c:v>Movies, Music and Games</c:v>
                </c:pt>
                <c:pt idx="2">
                  <c:v>Electronics and Computers</c:v>
                </c:pt>
                <c:pt idx="3">
                  <c:v>Digital Games and Software</c:v>
                </c:pt>
                <c:pt idx="4">
                  <c:v>Books</c:v>
                </c:pt>
              </c:strCache>
            </c:strRef>
          </c:cat>
          <c:val>
            <c:numRef>
              <c:f>Pivot!$B$7:$B$12</c:f>
              <c:numCache>
                <c:formatCode>0.00%</c:formatCode>
                <c:ptCount val="5"/>
                <c:pt idx="0">
                  <c:v>9.6206187538594848E-2</c:v>
                </c:pt>
                <c:pt idx="1">
                  <c:v>0.11786287406455577</c:v>
                </c:pt>
                <c:pt idx="2">
                  <c:v>0.13259071565479635</c:v>
                </c:pt>
                <c:pt idx="3">
                  <c:v>0.15674466172404117</c:v>
                </c:pt>
                <c:pt idx="4">
                  <c:v>0.49659556101801183</c:v>
                </c:pt>
              </c:numCache>
            </c:numRef>
          </c:val>
          <c:extLst>
            <c:ext xmlns:c16="http://schemas.microsoft.com/office/drawing/2014/chart" uri="{C3380CC4-5D6E-409C-BE32-E72D297353CC}">
              <c16:uniqueId val="{00000000-8967-4401-BC14-E22503FB6424}"/>
            </c:ext>
          </c:extLst>
        </c:ser>
        <c:dLbls>
          <c:showLegendKey val="0"/>
          <c:showVal val="0"/>
          <c:showCatName val="0"/>
          <c:showSerName val="0"/>
          <c:showPercent val="0"/>
          <c:showBubbleSize val="0"/>
        </c:dLbls>
        <c:gapWidth val="75"/>
        <c:shape val="box"/>
        <c:axId val="1115637200"/>
        <c:axId val="1030027632"/>
        <c:axId val="0"/>
      </c:bar3DChart>
      <c:catAx>
        <c:axId val="111563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0027632"/>
        <c:crosses val="autoZero"/>
        <c:auto val="1"/>
        <c:lblAlgn val="ctr"/>
        <c:lblOffset val="100"/>
        <c:noMultiLvlLbl val="0"/>
      </c:catAx>
      <c:valAx>
        <c:axId val="1030027632"/>
        <c:scaling>
          <c:orientation val="minMax"/>
        </c:scaling>
        <c:delete val="0"/>
        <c:axPos val="b"/>
        <c:majorGridlines>
          <c:spPr>
            <a:ln w="9525">
              <a:solidFill>
                <a:schemeClr val="lt1">
                  <a:lumMod val="50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563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Dashboard.xlsx]Pivot!PivotTable2</c:name>
    <c:fmtId val="1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yearly Revenue</a:t>
            </a:r>
            <a:r>
              <a:rPr lang="en-US" baseline="0"/>
              <a:t> trend</a:t>
            </a:r>
          </a:p>
          <a:p>
            <a:pPr>
              <a:defRPr/>
            </a:pPr>
            <a:r>
              <a:rPr lang="en-US"/>
              <a:t>in millions</a:t>
            </a:r>
          </a:p>
        </c:rich>
      </c:tx>
      <c:layout>
        <c:manualLayout>
          <c:xMode val="edge"/>
          <c:yMode val="edge"/>
          <c:x val="0.32244762432680568"/>
          <c:y val="4.725143188978976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Pivot!$B$21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Pivot!$A$22:$A$26</c:f>
              <c:strCache>
                <c:ptCount val="4"/>
                <c:pt idx="0">
                  <c:v>2014</c:v>
                </c:pt>
                <c:pt idx="1">
                  <c:v>2015</c:v>
                </c:pt>
                <c:pt idx="2">
                  <c:v>2016</c:v>
                </c:pt>
                <c:pt idx="3">
                  <c:v>2017</c:v>
                </c:pt>
              </c:strCache>
            </c:strRef>
          </c:cat>
          <c:val>
            <c:numRef>
              <c:f>Pivot!$B$22:$B$26</c:f>
              <c:numCache>
                <c:formatCode>#,##0.00</c:formatCode>
                <c:ptCount val="4"/>
                <c:pt idx="0">
                  <c:v>27325360205.760006</c:v>
                </c:pt>
                <c:pt idx="1">
                  <c:v>32868888890.460018</c:v>
                </c:pt>
                <c:pt idx="2">
                  <c:v>36524651859.410004</c:v>
                </c:pt>
                <c:pt idx="3">
                  <c:v>43949702283.749977</c:v>
                </c:pt>
              </c:numCache>
            </c:numRef>
          </c:val>
          <c:extLst>
            <c:ext xmlns:c16="http://schemas.microsoft.com/office/drawing/2014/chart" uri="{C3380CC4-5D6E-409C-BE32-E72D297353CC}">
              <c16:uniqueId val="{00000000-8E7E-4DCA-8E7A-4454BEFDFACC}"/>
            </c:ext>
          </c:extLst>
        </c:ser>
        <c:dLbls>
          <c:showLegendKey val="0"/>
          <c:showVal val="1"/>
          <c:showCatName val="0"/>
          <c:showSerName val="0"/>
          <c:showPercent val="0"/>
          <c:showBubbleSize val="0"/>
        </c:dLbls>
        <c:gapDepth val="53"/>
        <c:axId val="1917788560"/>
        <c:axId val="1674656784"/>
        <c:axId val="1735976144"/>
      </c:area3DChart>
      <c:catAx>
        <c:axId val="191778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656784"/>
        <c:crosses val="autoZero"/>
        <c:auto val="1"/>
        <c:lblAlgn val="ctr"/>
        <c:lblOffset val="100"/>
        <c:noMultiLvlLbl val="0"/>
      </c:catAx>
      <c:valAx>
        <c:axId val="1674656784"/>
        <c:scaling>
          <c:orientation val="minMax"/>
        </c:scaling>
        <c:delete val="1"/>
        <c:axPos val="l"/>
        <c:numFmt formatCode="#,##0.00" sourceLinked="0"/>
        <c:majorTickMark val="out"/>
        <c:minorTickMark val="none"/>
        <c:tickLblPos val="nextTo"/>
        <c:crossAx val="1917788560"/>
        <c:crosses val="autoZero"/>
        <c:crossBetween val="midCat"/>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dispUnitsLbl>
        </c:dispUnits>
      </c:valAx>
      <c:serAx>
        <c:axId val="17359761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6567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Dashboard.xlsx]Pivot!PivotTable7</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ASP</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Pivot!$A$60:$A$64</c:f>
              <c:strCache>
                <c:ptCount val="4"/>
                <c:pt idx="0">
                  <c:v>2014</c:v>
                </c:pt>
                <c:pt idx="1">
                  <c:v>2015</c:v>
                </c:pt>
                <c:pt idx="2">
                  <c:v>2016</c:v>
                </c:pt>
                <c:pt idx="3">
                  <c:v>2017</c:v>
                </c:pt>
              </c:strCache>
            </c:strRef>
          </c:cat>
          <c:val>
            <c:numRef>
              <c:f>Pivot!$B$60:$B$64</c:f>
              <c:numCache>
                <c:formatCode>#,##0.00</c:formatCode>
                <c:ptCount val="4"/>
                <c:pt idx="0">
                  <c:v>66.455035541870743</c:v>
                </c:pt>
                <c:pt idx="1">
                  <c:v>65.326452637114613</c:v>
                </c:pt>
                <c:pt idx="2">
                  <c:v>62.852878968572021</c:v>
                </c:pt>
                <c:pt idx="3">
                  <c:v>63.970247571434321</c:v>
                </c:pt>
              </c:numCache>
            </c:numRef>
          </c:val>
          <c:smooth val="0"/>
          <c:extLst>
            <c:ext xmlns:c16="http://schemas.microsoft.com/office/drawing/2014/chart" uri="{C3380CC4-5D6E-409C-BE32-E72D297353CC}">
              <c16:uniqueId val="{00000000-4782-4A0F-B05E-66C2C697F86D}"/>
            </c:ext>
          </c:extLst>
        </c:ser>
        <c:dLbls>
          <c:showLegendKey val="0"/>
          <c:showVal val="0"/>
          <c:showCatName val="0"/>
          <c:showSerName val="0"/>
          <c:showPercent val="0"/>
          <c:showBubbleSize val="0"/>
        </c:dLbls>
        <c:marker val="1"/>
        <c:smooth val="0"/>
        <c:axId val="1011653584"/>
        <c:axId val="1030003152"/>
      </c:lineChart>
      <c:catAx>
        <c:axId val="1011653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003152"/>
        <c:crosses val="autoZero"/>
        <c:auto val="1"/>
        <c:lblAlgn val="ctr"/>
        <c:lblOffset val="100"/>
        <c:noMultiLvlLbl val="0"/>
      </c:catAx>
      <c:valAx>
        <c:axId val="10300031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6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Dashboard.xlsx]Pivot!PivotTable4</c:name>
    <c:fmtId val="3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Transections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Pivot!$A$46:$A$50</c:f>
              <c:strCache>
                <c:ptCount val="4"/>
                <c:pt idx="0">
                  <c:v>2014</c:v>
                </c:pt>
                <c:pt idx="1">
                  <c:v>2015</c:v>
                </c:pt>
                <c:pt idx="2">
                  <c:v>2016</c:v>
                </c:pt>
                <c:pt idx="3">
                  <c:v>2017</c:v>
                </c:pt>
              </c:strCache>
            </c:strRef>
          </c:cat>
          <c:val>
            <c:numRef>
              <c:f>Pivot!$B$46:$B$50</c:f>
              <c:numCache>
                <c:formatCode>#,##0.00</c:formatCode>
                <c:ptCount val="4"/>
                <c:pt idx="0">
                  <c:v>480</c:v>
                </c:pt>
                <c:pt idx="1">
                  <c:v>482</c:v>
                </c:pt>
                <c:pt idx="2">
                  <c:v>481</c:v>
                </c:pt>
                <c:pt idx="3">
                  <c:v>513</c:v>
                </c:pt>
              </c:numCache>
            </c:numRef>
          </c:val>
          <c:extLst>
            <c:ext xmlns:c16="http://schemas.microsoft.com/office/drawing/2014/chart" uri="{C3380CC4-5D6E-409C-BE32-E72D297353CC}">
              <c16:uniqueId val="{00000000-14CA-474D-9F6E-2B187320B5C9}"/>
            </c:ext>
          </c:extLst>
        </c:ser>
        <c:dLbls>
          <c:showLegendKey val="0"/>
          <c:showVal val="1"/>
          <c:showCatName val="0"/>
          <c:showSerName val="0"/>
          <c:showPercent val="0"/>
          <c:showBubbleSize val="0"/>
        </c:dLbls>
        <c:gapWidth val="84"/>
        <c:gapDepth val="53"/>
        <c:shape val="box"/>
        <c:axId val="1223356928"/>
        <c:axId val="1030002672"/>
        <c:axId val="0"/>
      </c:bar3DChart>
      <c:catAx>
        <c:axId val="122335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0002672"/>
        <c:crosses val="autoZero"/>
        <c:auto val="1"/>
        <c:lblAlgn val="ctr"/>
        <c:lblOffset val="100"/>
        <c:noMultiLvlLbl val="0"/>
      </c:catAx>
      <c:valAx>
        <c:axId val="1030002672"/>
        <c:scaling>
          <c:orientation val="minMax"/>
        </c:scaling>
        <c:delete val="1"/>
        <c:axPos val="l"/>
        <c:numFmt formatCode="#,##0.00" sourceLinked="1"/>
        <c:majorTickMark val="out"/>
        <c:minorTickMark val="none"/>
        <c:tickLblPos val="nextTo"/>
        <c:crossAx val="122335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Dashboard.xlsx]Pivot!PivotTable1</c:name>
    <c:fmtId val="1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5 Departments</a:t>
            </a:r>
            <a:endParaRPr lang="en-US"/>
          </a:p>
        </c:rich>
      </c:tx>
      <c:layout>
        <c:manualLayout>
          <c:xMode val="edge"/>
          <c:yMode val="edge"/>
          <c:x val="0.30541511258461118"/>
          <c:y val="7.768299795858850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Pivot!$A$7:$A$12</c:f>
              <c:strCache>
                <c:ptCount val="5"/>
                <c:pt idx="0">
                  <c:v>Home and Garden</c:v>
                </c:pt>
                <c:pt idx="1">
                  <c:v>Movies, Music and Games</c:v>
                </c:pt>
                <c:pt idx="2">
                  <c:v>Electronics and Computers</c:v>
                </c:pt>
                <c:pt idx="3">
                  <c:v>Digital Games and Software</c:v>
                </c:pt>
                <c:pt idx="4">
                  <c:v>Books</c:v>
                </c:pt>
              </c:strCache>
            </c:strRef>
          </c:cat>
          <c:val>
            <c:numRef>
              <c:f>Pivot!$B$7:$B$12</c:f>
              <c:numCache>
                <c:formatCode>0.00%</c:formatCode>
                <c:ptCount val="5"/>
                <c:pt idx="0">
                  <c:v>9.6206187538594848E-2</c:v>
                </c:pt>
                <c:pt idx="1">
                  <c:v>0.11786287406455577</c:v>
                </c:pt>
                <c:pt idx="2">
                  <c:v>0.13259071565479635</c:v>
                </c:pt>
                <c:pt idx="3">
                  <c:v>0.15674466172404117</c:v>
                </c:pt>
                <c:pt idx="4">
                  <c:v>0.49659556101801183</c:v>
                </c:pt>
              </c:numCache>
            </c:numRef>
          </c:val>
          <c:extLst>
            <c:ext xmlns:c16="http://schemas.microsoft.com/office/drawing/2014/chart" uri="{C3380CC4-5D6E-409C-BE32-E72D297353CC}">
              <c16:uniqueId val="{00000000-290A-42BB-89C6-AC343706F6FB}"/>
            </c:ext>
          </c:extLst>
        </c:ser>
        <c:dLbls>
          <c:showLegendKey val="0"/>
          <c:showVal val="0"/>
          <c:showCatName val="0"/>
          <c:showSerName val="0"/>
          <c:showPercent val="0"/>
          <c:showBubbleSize val="0"/>
        </c:dLbls>
        <c:gapWidth val="75"/>
        <c:shape val="box"/>
        <c:axId val="1115637200"/>
        <c:axId val="1030027632"/>
        <c:axId val="0"/>
      </c:bar3DChart>
      <c:catAx>
        <c:axId val="111563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0027632"/>
        <c:crosses val="autoZero"/>
        <c:auto val="1"/>
        <c:lblAlgn val="ctr"/>
        <c:lblOffset val="100"/>
        <c:noMultiLvlLbl val="0"/>
      </c:catAx>
      <c:valAx>
        <c:axId val="1030027632"/>
        <c:scaling>
          <c:orientation val="minMax"/>
        </c:scaling>
        <c:delete val="0"/>
        <c:axPos val="b"/>
        <c:majorGridlines>
          <c:spPr>
            <a:ln w="9525">
              <a:solidFill>
                <a:schemeClr val="lt1">
                  <a:lumMod val="50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563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hyperlink" Target="#'Master Sheet'!A1"/><Relationship Id="rId7" Type="http://schemas.openxmlformats.org/officeDocument/2006/relationships/chart" Target="../charts/chart8.xml"/><Relationship Id="rId2" Type="http://schemas.openxmlformats.org/officeDocument/2006/relationships/hyperlink" Target="#Dashboard!A1"/><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Pivot!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1047750</xdr:colOff>
      <xdr:row>2</xdr:row>
      <xdr:rowOff>142875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A8A572F-1A12-4BFB-8CA0-D7D082D03238}"/>
            </a:ext>
          </a:extLst>
        </xdr:cNvPr>
        <xdr:cNvSpPr/>
      </xdr:nvSpPr>
      <xdr:spPr>
        <a:xfrm>
          <a:off x="0" y="0"/>
          <a:ext cx="1790700" cy="5238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vert="horz" rtlCol="0" anchor="ctr"/>
        <a:lstStyle/>
        <a:p>
          <a:pPr algn="l"/>
          <a:r>
            <a:rPr lang="en-US" sz="1600"/>
            <a: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123825</xdr:colOff>
      <xdr:row>3</xdr:row>
      <xdr:rowOff>138112</xdr:rowOff>
    </xdr:from>
    <xdr:to>
      <xdr:col>15</xdr:col>
      <xdr:colOff>428625</xdr:colOff>
      <xdr:row>18</xdr:row>
      <xdr:rowOff>23812</xdr:rowOff>
    </xdr:to>
    <xdr:graphicFrame macro="">
      <xdr:nvGraphicFramePr>
        <xdr:cNvPr id="3" name="Chart 2">
          <a:extLst>
            <a:ext uri="{FF2B5EF4-FFF2-40B4-BE49-F238E27FC236}">
              <a16:creationId xmlns:a16="http://schemas.microsoft.com/office/drawing/2014/main" id="{4B589E23-8EC9-11B5-4839-FAAF2E913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485775</xdr:colOff>
      <xdr:row>0</xdr:row>
      <xdr:rowOff>114300</xdr:rowOff>
    </xdr:from>
    <xdr:to>
      <xdr:col>17</xdr:col>
      <xdr:colOff>485775</xdr:colOff>
      <xdr:row>13</xdr:row>
      <xdr:rowOff>161925</xdr:rowOff>
    </xdr:to>
    <mc:AlternateContent xmlns:mc="http://schemas.openxmlformats.org/markup-compatibility/2006" xmlns:a14="http://schemas.microsoft.com/office/drawing/2010/main">
      <mc:Choice Requires="a14">
        <xdr:graphicFrame macro="">
          <xdr:nvGraphicFramePr>
            <xdr:cNvPr id="4" name="year_id">
              <a:extLst>
                <a:ext uri="{FF2B5EF4-FFF2-40B4-BE49-F238E27FC236}">
                  <a16:creationId xmlns:a16="http://schemas.microsoft.com/office/drawing/2014/main" id="{1593997A-3996-5B39-7A3C-F57D9E2E9745}"/>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126682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14</xdr:row>
      <xdr:rowOff>76200</xdr:rowOff>
    </xdr:from>
    <xdr:to>
      <xdr:col>17</xdr:col>
      <xdr:colOff>495300</xdr:colOff>
      <xdr:row>27</xdr:row>
      <xdr:rowOff>123825</xdr:rowOff>
    </xdr:to>
    <mc:AlternateContent xmlns:mc="http://schemas.openxmlformats.org/markup-compatibility/2006" xmlns:a14="http://schemas.microsoft.com/office/drawing/2010/main">
      <mc:Choice Requires="a14">
        <xdr:graphicFrame macro="">
          <xdr:nvGraphicFramePr>
            <xdr:cNvPr id="5" name="Merchant_Category">
              <a:extLst>
                <a:ext uri="{FF2B5EF4-FFF2-40B4-BE49-F238E27FC236}">
                  <a16:creationId xmlns:a16="http://schemas.microsoft.com/office/drawing/2014/main" id="{A1EA65AA-4690-3190-5321-67DF43645667}"/>
                </a:ext>
              </a:extLst>
            </xdr:cNvPr>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mlns="">
        <xdr:sp macro="" textlink="">
          <xdr:nvSpPr>
            <xdr:cNvPr id="0" name=""/>
            <xdr:cNvSpPr>
              <a:spLocks noTextEdit="1"/>
            </xdr:cNvSpPr>
          </xdr:nvSpPr>
          <xdr:spPr>
            <a:xfrm>
              <a:off x="12677775" y="274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27</xdr:row>
      <xdr:rowOff>180975</xdr:rowOff>
    </xdr:from>
    <xdr:to>
      <xdr:col>18</xdr:col>
      <xdr:colOff>0</xdr:colOff>
      <xdr:row>41</xdr:row>
      <xdr:rowOff>38100</xdr:rowOff>
    </xdr:to>
    <mc:AlternateContent xmlns:mc="http://schemas.openxmlformats.org/markup-compatibility/2006" xmlns:a14="http://schemas.microsoft.com/office/drawing/2010/main">
      <mc:Choice Requires="a14">
        <xdr:graphicFrame macro="">
          <xdr:nvGraphicFramePr>
            <xdr:cNvPr id="7" name="Departments">
              <a:extLst>
                <a:ext uri="{FF2B5EF4-FFF2-40B4-BE49-F238E27FC236}">
                  <a16:creationId xmlns:a16="http://schemas.microsoft.com/office/drawing/2014/main" id="{6E84DE0B-080C-5B7A-5845-87AA0F6B3CF5}"/>
                </a:ext>
              </a:extLst>
            </xdr:cNvPr>
            <xdr:cNvGraphicFramePr/>
          </xdr:nvGraphicFramePr>
          <xdr:xfrm>
            <a:off x="0" y="0"/>
            <a:ext cx="0" cy="0"/>
          </xdr:xfrm>
          <a:graphic>
            <a:graphicData uri="http://schemas.microsoft.com/office/drawing/2010/slicer">
              <sle:slicer xmlns:sle="http://schemas.microsoft.com/office/drawing/2010/slicer" name="Departments"/>
            </a:graphicData>
          </a:graphic>
        </xdr:graphicFrame>
      </mc:Choice>
      <mc:Fallback xmlns="">
        <xdr:sp macro="" textlink="">
          <xdr:nvSpPr>
            <xdr:cNvPr id="0" name=""/>
            <xdr:cNvSpPr>
              <a:spLocks noTextEdit="1"/>
            </xdr:cNvSpPr>
          </xdr:nvSpPr>
          <xdr:spPr>
            <a:xfrm>
              <a:off x="12792075" y="5324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0</xdr:rowOff>
    </xdr:from>
    <xdr:to>
      <xdr:col>1</xdr:col>
      <xdr:colOff>914400</xdr:colOff>
      <xdr:row>4</xdr:row>
      <xdr:rowOff>104775</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54ACB8B-F35E-4EE9-983C-FC4ACDD9D1C2}"/>
            </a:ext>
          </a:extLst>
        </xdr:cNvPr>
        <xdr:cNvSpPr/>
      </xdr:nvSpPr>
      <xdr:spPr>
        <a:xfrm>
          <a:off x="0" y="190500"/>
          <a:ext cx="1790700" cy="6762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vert="horz" rtlCol="0" anchor="ctr"/>
        <a:lstStyle/>
        <a:p>
          <a:pPr algn="l"/>
          <a:r>
            <a:rPr lang="en-US" sz="1600"/>
            <a:t>      DASHBOARD</a:t>
          </a:r>
        </a:p>
      </xdr:txBody>
    </xdr:sp>
    <xdr:clientData/>
  </xdr:twoCellAnchor>
  <xdr:twoCellAnchor editAs="oneCell">
    <xdr:from>
      <xdr:col>11</xdr:col>
      <xdr:colOff>419100</xdr:colOff>
      <xdr:row>27</xdr:row>
      <xdr:rowOff>114300</xdr:rowOff>
    </xdr:from>
    <xdr:to>
      <xdr:col>14</xdr:col>
      <xdr:colOff>419100</xdr:colOff>
      <xdr:row>40</xdr:row>
      <xdr:rowOff>161925</xdr:rowOff>
    </xdr:to>
    <mc:AlternateContent xmlns:mc="http://schemas.openxmlformats.org/markup-compatibility/2006" xmlns:a14="http://schemas.microsoft.com/office/drawing/2010/main">
      <mc:Choice Requires="a14">
        <xdr:graphicFrame macro="">
          <xdr:nvGraphicFramePr>
            <xdr:cNvPr id="9" name="Buyer_Category">
              <a:extLst>
                <a:ext uri="{FF2B5EF4-FFF2-40B4-BE49-F238E27FC236}">
                  <a16:creationId xmlns:a16="http://schemas.microsoft.com/office/drawing/2014/main" id="{B799B1F4-33B3-A24E-8059-CD2B574C9ACE}"/>
                </a:ext>
              </a:extLst>
            </xdr:cNvPr>
            <xdr:cNvGraphicFramePr/>
          </xdr:nvGraphicFramePr>
          <xdr:xfrm>
            <a:off x="0" y="0"/>
            <a:ext cx="0" cy="0"/>
          </xdr:xfrm>
          <a:graphic>
            <a:graphicData uri="http://schemas.microsoft.com/office/drawing/2010/slicer">
              <sle:slicer xmlns:sle="http://schemas.microsoft.com/office/drawing/2010/slicer" name="Buyer_Category"/>
            </a:graphicData>
          </a:graphic>
        </xdr:graphicFrame>
      </mc:Choice>
      <mc:Fallback xmlns="">
        <xdr:sp macro="" textlink="">
          <xdr:nvSpPr>
            <xdr:cNvPr id="0" name=""/>
            <xdr:cNvSpPr>
              <a:spLocks noTextEdit="1"/>
            </xdr:cNvSpPr>
          </xdr:nvSpPr>
          <xdr:spPr>
            <a:xfrm>
              <a:off x="10772775" y="525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352425</xdr:colOff>
      <xdr:row>54</xdr:row>
      <xdr:rowOff>100012</xdr:rowOff>
    </xdr:from>
    <xdr:to>
      <xdr:col>5</xdr:col>
      <xdr:colOff>523875</xdr:colOff>
      <xdr:row>68</xdr:row>
      <xdr:rowOff>176212</xdr:rowOff>
    </xdr:to>
    <xdr:graphicFrame macro="">
      <xdr:nvGraphicFramePr>
        <xdr:cNvPr id="6" name="Chart 5">
          <a:extLst>
            <a:ext uri="{FF2B5EF4-FFF2-40B4-BE49-F238E27FC236}">
              <a16:creationId xmlns:a16="http://schemas.microsoft.com/office/drawing/2014/main" id="{B541FEF4-B0A8-B9A5-314A-3568400E3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180975</xdr:colOff>
      <xdr:row>32</xdr:row>
      <xdr:rowOff>90487</xdr:rowOff>
    </xdr:from>
    <xdr:to>
      <xdr:col>5</xdr:col>
      <xdr:colOff>352425</xdr:colOff>
      <xdr:row>46</xdr:row>
      <xdr:rowOff>166687</xdr:rowOff>
    </xdr:to>
    <xdr:graphicFrame macro="">
      <xdr:nvGraphicFramePr>
        <xdr:cNvPr id="12" name="Chart 11">
          <a:extLst>
            <a:ext uri="{FF2B5EF4-FFF2-40B4-BE49-F238E27FC236}">
              <a16:creationId xmlns:a16="http://schemas.microsoft.com/office/drawing/2014/main" id="{B3423F34-9CD1-AB08-4138-C9CC30681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409575</xdr:colOff>
      <xdr:row>0</xdr:row>
      <xdr:rowOff>0</xdr:rowOff>
    </xdr:from>
    <xdr:to>
      <xdr:col>7</xdr:col>
      <xdr:colOff>219075</xdr:colOff>
      <xdr:row>14</xdr:row>
      <xdr:rowOff>76200</xdr:rowOff>
    </xdr:to>
    <xdr:graphicFrame macro="">
      <xdr:nvGraphicFramePr>
        <xdr:cNvPr id="13" name="Chart 12">
          <a:extLst>
            <a:ext uri="{FF2B5EF4-FFF2-40B4-BE49-F238E27FC236}">
              <a16:creationId xmlns:a16="http://schemas.microsoft.com/office/drawing/2014/main" id="{3880C8BC-EDC1-978A-EC5C-BECD422ED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527736</xdr:colOff>
      <xdr:row>8</xdr:row>
      <xdr:rowOff>114300</xdr:rowOff>
    </xdr:from>
    <xdr:to>
      <xdr:col>20</xdr:col>
      <xdr:colOff>489121</xdr:colOff>
      <xdr:row>23</xdr:row>
      <xdr:rowOff>171450</xdr:rowOff>
    </xdr:to>
    <xdr:graphicFrame macro="">
      <xdr:nvGraphicFramePr>
        <xdr:cNvPr id="4" name="Chart 3">
          <a:extLst>
            <a:ext uri="{FF2B5EF4-FFF2-40B4-BE49-F238E27FC236}">
              <a16:creationId xmlns:a16="http://schemas.microsoft.com/office/drawing/2014/main" id="{F364DCB4-160B-4767-AF63-B448B83E9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28574</xdr:colOff>
      <xdr:row>27</xdr:row>
      <xdr:rowOff>0</xdr:rowOff>
    </xdr:from>
    <xdr:to>
      <xdr:col>3</xdr:col>
      <xdr:colOff>28575</xdr:colOff>
      <xdr:row>33</xdr:row>
      <xdr:rowOff>47625</xdr:rowOff>
    </xdr:to>
    <mc:AlternateContent xmlns:mc="http://schemas.openxmlformats.org/markup-compatibility/2006" xmlns:a14="http://schemas.microsoft.com/office/drawing/2010/main">
      <mc:Choice Requires="a14">
        <xdr:graphicFrame macro="">
          <xdr:nvGraphicFramePr>
            <xdr:cNvPr id="5" name="Departments 1">
              <a:extLst>
                <a:ext uri="{FF2B5EF4-FFF2-40B4-BE49-F238E27FC236}">
                  <a16:creationId xmlns:a16="http://schemas.microsoft.com/office/drawing/2014/main" id="{4FE2090F-4F0E-4539-B1F4-0AEA354A041D}"/>
                </a:ext>
              </a:extLst>
            </xdr:cNvPr>
            <xdr:cNvGraphicFramePr/>
          </xdr:nvGraphicFramePr>
          <xdr:xfrm>
            <a:off x="0" y="0"/>
            <a:ext cx="0" cy="0"/>
          </xdr:xfrm>
          <a:graphic>
            <a:graphicData uri="http://schemas.microsoft.com/office/drawing/2010/slicer">
              <sle:slicer xmlns:sle="http://schemas.microsoft.com/office/drawing/2010/slicer" name="Departments 1"/>
            </a:graphicData>
          </a:graphic>
        </xdr:graphicFrame>
      </mc:Choice>
      <mc:Fallback xmlns="">
        <xdr:sp macro="" textlink="">
          <xdr:nvSpPr>
            <xdr:cNvPr id="0" name=""/>
            <xdr:cNvSpPr>
              <a:spLocks noTextEdit="1"/>
            </xdr:cNvSpPr>
          </xdr:nvSpPr>
          <xdr:spPr>
            <a:xfrm>
              <a:off x="28574" y="5153025"/>
              <a:ext cx="1828801"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7</xdr:row>
      <xdr:rowOff>180977</xdr:rowOff>
    </xdr:from>
    <xdr:to>
      <xdr:col>3</xdr:col>
      <xdr:colOff>9525</xdr:colOff>
      <xdr:row>9</xdr:row>
      <xdr:rowOff>152401</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3C0CCB5B-DF4F-CA00-A5B0-4BDE4AD7802D}"/>
            </a:ext>
          </a:extLst>
        </xdr:cNvPr>
        <xdr:cNvSpPr/>
      </xdr:nvSpPr>
      <xdr:spPr>
        <a:xfrm>
          <a:off x="47625" y="1524002"/>
          <a:ext cx="1790700" cy="35242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vert="horz" rtlCol="0" anchor="ctr"/>
        <a:lstStyle/>
        <a:p>
          <a:pPr algn="l"/>
          <a:r>
            <a:rPr lang="en-US" sz="1600"/>
            <a:t>      DASHBOARD</a:t>
          </a:r>
        </a:p>
      </xdr:txBody>
    </xdr:sp>
    <xdr:clientData/>
  </xdr:twoCellAnchor>
  <xdr:twoCellAnchor>
    <xdr:from>
      <xdr:col>0</xdr:col>
      <xdr:colOff>47625</xdr:colOff>
      <xdr:row>3</xdr:row>
      <xdr:rowOff>66676</xdr:rowOff>
    </xdr:from>
    <xdr:to>
      <xdr:col>3</xdr:col>
      <xdr:colOff>9525</xdr:colOff>
      <xdr:row>5</xdr:row>
      <xdr:rowOff>76200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43EFA82C-4488-4F51-991A-90ECC2A415D5}"/>
            </a:ext>
          </a:extLst>
        </xdr:cNvPr>
        <xdr:cNvSpPr/>
      </xdr:nvSpPr>
      <xdr:spPr>
        <a:xfrm>
          <a:off x="47625" y="647701"/>
          <a:ext cx="1790700" cy="39052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vert="horz" rtlCol="0" anchor="ctr"/>
        <a:lstStyle/>
        <a:p>
          <a:pPr algn="l"/>
          <a:r>
            <a:rPr lang="en-US" sz="1600"/>
            <a:t>     MASTER</a:t>
          </a:r>
          <a:r>
            <a:rPr lang="en-US" sz="1600" baseline="0"/>
            <a:t> SHEET</a:t>
          </a:r>
          <a:endParaRPr lang="en-US" sz="1600"/>
        </a:p>
      </xdr:txBody>
    </xdr:sp>
    <xdr:clientData/>
  </xdr:twoCellAnchor>
  <xdr:twoCellAnchor>
    <xdr:from>
      <xdr:col>0</xdr:col>
      <xdr:colOff>57150</xdr:colOff>
      <xdr:row>5</xdr:row>
      <xdr:rowOff>142876</xdr:rowOff>
    </xdr:from>
    <xdr:to>
      <xdr:col>3</xdr:col>
      <xdr:colOff>19050</xdr:colOff>
      <xdr:row>7</xdr:row>
      <xdr:rowOff>123825</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732271C3-8552-4D81-A3E6-7C28710EFC01}"/>
            </a:ext>
          </a:extLst>
        </xdr:cNvPr>
        <xdr:cNvSpPr/>
      </xdr:nvSpPr>
      <xdr:spPr>
        <a:xfrm>
          <a:off x="57150" y="1104901"/>
          <a:ext cx="1790700" cy="36194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vert="horz" rtlCol="0" anchor="ctr"/>
        <a:lstStyle/>
        <a:p>
          <a:pPr algn="l"/>
          <a:r>
            <a:rPr lang="en-US" sz="1600"/>
            <a:t>     PIVOT SHEET</a:t>
          </a:r>
        </a:p>
      </xdr:txBody>
    </xdr:sp>
    <xdr:clientData/>
  </xdr:twoCellAnchor>
  <xdr:twoCellAnchor editAs="oneCell">
    <xdr:from>
      <xdr:col>0</xdr:col>
      <xdr:colOff>28575</xdr:colOff>
      <xdr:row>33</xdr:row>
      <xdr:rowOff>76201</xdr:rowOff>
    </xdr:from>
    <xdr:to>
      <xdr:col>3</xdr:col>
      <xdr:colOff>28575</xdr:colOff>
      <xdr:row>40</xdr:row>
      <xdr:rowOff>142875</xdr:rowOff>
    </xdr:to>
    <mc:AlternateContent xmlns:mc="http://schemas.openxmlformats.org/markup-compatibility/2006" xmlns:a14="http://schemas.microsoft.com/office/drawing/2010/main">
      <mc:Choice Requires="a14">
        <xdr:graphicFrame macro="">
          <xdr:nvGraphicFramePr>
            <xdr:cNvPr id="9" name="Merchant_Category 1">
              <a:extLst>
                <a:ext uri="{FF2B5EF4-FFF2-40B4-BE49-F238E27FC236}">
                  <a16:creationId xmlns:a16="http://schemas.microsoft.com/office/drawing/2014/main" id="{D2C8E90C-3832-4883-9AF2-110F4983170F}"/>
                </a:ext>
              </a:extLst>
            </xdr:cNvPr>
            <xdr:cNvGraphicFramePr/>
          </xdr:nvGraphicFramePr>
          <xdr:xfrm>
            <a:off x="0" y="0"/>
            <a:ext cx="0" cy="0"/>
          </xdr:xfrm>
          <a:graphic>
            <a:graphicData uri="http://schemas.microsoft.com/office/drawing/2010/slicer">
              <sle:slicer xmlns:sle="http://schemas.microsoft.com/office/drawing/2010/slicer" name="Merchant_Category 1"/>
            </a:graphicData>
          </a:graphic>
        </xdr:graphicFrame>
      </mc:Choice>
      <mc:Fallback xmlns="">
        <xdr:sp macro="" textlink="">
          <xdr:nvSpPr>
            <xdr:cNvPr id="0" name=""/>
            <xdr:cNvSpPr>
              <a:spLocks noTextEdit="1"/>
            </xdr:cNvSpPr>
          </xdr:nvSpPr>
          <xdr:spPr>
            <a:xfrm>
              <a:off x="28575" y="6372226"/>
              <a:ext cx="1828800"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38101</xdr:rowOff>
    </xdr:from>
    <xdr:to>
      <xdr:col>3</xdr:col>
      <xdr:colOff>38100</xdr:colOff>
      <xdr:row>18</xdr:row>
      <xdr:rowOff>1</xdr:rowOff>
    </xdr:to>
    <mc:AlternateContent xmlns:mc="http://schemas.openxmlformats.org/markup-compatibility/2006" xmlns:a14="http://schemas.microsoft.com/office/drawing/2010/main">
      <mc:Choice Requires="a14">
        <xdr:graphicFrame macro="">
          <xdr:nvGraphicFramePr>
            <xdr:cNvPr id="10" name="year_id 1">
              <a:extLst>
                <a:ext uri="{FF2B5EF4-FFF2-40B4-BE49-F238E27FC236}">
                  <a16:creationId xmlns:a16="http://schemas.microsoft.com/office/drawing/2014/main" id="{C04438E4-1FFA-4361-BA6C-F6A9364EE6D6}"/>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38100" y="1952626"/>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18</xdr:row>
      <xdr:rowOff>28575</xdr:rowOff>
    </xdr:from>
    <xdr:to>
      <xdr:col>3</xdr:col>
      <xdr:colOff>28575</xdr:colOff>
      <xdr:row>26</xdr:row>
      <xdr:rowOff>114300</xdr:rowOff>
    </xdr:to>
    <mc:AlternateContent xmlns:mc="http://schemas.openxmlformats.org/markup-compatibility/2006" xmlns:a14="http://schemas.microsoft.com/office/drawing/2010/main">
      <mc:Choice Requires="a14">
        <xdr:graphicFrame macro="">
          <xdr:nvGraphicFramePr>
            <xdr:cNvPr id="11" name="Buyer_Category 1">
              <a:extLst>
                <a:ext uri="{FF2B5EF4-FFF2-40B4-BE49-F238E27FC236}">
                  <a16:creationId xmlns:a16="http://schemas.microsoft.com/office/drawing/2014/main" id="{925D95E5-2C56-4C3A-8817-1CDEE1B88929}"/>
                </a:ext>
              </a:extLst>
            </xdr:cNvPr>
            <xdr:cNvGraphicFramePr/>
          </xdr:nvGraphicFramePr>
          <xdr:xfrm>
            <a:off x="0" y="0"/>
            <a:ext cx="0" cy="0"/>
          </xdr:xfrm>
          <a:graphic>
            <a:graphicData uri="http://schemas.microsoft.com/office/drawing/2010/slicer">
              <sle:slicer xmlns:sle="http://schemas.microsoft.com/office/drawing/2010/slicer" name="Buyer_Category 1"/>
            </a:graphicData>
          </a:graphic>
        </xdr:graphicFrame>
      </mc:Choice>
      <mc:Fallback xmlns="">
        <xdr:sp macro="" textlink="">
          <xdr:nvSpPr>
            <xdr:cNvPr id="0" name=""/>
            <xdr:cNvSpPr>
              <a:spLocks noTextEdit="1"/>
            </xdr:cNvSpPr>
          </xdr:nvSpPr>
          <xdr:spPr>
            <a:xfrm>
              <a:off x="28575" y="346710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542924</xdr:colOff>
      <xdr:row>3</xdr:row>
      <xdr:rowOff>66675</xdr:rowOff>
    </xdr:from>
    <xdr:to>
      <xdr:col>6</xdr:col>
      <xdr:colOff>590549</xdr:colOff>
      <xdr:row>8</xdr:row>
      <xdr:rowOff>38100</xdr:rowOff>
    </xdr:to>
    <xdr:sp macro="" textlink="">
      <xdr:nvSpPr>
        <xdr:cNvPr id="12" name="Rectangle: Rounded Corners 11">
          <a:extLst>
            <a:ext uri="{FF2B5EF4-FFF2-40B4-BE49-F238E27FC236}">
              <a16:creationId xmlns:a16="http://schemas.microsoft.com/office/drawing/2014/main" id="{45EFA2CD-3F71-2707-4E86-498FD9231D92}"/>
            </a:ext>
          </a:extLst>
        </xdr:cNvPr>
        <xdr:cNvSpPr/>
      </xdr:nvSpPr>
      <xdr:spPr>
        <a:xfrm>
          <a:off x="2371724" y="647700"/>
          <a:ext cx="1876425" cy="9239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    Total Sales</a:t>
          </a:r>
        </a:p>
        <a:p>
          <a:pPr algn="ctr"/>
          <a:r>
            <a:rPr lang="en-US" sz="1800" b="1">
              <a:solidFill>
                <a:schemeClr val="bg1"/>
              </a:solidFill>
            </a:rPr>
            <a:t>   </a:t>
          </a:r>
        </a:p>
      </xdr:txBody>
    </xdr:sp>
    <xdr:clientData/>
  </xdr:twoCellAnchor>
  <xdr:twoCellAnchor>
    <xdr:from>
      <xdr:col>8</xdr:col>
      <xdr:colOff>0</xdr:colOff>
      <xdr:row>3</xdr:row>
      <xdr:rowOff>66675</xdr:rowOff>
    </xdr:from>
    <xdr:to>
      <xdr:col>11</xdr:col>
      <xdr:colOff>47625</xdr:colOff>
      <xdr:row>8</xdr:row>
      <xdr:rowOff>38100</xdr:rowOff>
    </xdr:to>
    <xdr:sp macro="" textlink="">
      <xdr:nvSpPr>
        <xdr:cNvPr id="13" name="Rectangle: Rounded Corners 12">
          <a:extLst>
            <a:ext uri="{FF2B5EF4-FFF2-40B4-BE49-F238E27FC236}">
              <a16:creationId xmlns:a16="http://schemas.microsoft.com/office/drawing/2014/main" id="{226244E5-625C-47F3-B529-4DEE46E2FD50}"/>
            </a:ext>
          </a:extLst>
        </xdr:cNvPr>
        <xdr:cNvSpPr/>
      </xdr:nvSpPr>
      <xdr:spPr>
        <a:xfrm>
          <a:off x="4876800" y="647700"/>
          <a:ext cx="1876425" cy="9239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 Orders</a:t>
          </a:r>
        </a:p>
      </xdr:txBody>
    </xdr:sp>
    <xdr:clientData/>
  </xdr:twoCellAnchor>
  <xdr:twoCellAnchor>
    <xdr:from>
      <xdr:col>16</xdr:col>
      <xdr:colOff>514350</xdr:colOff>
      <xdr:row>3</xdr:row>
      <xdr:rowOff>85725</xdr:rowOff>
    </xdr:from>
    <xdr:to>
      <xdr:col>19</xdr:col>
      <xdr:colOff>561975</xdr:colOff>
      <xdr:row>8</xdr:row>
      <xdr:rowOff>57150</xdr:rowOff>
    </xdr:to>
    <xdr:sp macro="" textlink="">
      <xdr:nvSpPr>
        <xdr:cNvPr id="14" name="Rectangle: Rounded Corners 13">
          <a:extLst>
            <a:ext uri="{FF2B5EF4-FFF2-40B4-BE49-F238E27FC236}">
              <a16:creationId xmlns:a16="http://schemas.microsoft.com/office/drawing/2014/main" id="{BA395EB9-DD2E-4B38-956E-12FC222BD8D7}"/>
            </a:ext>
          </a:extLst>
        </xdr:cNvPr>
        <xdr:cNvSpPr/>
      </xdr:nvSpPr>
      <xdr:spPr>
        <a:xfrm>
          <a:off x="10267950" y="666750"/>
          <a:ext cx="1876425" cy="9239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Buyer Category</a:t>
          </a:r>
        </a:p>
      </xdr:txBody>
    </xdr:sp>
    <xdr:clientData/>
  </xdr:twoCellAnchor>
  <xdr:twoCellAnchor>
    <xdr:from>
      <xdr:col>12</xdr:col>
      <xdr:colOff>333375</xdr:colOff>
      <xdr:row>3</xdr:row>
      <xdr:rowOff>76200</xdr:rowOff>
    </xdr:from>
    <xdr:to>
      <xdr:col>15</xdr:col>
      <xdr:colOff>381000</xdr:colOff>
      <xdr:row>8</xdr:row>
      <xdr:rowOff>47625</xdr:rowOff>
    </xdr:to>
    <xdr:sp macro="" textlink="">
      <xdr:nvSpPr>
        <xdr:cNvPr id="15" name="Rectangle: Rounded Corners 14">
          <a:extLst>
            <a:ext uri="{FF2B5EF4-FFF2-40B4-BE49-F238E27FC236}">
              <a16:creationId xmlns:a16="http://schemas.microsoft.com/office/drawing/2014/main" id="{A5B0152D-3F69-4D62-85F7-19571A1AA3A3}"/>
            </a:ext>
          </a:extLst>
        </xdr:cNvPr>
        <xdr:cNvSpPr/>
      </xdr:nvSpPr>
      <xdr:spPr>
        <a:xfrm>
          <a:off x="7648575" y="657225"/>
          <a:ext cx="1876425" cy="9239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Merchant Category</a:t>
          </a:r>
        </a:p>
      </xdr:txBody>
    </xdr:sp>
    <xdr:clientData/>
  </xdr:twoCellAnchor>
  <xdr:twoCellAnchor>
    <xdr:from>
      <xdr:col>4</xdr:col>
      <xdr:colOff>200025</xdr:colOff>
      <xdr:row>5</xdr:row>
      <xdr:rowOff>133350</xdr:rowOff>
    </xdr:from>
    <xdr:to>
      <xdr:col>6</xdr:col>
      <xdr:colOff>285750</xdr:colOff>
      <xdr:row>7</xdr:row>
      <xdr:rowOff>171450</xdr:rowOff>
    </xdr:to>
    <xdr:sp macro="" textlink="Pivot!B28">
      <xdr:nvSpPr>
        <xdr:cNvPr id="16" name="Rectangle: Single Corner Rounded 15">
          <a:extLst>
            <a:ext uri="{FF2B5EF4-FFF2-40B4-BE49-F238E27FC236}">
              <a16:creationId xmlns:a16="http://schemas.microsoft.com/office/drawing/2014/main" id="{FFD7C5C5-6F87-0DF9-7670-AB133DDC38D2}"/>
            </a:ext>
          </a:extLst>
        </xdr:cNvPr>
        <xdr:cNvSpPr/>
      </xdr:nvSpPr>
      <xdr:spPr>
        <a:xfrm>
          <a:off x="2638425" y="1095375"/>
          <a:ext cx="1304925" cy="419100"/>
        </a:xfrm>
        <a:prstGeom prst="round1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33502-827B-4F76-97CE-A45EF413E3C6}" type="TxLink">
            <a:rPr lang="en-US" sz="1400" b="0" i="0" u="none" strike="noStrike">
              <a:solidFill>
                <a:schemeClr val="bg1"/>
              </a:solidFill>
              <a:latin typeface="Calibri"/>
              <a:ea typeface="Calibri"/>
              <a:cs typeface="Calibri"/>
            </a:rPr>
            <a:pPr algn="ctr"/>
            <a:t>140668603239.38</a:t>
          </a:fld>
          <a:endParaRPr lang="en-US" sz="1400">
            <a:solidFill>
              <a:schemeClr val="bg1"/>
            </a:solidFill>
          </a:endParaRPr>
        </a:p>
      </xdr:txBody>
    </xdr:sp>
    <xdr:clientData/>
  </xdr:twoCellAnchor>
  <xdr:twoCellAnchor>
    <xdr:from>
      <xdr:col>8</xdr:col>
      <xdr:colOff>238125</xdr:colOff>
      <xdr:row>5</xdr:row>
      <xdr:rowOff>152400</xdr:rowOff>
    </xdr:from>
    <xdr:to>
      <xdr:col>10</xdr:col>
      <xdr:colOff>323850</xdr:colOff>
      <xdr:row>8</xdr:row>
      <xdr:rowOff>0</xdr:rowOff>
    </xdr:to>
    <xdr:sp macro="" textlink="Pivot!B29">
      <xdr:nvSpPr>
        <xdr:cNvPr id="17" name="Rectangle: Single Corner Rounded 16">
          <a:extLst>
            <a:ext uri="{FF2B5EF4-FFF2-40B4-BE49-F238E27FC236}">
              <a16:creationId xmlns:a16="http://schemas.microsoft.com/office/drawing/2014/main" id="{5FC58B60-BF62-4C30-8177-68D5DEDE6DB5}"/>
            </a:ext>
          </a:extLst>
        </xdr:cNvPr>
        <xdr:cNvSpPr/>
      </xdr:nvSpPr>
      <xdr:spPr>
        <a:xfrm>
          <a:off x="5114925" y="1114425"/>
          <a:ext cx="1304925" cy="419100"/>
        </a:xfrm>
        <a:prstGeom prst="round1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02397CD-DA3A-4A64-9674-F8E796CE28F5}" type="TxLink">
            <a:rPr lang="en-US" sz="1600" b="0" i="0" u="none" strike="noStrike">
              <a:solidFill>
                <a:schemeClr val="bg1"/>
              </a:solidFill>
              <a:latin typeface="Calibri"/>
              <a:ea typeface="Calibri"/>
              <a:cs typeface="Calibri"/>
            </a:rPr>
            <a:pPr algn="l"/>
            <a:t>1956</a:t>
          </a:fld>
          <a:endParaRPr lang="en-US" sz="1600">
            <a:solidFill>
              <a:schemeClr val="bg1"/>
            </a:solidFill>
          </a:endParaRPr>
        </a:p>
      </xdr:txBody>
    </xdr:sp>
    <xdr:clientData/>
  </xdr:twoCellAnchor>
  <xdr:twoCellAnchor>
    <xdr:from>
      <xdr:col>13</xdr:col>
      <xdr:colOff>0</xdr:colOff>
      <xdr:row>5</xdr:row>
      <xdr:rowOff>161925</xdr:rowOff>
    </xdr:from>
    <xdr:to>
      <xdr:col>15</xdr:col>
      <xdr:colOff>85725</xdr:colOff>
      <xdr:row>8</xdr:row>
      <xdr:rowOff>9525</xdr:rowOff>
    </xdr:to>
    <xdr:sp macro="" textlink="Pivot!B31">
      <xdr:nvSpPr>
        <xdr:cNvPr id="18" name="Rectangle: Single Corner Rounded 17">
          <a:extLst>
            <a:ext uri="{FF2B5EF4-FFF2-40B4-BE49-F238E27FC236}">
              <a16:creationId xmlns:a16="http://schemas.microsoft.com/office/drawing/2014/main" id="{DDCDA9F7-6955-4DA6-A6CD-A208913CFABA}"/>
            </a:ext>
          </a:extLst>
        </xdr:cNvPr>
        <xdr:cNvSpPr/>
      </xdr:nvSpPr>
      <xdr:spPr>
        <a:xfrm>
          <a:off x="7924800" y="1123950"/>
          <a:ext cx="1304925" cy="419100"/>
        </a:xfrm>
        <a:prstGeom prst="round1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280DA3-AF50-42BA-8CFE-C271BA272CFF}" type="TxLink">
            <a:rPr lang="en-US" sz="1800" b="0" i="0" u="none" strike="noStrike">
              <a:solidFill>
                <a:schemeClr val="bg1"/>
              </a:solidFill>
              <a:latin typeface="Calibri"/>
              <a:ea typeface="Calibri"/>
              <a:cs typeface="Calibri"/>
            </a:rPr>
            <a:pPr algn="ctr"/>
            <a:t>10</a:t>
          </a:fld>
          <a:endParaRPr lang="en-US" sz="1800">
            <a:solidFill>
              <a:schemeClr val="bg1"/>
            </a:solidFill>
          </a:endParaRPr>
        </a:p>
      </xdr:txBody>
    </xdr:sp>
    <xdr:clientData/>
  </xdr:twoCellAnchor>
  <xdr:twoCellAnchor>
    <xdr:from>
      <xdr:col>17</xdr:col>
      <xdr:colOff>152400</xdr:colOff>
      <xdr:row>5</xdr:row>
      <xdr:rowOff>152400</xdr:rowOff>
    </xdr:from>
    <xdr:to>
      <xdr:col>19</xdr:col>
      <xdr:colOff>238125</xdr:colOff>
      <xdr:row>8</xdr:row>
      <xdr:rowOff>0</xdr:rowOff>
    </xdr:to>
    <xdr:sp macro="" textlink="Pivot!B30">
      <xdr:nvSpPr>
        <xdr:cNvPr id="19" name="Rectangle: Single Corner Rounded 18">
          <a:extLst>
            <a:ext uri="{FF2B5EF4-FFF2-40B4-BE49-F238E27FC236}">
              <a16:creationId xmlns:a16="http://schemas.microsoft.com/office/drawing/2014/main" id="{86638444-F13F-4CBA-A93F-2D586DDF1281}"/>
            </a:ext>
          </a:extLst>
        </xdr:cNvPr>
        <xdr:cNvSpPr/>
      </xdr:nvSpPr>
      <xdr:spPr>
        <a:xfrm>
          <a:off x="10515600" y="1114425"/>
          <a:ext cx="1304925" cy="419100"/>
        </a:xfrm>
        <a:prstGeom prst="round1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C215E23-9E89-4592-A42B-BFF70050F1D6}" type="TxLink">
            <a:rPr lang="en-US" sz="1800" b="0" i="0" u="none" strike="noStrike">
              <a:solidFill>
                <a:schemeClr val="bg1"/>
              </a:solidFill>
              <a:latin typeface="Calibri"/>
              <a:ea typeface="Calibri"/>
              <a:cs typeface="Calibri"/>
            </a:rPr>
            <a:pPr marL="0" indent="0" algn="ctr"/>
            <a:t>11</a:t>
          </a:fld>
          <a:endParaRPr lang="en-US" sz="1800" b="0" i="0" u="none" strike="noStrike">
            <a:solidFill>
              <a:schemeClr val="bg1"/>
            </a:solidFill>
            <a:latin typeface="Calibri"/>
            <a:ea typeface="Calibri"/>
            <a:cs typeface="Calibri"/>
          </a:endParaRPr>
        </a:p>
      </xdr:txBody>
    </xdr:sp>
    <xdr:clientData/>
  </xdr:twoCellAnchor>
  <xdr:twoCellAnchor>
    <xdr:from>
      <xdr:col>3</xdr:col>
      <xdr:colOff>180202</xdr:colOff>
      <xdr:row>8</xdr:row>
      <xdr:rowOff>115845</xdr:rowOff>
    </xdr:from>
    <xdr:to>
      <xdr:col>11</xdr:col>
      <xdr:colOff>411892</xdr:colOff>
      <xdr:row>24</xdr:row>
      <xdr:rowOff>12872</xdr:rowOff>
    </xdr:to>
    <xdr:graphicFrame macro="">
      <xdr:nvGraphicFramePr>
        <xdr:cNvPr id="20" name="Chart 19">
          <a:extLst>
            <a:ext uri="{FF2B5EF4-FFF2-40B4-BE49-F238E27FC236}">
              <a16:creationId xmlns:a16="http://schemas.microsoft.com/office/drawing/2014/main" id="{364D4FFF-91B7-4FA5-8B1E-230EF6A78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180202</xdr:colOff>
      <xdr:row>24</xdr:row>
      <xdr:rowOff>77229</xdr:rowOff>
    </xdr:from>
    <xdr:to>
      <xdr:col>11</xdr:col>
      <xdr:colOff>399019</xdr:colOff>
      <xdr:row>40</xdr:row>
      <xdr:rowOff>102972</xdr:rowOff>
    </xdr:to>
    <xdr:graphicFrame macro="">
      <xdr:nvGraphicFramePr>
        <xdr:cNvPr id="21" name="Chart 20">
          <a:extLst>
            <a:ext uri="{FF2B5EF4-FFF2-40B4-BE49-F238E27FC236}">
              <a16:creationId xmlns:a16="http://schemas.microsoft.com/office/drawing/2014/main" id="{203E8E62-FE82-4D16-B330-944B6ABB9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540607</xdr:colOff>
      <xdr:row>24</xdr:row>
      <xdr:rowOff>64359</xdr:rowOff>
    </xdr:from>
    <xdr:to>
      <xdr:col>20</xdr:col>
      <xdr:colOff>525161</xdr:colOff>
      <xdr:row>40</xdr:row>
      <xdr:rowOff>102973</xdr:rowOff>
    </xdr:to>
    <xdr:graphicFrame macro="">
      <xdr:nvGraphicFramePr>
        <xdr:cNvPr id="2" name="Chart 1">
          <a:extLst>
            <a:ext uri="{FF2B5EF4-FFF2-40B4-BE49-F238E27FC236}">
              <a16:creationId xmlns:a16="http://schemas.microsoft.com/office/drawing/2014/main" id="{EFD38434-DDBC-4F47-BACB-C6CA2A2B1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8.589775810186" createdVersion="8" refreshedVersion="8" minRefreshableVersion="3" recordCount="3496" xr:uid="{36323A52-10C5-47F1-98D8-B7003C2D086A}">
  <cacheSource type="worksheet">
    <worksheetSource ref="A4:H3500" sheet="Master Sheet"/>
  </cacheSource>
  <cacheFields count="8">
    <cacheField name="year_id" numFmtId="0">
      <sharedItems containsSemiMixedTypes="0" containsString="0" containsNumber="1" containsInteger="1" minValue="2014" maxValue="2017" count="4">
        <n v="2017"/>
        <n v="2015"/>
        <n v="2016"/>
        <n v="2014"/>
      </sharedItems>
    </cacheField>
    <cacheField name="Merchant_Category" numFmtId="0">
      <sharedItems count="11">
        <s v="Unverified Merchant"/>
        <s v="Very HIGH Volume"/>
        <s v="LOW Volume"/>
        <s v="MEDIUM Volume"/>
        <s v="HIGH Volume"/>
        <s v="Very LOW Volume"/>
        <s v="NEW"/>
        <s v="Non Merchant"/>
        <s v="Inactive Merchant"/>
        <s v="NA"/>
        <s v="?" u="1"/>
      </sharedItems>
    </cacheField>
    <cacheField name="Buyer_Category" numFmtId="0">
      <sharedItems count="12">
        <s v="Guest"/>
        <s v="NEW"/>
        <s v="Casual Buyer"/>
        <s v="One-and-Done"/>
        <s v="Low Engaged"/>
        <s v="Super Engaged"/>
        <s v="Medium Engaged"/>
        <s v="Very Engaged"/>
        <s v="Merchant"/>
        <s v="Getting Engaged"/>
        <s v="Other"/>
        <s v="?" u="1"/>
      </sharedItems>
    </cacheField>
    <cacheField name="Departments" numFmtId="0">
      <sharedItems count="12">
        <s v="Home and Garden"/>
        <s v="Automotive"/>
        <s v="Movies, Music and Games"/>
        <s v="Other"/>
        <s v="Sports and Outdoors"/>
        <s v="Books"/>
        <s v="Clothing and Shoes"/>
        <s v="Electronics and Computers"/>
        <s v="Digital Games and Software"/>
        <s v="Appstore"/>
        <s v="Toys, Kids and Baby"/>
        <s v="Grocery"/>
      </sharedItems>
    </cacheField>
    <cacheField name="Volume" numFmtId="0">
      <sharedItems containsSemiMixedTypes="0" containsString="0" containsNumber="1" minValue="-3368.2" maxValue="4841223477"/>
    </cacheField>
    <cacheField name="Revenue" numFmtId="0">
      <sharedItems containsSemiMixedTypes="0" containsString="0" containsNumber="1" minValue="-0.01" maxValue="122003436.90000001"/>
    </cacheField>
    <cacheField name="Transaction_Count" numFmtId="0">
      <sharedItems containsSemiMixedTypes="0" containsString="0" containsNumber="1" containsInteger="1" minValue="1" maxValue="39973880"/>
    </cacheField>
    <cacheField name="Average selling price" numFmtId="0">
      <sharedItems containsSemiMixedTypes="0" containsString="0" containsNumber="1" minValue="-242.32249999999999" maxValue="9700"/>
    </cacheField>
  </cacheFields>
  <extLst>
    <ext xmlns:x14="http://schemas.microsoft.com/office/spreadsheetml/2009/9/main" uri="{725AE2AE-9491-48be-B2B4-4EB974FC3084}">
      <x14:pivotCacheDefinition pivotCacheId="1606185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6">
  <r>
    <x v="0"/>
    <x v="0"/>
    <x v="0"/>
    <x v="0"/>
    <n v="73.75"/>
    <n v="2.44"/>
    <n v="1"/>
    <n v="73.75"/>
  </r>
  <r>
    <x v="1"/>
    <x v="1"/>
    <x v="1"/>
    <x v="1"/>
    <n v="78650.38"/>
    <n v="2090.5700000000002"/>
    <n v="1680"/>
    <n v="46.815702379999998"/>
  </r>
  <r>
    <x v="1"/>
    <x v="2"/>
    <x v="2"/>
    <x v="1"/>
    <n v="95243.26"/>
    <n v="3460.24"/>
    <n v="2036"/>
    <n v="46.779597250000002"/>
  </r>
  <r>
    <x v="2"/>
    <x v="3"/>
    <x v="0"/>
    <x v="0"/>
    <n v="20617.46"/>
    <n v="761.81"/>
    <n v="5396"/>
    <n v="3.8208784279999999"/>
  </r>
  <r>
    <x v="2"/>
    <x v="4"/>
    <x v="3"/>
    <x v="2"/>
    <n v="4803059.16"/>
    <n v="160582.97"/>
    <n v="23455"/>
    <n v="204.7776235"/>
  </r>
  <r>
    <x v="2"/>
    <x v="4"/>
    <x v="3"/>
    <x v="0"/>
    <n v="7639053.3200000003"/>
    <n v="260398.39"/>
    <n v="130278"/>
    <n v="58.636556589999998"/>
  </r>
  <r>
    <x v="3"/>
    <x v="5"/>
    <x v="4"/>
    <x v="3"/>
    <n v="570.16999999999996"/>
    <n v="24.55"/>
    <n v="281"/>
    <n v="2.0290747329999999"/>
  </r>
  <r>
    <x v="2"/>
    <x v="5"/>
    <x v="3"/>
    <x v="1"/>
    <n v="9814.52"/>
    <n v="277.83999999999997"/>
    <n v="161"/>
    <n v="60.95975155"/>
  </r>
  <r>
    <x v="3"/>
    <x v="3"/>
    <x v="5"/>
    <x v="4"/>
    <n v="20733354.010000002"/>
    <n v="751838.97"/>
    <n v="139536"/>
    <n v="148.58784840000001"/>
  </r>
  <r>
    <x v="0"/>
    <x v="5"/>
    <x v="6"/>
    <x v="1"/>
    <n v="474318.2"/>
    <n v="13312.62"/>
    <n v="12719"/>
    <n v="37.292098439999997"/>
  </r>
  <r>
    <x v="0"/>
    <x v="6"/>
    <x v="7"/>
    <x v="5"/>
    <n v="15651571.460000001"/>
    <n v="642527.84"/>
    <n v="452336"/>
    <n v="34.601648910000002"/>
  </r>
  <r>
    <x v="1"/>
    <x v="4"/>
    <x v="0"/>
    <x v="2"/>
    <n v="4595.1000000000004"/>
    <n v="131.30000000000001"/>
    <n v="2078"/>
    <n v="2.2113089509999999"/>
  </r>
  <r>
    <x v="1"/>
    <x v="3"/>
    <x v="8"/>
    <x v="4"/>
    <n v="122594653.90000001"/>
    <n v="3873041.87"/>
    <n v="274166"/>
    <n v="447.15484020000002"/>
  </r>
  <r>
    <x v="0"/>
    <x v="2"/>
    <x v="4"/>
    <x v="6"/>
    <n v="20281539.289999999"/>
    <n v="684247.7"/>
    <n v="120784"/>
    <n v="167.91577770000001"/>
  </r>
  <r>
    <x v="0"/>
    <x v="7"/>
    <x v="0"/>
    <x v="6"/>
    <n v="16624413.23"/>
    <n v="531147.49"/>
    <n v="67694"/>
    <n v="245.58178319999999"/>
  </r>
  <r>
    <x v="0"/>
    <x v="1"/>
    <x v="1"/>
    <x v="5"/>
    <n v="149340331.40000001"/>
    <n v="4455658.08"/>
    <n v="2539410"/>
    <n v="58.809066430000001"/>
  </r>
  <r>
    <x v="2"/>
    <x v="7"/>
    <x v="1"/>
    <x v="1"/>
    <n v="2311814.27"/>
    <n v="69331.45"/>
    <n v="45870"/>
    <n v="50.39926466"/>
  </r>
  <r>
    <x v="1"/>
    <x v="4"/>
    <x v="7"/>
    <x v="4"/>
    <n v="24018050.440000001"/>
    <n v="834067.4"/>
    <n v="105112"/>
    <n v="228.4996046"/>
  </r>
  <r>
    <x v="3"/>
    <x v="0"/>
    <x v="0"/>
    <x v="2"/>
    <n v="-195.59"/>
    <n v="28.6"/>
    <n v="24"/>
    <n v="-8.1495833330000007"/>
  </r>
  <r>
    <x v="3"/>
    <x v="1"/>
    <x v="3"/>
    <x v="6"/>
    <n v="142136.04"/>
    <n v="4403.07"/>
    <n v="275"/>
    <n v="516.85832730000004"/>
  </r>
  <r>
    <x v="1"/>
    <x v="3"/>
    <x v="0"/>
    <x v="5"/>
    <n v="1128240.26"/>
    <n v="36621.75"/>
    <n v="64067"/>
    <n v="17.61031826"/>
  </r>
  <r>
    <x v="1"/>
    <x v="6"/>
    <x v="1"/>
    <x v="7"/>
    <n v="186229.1"/>
    <n v="6765.76"/>
    <n v="3315"/>
    <n v="56.177707390000002"/>
  </r>
  <r>
    <x v="2"/>
    <x v="3"/>
    <x v="0"/>
    <x v="2"/>
    <n v="212627.08"/>
    <n v="3410.48"/>
    <n v="7016"/>
    <n v="30.306026230000001"/>
  </r>
  <r>
    <x v="0"/>
    <x v="5"/>
    <x v="7"/>
    <x v="7"/>
    <n v="38386.85"/>
    <n v="1611.82"/>
    <n v="1756"/>
    <n v="21.860392940000001"/>
  </r>
  <r>
    <x v="1"/>
    <x v="6"/>
    <x v="7"/>
    <x v="0"/>
    <n v="3155068.58"/>
    <n v="78133.509999999995"/>
    <n v="41710"/>
    <n v="75.642977220000006"/>
  </r>
  <r>
    <x v="1"/>
    <x v="7"/>
    <x v="7"/>
    <x v="8"/>
    <n v="10984864.119999999"/>
    <n v="451088.75"/>
    <n v="309627"/>
    <n v="35.477733270000002"/>
  </r>
  <r>
    <x v="0"/>
    <x v="4"/>
    <x v="6"/>
    <x v="2"/>
    <n v="44082129.090000004"/>
    <n v="1520386.88"/>
    <n v="220576"/>
    <n v="199.8500702"/>
  </r>
  <r>
    <x v="3"/>
    <x v="5"/>
    <x v="0"/>
    <x v="5"/>
    <n v="839179.46"/>
    <n v="30726.21"/>
    <n v="17538"/>
    <n v="47.849210859999999"/>
  </r>
  <r>
    <x v="3"/>
    <x v="1"/>
    <x v="1"/>
    <x v="5"/>
    <n v="186029680.5"/>
    <n v="5415390.1100000003"/>
    <n v="2184582"/>
    <n v="85.155732529999995"/>
  </r>
  <r>
    <x v="2"/>
    <x v="6"/>
    <x v="3"/>
    <x v="8"/>
    <n v="6110187.9500000002"/>
    <n v="200700.93"/>
    <n v="80456"/>
    <n v="75.944465919999999"/>
  </r>
  <r>
    <x v="3"/>
    <x v="5"/>
    <x v="6"/>
    <x v="1"/>
    <n v="5979.78"/>
    <n v="275.83"/>
    <n v="460"/>
    <n v="12.99952174"/>
  </r>
  <r>
    <x v="2"/>
    <x v="5"/>
    <x v="3"/>
    <x v="0"/>
    <n v="124646.73"/>
    <n v="4884.4799999999996"/>
    <n v="3664"/>
    <n v="34.019304040000002"/>
  </r>
  <r>
    <x v="0"/>
    <x v="5"/>
    <x v="9"/>
    <x v="9"/>
    <n v="9824.66"/>
    <n v="380.14"/>
    <n v="298"/>
    <n v="32.968657720000003"/>
  </r>
  <r>
    <x v="1"/>
    <x v="5"/>
    <x v="0"/>
    <x v="2"/>
    <n v="2353.9499999999998"/>
    <n v="76.09"/>
    <n v="2391"/>
    <n v="0.98450439150000002"/>
  </r>
  <r>
    <x v="0"/>
    <x v="1"/>
    <x v="7"/>
    <x v="8"/>
    <n v="128843871.90000001"/>
    <n v="4623296.96"/>
    <n v="3397438"/>
    <n v="37.923833160000001"/>
  </r>
  <r>
    <x v="2"/>
    <x v="8"/>
    <x v="2"/>
    <x v="8"/>
    <n v="16710.080000000002"/>
    <n v="636.88"/>
    <n v="984"/>
    <n v="16.98178862"/>
  </r>
  <r>
    <x v="2"/>
    <x v="7"/>
    <x v="6"/>
    <x v="6"/>
    <n v="14726464.359999999"/>
    <n v="493007.51"/>
    <n v="84419"/>
    <n v="174.4449041"/>
  </r>
  <r>
    <x v="3"/>
    <x v="6"/>
    <x v="6"/>
    <x v="8"/>
    <n v="6345611.5"/>
    <n v="209693.26"/>
    <n v="116452"/>
    <n v="54.491219559999998"/>
  </r>
  <r>
    <x v="0"/>
    <x v="5"/>
    <x v="6"/>
    <x v="2"/>
    <n v="4833758.24"/>
    <n v="125190.25"/>
    <n v="69393"/>
    <n v="69.657721100000003"/>
  </r>
  <r>
    <x v="1"/>
    <x v="9"/>
    <x v="3"/>
    <x v="5"/>
    <n v="17660.36"/>
    <n v="567.03"/>
    <n v="139"/>
    <n v="127.05294960000001"/>
  </r>
  <r>
    <x v="2"/>
    <x v="2"/>
    <x v="5"/>
    <x v="4"/>
    <n v="9440633.8800000008"/>
    <n v="360122.32"/>
    <n v="117891"/>
    <n v="80.079343460000004"/>
  </r>
  <r>
    <x v="1"/>
    <x v="4"/>
    <x v="9"/>
    <x v="5"/>
    <n v="707463354.39999998"/>
    <n v="24134078"/>
    <n v="9675350"/>
    <n v="73.120182150000005"/>
  </r>
  <r>
    <x v="1"/>
    <x v="5"/>
    <x v="7"/>
    <x v="4"/>
    <n v="494485.09"/>
    <n v="18208.79"/>
    <n v="6541"/>
    <n v="75.597781679999997"/>
  </r>
  <r>
    <x v="1"/>
    <x v="2"/>
    <x v="2"/>
    <x v="2"/>
    <n v="32538488.420000002"/>
    <n v="1091111.5900000001"/>
    <n v="188136"/>
    <n v="172.95195190000001"/>
  </r>
  <r>
    <x v="2"/>
    <x v="1"/>
    <x v="0"/>
    <x v="6"/>
    <n v="783778.77"/>
    <n v="18871.07"/>
    <n v="2344"/>
    <n v="334.37660840000001"/>
  </r>
  <r>
    <x v="3"/>
    <x v="0"/>
    <x v="3"/>
    <x v="4"/>
    <n v="179"/>
    <n v="5.49"/>
    <n v="1"/>
    <n v="179"/>
  </r>
  <r>
    <x v="1"/>
    <x v="8"/>
    <x v="0"/>
    <x v="7"/>
    <n v="0"/>
    <n v="0"/>
    <n v="282450"/>
    <n v="0"/>
  </r>
  <r>
    <x v="0"/>
    <x v="3"/>
    <x v="0"/>
    <x v="7"/>
    <n v="379288533"/>
    <n v="11608663.939999999"/>
    <n v="5492165"/>
    <n v="69.059930469999998"/>
  </r>
  <r>
    <x v="0"/>
    <x v="3"/>
    <x v="6"/>
    <x v="4"/>
    <n v="53189591.43"/>
    <n v="1935115.13"/>
    <n v="269965"/>
    <n v="197.0240269"/>
  </r>
  <r>
    <x v="0"/>
    <x v="5"/>
    <x v="2"/>
    <x v="3"/>
    <n v="175.48"/>
    <n v="8.3000000000000007"/>
    <n v="13"/>
    <n v="13.498461539999999"/>
  </r>
  <r>
    <x v="2"/>
    <x v="9"/>
    <x v="0"/>
    <x v="8"/>
    <n v="3929.57"/>
    <n v="264.70999999999998"/>
    <n v="148"/>
    <n v="26.551148649999998"/>
  </r>
  <r>
    <x v="3"/>
    <x v="9"/>
    <x v="0"/>
    <x v="5"/>
    <n v="15773.01"/>
    <n v="555.14"/>
    <n v="157"/>
    <n v="100.46503180000001"/>
  </r>
  <r>
    <x v="3"/>
    <x v="3"/>
    <x v="0"/>
    <x v="7"/>
    <n v="148447479.59999999"/>
    <n v="4642843.6100000003"/>
    <n v="1947756"/>
    <n v="76.21461807"/>
  </r>
  <r>
    <x v="0"/>
    <x v="6"/>
    <x v="2"/>
    <x v="4"/>
    <n v="3862385.25"/>
    <n v="121093.95"/>
    <n v="9031"/>
    <n v="427.68079390000003"/>
  </r>
  <r>
    <x v="0"/>
    <x v="6"/>
    <x v="7"/>
    <x v="6"/>
    <n v="1249018.67"/>
    <n v="42034.57"/>
    <n v="5287"/>
    <n v="236.24336489999999"/>
  </r>
  <r>
    <x v="3"/>
    <x v="8"/>
    <x v="5"/>
    <x v="0"/>
    <n v="0"/>
    <n v="0"/>
    <n v="3"/>
    <n v="0"/>
  </r>
  <r>
    <x v="0"/>
    <x v="8"/>
    <x v="5"/>
    <x v="1"/>
    <n v="204.42"/>
    <n v="8.33"/>
    <n v="8"/>
    <n v="25.552499999999998"/>
  </r>
  <r>
    <x v="3"/>
    <x v="6"/>
    <x v="7"/>
    <x v="5"/>
    <n v="21686591.09"/>
    <n v="857391.67"/>
    <n v="512584"/>
    <n v="42.308365240000001"/>
  </r>
  <r>
    <x v="2"/>
    <x v="4"/>
    <x v="4"/>
    <x v="5"/>
    <n v="727650224.79999995"/>
    <n v="25166441.800000001"/>
    <n v="11635581"/>
    <n v="62.536647270000003"/>
  </r>
  <r>
    <x v="2"/>
    <x v="1"/>
    <x v="2"/>
    <x v="1"/>
    <n v="1098556.56"/>
    <n v="36561.160000000003"/>
    <n v="161064"/>
    <n v="6.8206213680000003"/>
  </r>
  <r>
    <x v="1"/>
    <x v="3"/>
    <x v="8"/>
    <x v="8"/>
    <n v="115396435.90000001"/>
    <n v="4311779.04"/>
    <n v="1892937"/>
    <n v="60.961582909999997"/>
  </r>
  <r>
    <x v="3"/>
    <x v="4"/>
    <x v="2"/>
    <x v="1"/>
    <n v="16435.22"/>
    <n v="504.01"/>
    <n v="203"/>
    <n v="80.961674880000004"/>
  </r>
  <r>
    <x v="1"/>
    <x v="7"/>
    <x v="1"/>
    <x v="6"/>
    <n v="7748368.2400000002"/>
    <n v="243659.16"/>
    <n v="35796"/>
    <n v="216.45905239999999"/>
  </r>
  <r>
    <x v="3"/>
    <x v="5"/>
    <x v="2"/>
    <x v="3"/>
    <n v="130.6"/>
    <n v="6.14"/>
    <n v="886"/>
    <n v="0.14740406319999999"/>
  </r>
  <r>
    <x v="3"/>
    <x v="4"/>
    <x v="0"/>
    <x v="2"/>
    <n v="66672.58"/>
    <n v="2735.34"/>
    <n v="2347"/>
    <n v="28.40757563"/>
  </r>
  <r>
    <x v="1"/>
    <x v="1"/>
    <x v="7"/>
    <x v="3"/>
    <n v="31810103.77"/>
    <n v="963528.92"/>
    <n v="2261630"/>
    <n v="14.065122840000001"/>
  </r>
  <r>
    <x v="2"/>
    <x v="8"/>
    <x v="3"/>
    <x v="1"/>
    <n v="0"/>
    <n v="0"/>
    <n v="2"/>
    <n v="0"/>
  </r>
  <r>
    <x v="3"/>
    <x v="5"/>
    <x v="0"/>
    <x v="3"/>
    <n v="0"/>
    <n v="0"/>
    <n v="35"/>
    <n v="0"/>
  </r>
  <r>
    <x v="0"/>
    <x v="9"/>
    <x v="7"/>
    <x v="7"/>
    <n v="187.65"/>
    <n v="8.7799999999999994"/>
    <n v="9"/>
    <n v="20.85"/>
  </r>
  <r>
    <x v="0"/>
    <x v="4"/>
    <x v="6"/>
    <x v="0"/>
    <n v="134338163.5"/>
    <n v="4420721"/>
    <n v="2704696"/>
    <n v="49.66848899"/>
  </r>
  <r>
    <x v="1"/>
    <x v="7"/>
    <x v="5"/>
    <x v="8"/>
    <n v="8693074.1500000004"/>
    <n v="367817.75"/>
    <n v="275857"/>
    <n v="31.51297284"/>
  </r>
  <r>
    <x v="2"/>
    <x v="6"/>
    <x v="0"/>
    <x v="7"/>
    <n v="793.02"/>
    <n v="29.19"/>
    <n v="124"/>
    <n v="6.3953225810000003"/>
  </r>
  <r>
    <x v="1"/>
    <x v="8"/>
    <x v="3"/>
    <x v="5"/>
    <n v="3669.51"/>
    <n v="143.43"/>
    <n v="116"/>
    <n v="31.6337069"/>
  </r>
  <r>
    <x v="0"/>
    <x v="8"/>
    <x v="7"/>
    <x v="7"/>
    <n v="193.47"/>
    <n v="8.17"/>
    <n v="7"/>
    <n v="27.638571429999999"/>
  </r>
  <r>
    <x v="2"/>
    <x v="5"/>
    <x v="1"/>
    <x v="1"/>
    <n v="39385.129999999997"/>
    <n v="1451.22"/>
    <n v="1738"/>
    <n v="22.661179520000001"/>
  </r>
  <r>
    <x v="3"/>
    <x v="5"/>
    <x v="4"/>
    <x v="1"/>
    <n v="6054.41"/>
    <n v="280.95"/>
    <n v="462"/>
    <n v="13.104783550000001"/>
  </r>
  <r>
    <x v="2"/>
    <x v="6"/>
    <x v="4"/>
    <x v="7"/>
    <n v="649231.23"/>
    <n v="20980.69"/>
    <n v="13260"/>
    <n v="48.961631220000001"/>
  </r>
  <r>
    <x v="0"/>
    <x v="8"/>
    <x v="8"/>
    <x v="5"/>
    <n v="45307.76"/>
    <n v="1060.76"/>
    <n v="553"/>
    <n v="81.930849910000006"/>
  </r>
  <r>
    <x v="2"/>
    <x v="3"/>
    <x v="2"/>
    <x v="7"/>
    <n v="3854273.46"/>
    <n v="145204.60999999999"/>
    <n v="75760"/>
    <n v="50.874781679999998"/>
  </r>
  <r>
    <x v="2"/>
    <x v="4"/>
    <x v="2"/>
    <x v="6"/>
    <n v="10888247.130000001"/>
    <n v="363911.32"/>
    <n v="30525"/>
    <n v="356.69933270000001"/>
  </r>
  <r>
    <x v="2"/>
    <x v="7"/>
    <x v="2"/>
    <x v="6"/>
    <n v="12788078.52"/>
    <n v="407182.52"/>
    <n v="50858"/>
    <n v="251.44674430000001"/>
  </r>
  <r>
    <x v="1"/>
    <x v="3"/>
    <x v="7"/>
    <x v="1"/>
    <n v="513047.54"/>
    <n v="17999.11"/>
    <n v="9968"/>
    <n v="51.469456260000001"/>
  </r>
  <r>
    <x v="1"/>
    <x v="1"/>
    <x v="2"/>
    <x v="5"/>
    <n v="162156251.19999999"/>
    <n v="4494635.9000000004"/>
    <n v="1894120"/>
    <n v="85.610336820000001"/>
  </r>
  <r>
    <x v="0"/>
    <x v="3"/>
    <x v="8"/>
    <x v="10"/>
    <n v="281683982.69999999"/>
    <n v="271136.15999999997"/>
    <n v="876761"/>
    <n v="321.27795680000003"/>
  </r>
  <r>
    <x v="3"/>
    <x v="7"/>
    <x v="0"/>
    <x v="2"/>
    <n v="376001.14"/>
    <n v="34106.68"/>
    <n v="23243"/>
    <n v="16.176962530000001"/>
  </r>
  <r>
    <x v="0"/>
    <x v="5"/>
    <x v="0"/>
    <x v="5"/>
    <n v="1167973.28"/>
    <n v="42863.55"/>
    <n v="27339"/>
    <n v="42.721872779999998"/>
  </r>
  <r>
    <x v="2"/>
    <x v="1"/>
    <x v="2"/>
    <x v="3"/>
    <n v="8519204.75"/>
    <n v="275885.84999999998"/>
    <n v="501613"/>
    <n v="16.983620340000002"/>
  </r>
  <r>
    <x v="3"/>
    <x v="5"/>
    <x v="3"/>
    <x v="4"/>
    <n v="538049.05000000005"/>
    <n v="17703.150000000001"/>
    <n v="4320"/>
    <n v="124.5483912"/>
  </r>
  <r>
    <x v="3"/>
    <x v="6"/>
    <x v="3"/>
    <x v="0"/>
    <n v="669950.92000000004"/>
    <n v="15759.33"/>
    <n v="8085"/>
    <n v="82.863440940000004"/>
  </r>
  <r>
    <x v="1"/>
    <x v="4"/>
    <x v="8"/>
    <x v="10"/>
    <n v="252576138.30000001"/>
    <n v="53611.34"/>
    <n v="751498"/>
    <n v="336.09688690000002"/>
  </r>
  <r>
    <x v="2"/>
    <x v="2"/>
    <x v="6"/>
    <x v="8"/>
    <n v="76476919.219999999"/>
    <n v="3026201.94"/>
    <n v="1982905"/>
    <n v="38.568120620000002"/>
  </r>
  <r>
    <x v="2"/>
    <x v="7"/>
    <x v="8"/>
    <x v="8"/>
    <n v="20479709.02"/>
    <n v="775060.67"/>
    <n v="481584"/>
    <n v="42.525725559999998"/>
  </r>
  <r>
    <x v="2"/>
    <x v="4"/>
    <x v="0"/>
    <x v="5"/>
    <n v="1275464"/>
    <n v="32956.51"/>
    <n v="66195"/>
    <n v="19.268283100000001"/>
  </r>
  <r>
    <x v="3"/>
    <x v="8"/>
    <x v="6"/>
    <x v="2"/>
    <n v="12791.37"/>
    <n v="587.37"/>
    <n v="387"/>
    <n v="33.05263566"/>
  </r>
  <r>
    <x v="0"/>
    <x v="7"/>
    <x v="3"/>
    <x v="4"/>
    <n v="15795662.74"/>
    <n v="509055.68"/>
    <n v="63132"/>
    <n v="250.20057560000001"/>
  </r>
  <r>
    <x v="0"/>
    <x v="7"/>
    <x v="2"/>
    <x v="2"/>
    <n v="191111014.90000001"/>
    <n v="4362663.16"/>
    <n v="1124012"/>
    <n v="170.0257781"/>
  </r>
  <r>
    <x v="3"/>
    <x v="8"/>
    <x v="4"/>
    <x v="2"/>
    <n v="28652.880000000001"/>
    <n v="979.22"/>
    <n v="528"/>
    <n v="54.266818180000001"/>
  </r>
  <r>
    <x v="1"/>
    <x v="5"/>
    <x v="1"/>
    <x v="5"/>
    <n v="4651153.95"/>
    <n v="189612.89"/>
    <n v="152267"/>
    <n v="30.546040510000001"/>
  </r>
  <r>
    <x v="2"/>
    <x v="2"/>
    <x v="8"/>
    <x v="10"/>
    <n v="57571123.43"/>
    <n v="240193.9"/>
    <n v="998421"/>
    <n v="57.662171999999998"/>
  </r>
  <r>
    <x v="1"/>
    <x v="0"/>
    <x v="6"/>
    <x v="4"/>
    <n v="70"/>
    <n v="2.33"/>
    <n v="1"/>
    <n v="70"/>
  </r>
  <r>
    <x v="3"/>
    <x v="8"/>
    <x v="8"/>
    <x v="5"/>
    <n v="55393.33"/>
    <n v="1425.68"/>
    <n v="510"/>
    <n v="108.6143725"/>
  </r>
  <r>
    <x v="1"/>
    <x v="7"/>
    <x v="1"/>
    <x v="5"/>
    <n v="326629602"/>
    <n v="12252717.689999999"/>
    <n v="5634047"/>
    <n v="57.97424161"/>
  </r>
  <r>
    <x v="3"/>
    <x v="9"/>
    <x v="1"/>
    <x v="8"/>
    <n v="4638.5200000000004"/>
    <n v="415.02"/>
    <n v="248"/>
    <n v="18.703709679999999"/>
  </r>
  <r>
    <x v="2"/>
    <x v="2"/>
    <x v="0"/>
    <x v="7"/>
    <n v="67291818.909999996"/>
    <n v="2273237.2599999998"/>
    <n v="1274161"/>
    <n v="52.812649980000003"/>
  </r>
  <r>
    <x v="3"/>
    <x v="8"/>
    <x v="3"/>
    <x v="4"/>
    <n v="5553.75"/>
    <n v="42.25"/>
    <n v="49"/>
    <n v="113.3418367"/>
  </r>
  <r>
    <x v="0"/>
    <x v="9"/>
    <x v="3"/>
    <x v="8"/>
    <n v="5803.33"/>
    <n v="256.95999999999998"/>
    <n v="89"/>
    <n v="65.205955059999994"/>
  </r>
  <r>
    <x v="0"/>
    <x v="3"/>
    <x v="5"/>
    <x v="6"/>
    <n v="15672227.08"/>
    <n v="586609.37"/>
    <n v="91128"/>
    <n v="171.98036920000001"/>
  </r>
  <r>
    <x v="0"/>
    <x v="8"/>
    <x v="0"/>
    <x v="0"/>
    <n v="965.79"/>
    <n v="53.57"/>
    <n v="1657"/>
    <n v="0.58285455639999995"/>
  </r>
  <r>
    <x v="3"/>
    <x v="1"/>
    <x v="4"/>
    <x v="4"/>
    <n v="6103944.5700000003"/>
    <n v="171316.01"/>
    <n v="21574"/>
    <n v="282.93059099999999"/>
  </r>
  <r>
    <x v="2"/>
    <x v="0"/>
    <x v="8"/>
    <x v="5"/>
    <n v="8779.7199999999993"/>
    <n v="378.37"/>
    <n v="415"/>
    <n v="21.155951810000001"/>
  </r>
  <r>
    <x v="2"/>
    <x v="6"/>
    <x v="0"/>
    <x v="0"/>
    <n v="1542810.84"/>
    <n v="51516.18"/>
    <n v="22214"/>
    <n v="69.452185110000002"/>
  </r>
  <r>
    <x v="0"/>
    <x v="2"/>
    <x v="9"/>
    <x v="7"/>
    <n v="2476746.21"/>
    <n v="96484.68"/>
    <n v="58475"/>
    <n v="42.355642750000001"/>
  </r>
  <r>
    <x v="2"/>
    <x v="1"/>
    <x v="9"/>
    <x v="4"/>
    <n v="7571061.71"/>
    <n v="235293.1"/>
    <n v="29951"/>
    <n v="252.78160030000001"/>
  </r>
  <r>
    <x v="0"/>
    <x v="4"/>
    <x v="10"/>
    <x v="8"/>
    <n v="230"/>
    <n v="6.97"/>
    <n v="1"/>
    <n v="230"/>
  </r>
  <r>
    <x v="2"/>
    <x v="4"/>
    <x v="4"/>
    <x v="6"/>
    <n v="20078824.59"/>
    <n v="685707.44"/>
    <n v="65995"/>
    <n v="304.24766410000001"/>
  </r>
  <r>
    <x v="3"/>
    <x v="4"/>
    <x v="4"/>
    <x v="0"/>
    <n v="33944498.359999999"/>
    <n v="1014219.8"/>
    <n v="582766"/>
    <n v="58.247218199999999"/>
  </r>
  <r>
    <x v="2"/>
    <x v="5"/>
    <x v="4"/>
    <x v="6"/>
    <n v="899295.03"/>
    <n v="31028.04"/>
    <n v="9683"/>
    <n v="92.873595989999998"/>
  </r>
  <r>
    <x v="1"/>
    <x v="1"/>
    <x v="4"/>
    <x v="6"/>
    <n v="2636972.4500000002"/>
    <n v="78665.740000000005"/>
    <n v="6501"/>
    <n v="405.62566529999998"/>
  </r>
  <r>
    <x v="3"/>
    <x v="8"/>
    <x v="2"/>
    <x v="0"/>
    <n v="32.79"/>
    <n v="14.13"/>
    <n v="38"/>
    <n v="0.86289473679999995"/>
  </r>
  <r>
    <x v="0"/>
    <x v="4"/>
    <x v="0"/>
    <x v="6"/>
    <n v="12686423.67"/>
    <n v="391943.21"/>
    <n v="35640"/>
    <n v="355.96026010000003"/>
  </r>
  <r>
    <x v="1"/>
    <x v="4"/>
    <x v="1"/>
    <x v="2"/>
    <n v="16252703.140000001"/>
    <n v="630307.81000000006"/>
    <n v="102576"/>
    <n v="158.44547589999999"/>
  </r>
  <r>
    <x v="2"/>
    <x v="4"/>
    <x v="4"/>
    <x v="1"/>
    <n v="2806409.39"/>
    <n v="91056.639999999999"/>
    <n v="62554"/>
    <n v="44.863787930000001"/>
  </r>
  <r>
    <x v="3"/>
    <x v="3"/>
    <x v="7"/>
    <x v="3"/>
    <n v="86074.12"/>
    <n v="2736.59"/>
    <n v="4956"/>
    <n v="17.367659400000001"/>
  </r>
  <r>
    <x v="1"/>
    <x v="7"/>
    <x v="3"/>
    <x v="2"/>
    <n v="40126772.859999999"/>
    <n v="1144817.77"/>
    <n v="250676"/>
    <n v="160.07425069999999"/>
  </r>
  <r>
    <x v="2"/>
    <x v="5"/>
    <x v="5"/>
    <x v="0"/>
    <n v="111752.66"/>
    <n v="4468.4399999999996"/>
    <n v="20732"/>
    <n v="5.3903463250000003"/>
  </r>
  <r>
    <x v="3"/>
    <x v="7"/>
    <x v="3"/>
    <x v="5"/>
    <n v="77808491.939999998"/>
    <n v="2558171.33"/>
    <n v="697105"/>
    <n v="111.6166029"/>
  </r>
  <r>
    <x v="1"/>
    <x v="1"/>
    <x v="7"/>
    <x v="7"/>
    <n v="15110785.640000001"/>
    <n v="464237.95"/>
    <n v="325386"/>
    <n v="46.439569130000002"/>
  </r>
  <r>
    <x v="1"/>
    <x v="3"/>
    <x v="4"/>
    <x v="0"/>
    <n v="22541882.379999999"/>
    <n v="807190.4"/>
    <n v="393319"/>
    <n v="57.311958939999997"/>
  </r>
  <r>
    <x v="0"/>
    <x v="8"/>
    <x v="4"/>
    <x v="7"/>
    <n v="400.3"/>
    <n v="17.34"/>
    <n v="38"/>
    <n v="10.534210529999999"/>
  </r>
  <r>
    <x v="1"/>
    <x v="4"/>
    <x v="3"/>
    <x v="3"/>
    <n v="77319.820000000007"/>
    <n v="2492.08"/>
    <n v="7811"/>
    <n v="9.8988375370000004"/>
  </r>
  <r>
    <x v="0"/>
    <x v="4"/>
    <x v="0"/>
    <x v="7"/>
    <n v="29523.18"/>
    <n v="1037.1300000000001"/>
    <n v="6792"/>
    <n v="4.3467579509999998"/>
  </r>
  <r>
    <x v="2"/>
    <x v="7"/>
    <x v="5"/>
    <x v="1"/>
    <n v="2839044.54"/>
    <n v="83345.259999999995"/>
    <n v="58911"/>
    <n v="48.192095530000003"/>
  </r>
  <r>
    <x v="1"/>
    <x v="3"/>
    <x v="6"/>
    <x v="0"/>
    <n v="18128761.66"/>
    <n v="650990.43000000005"/>
    <n v="317155"/>
    <n v="57.160573409999998"/>
  </r>
  <r>
    <x v="3"/>
    <x v="7"/>
    <x v="9"/>
    <x v="8"/>
    <n v="16936352.07"/>
    <n v="653311.66"/>
    <n v="391331"/>
    <n v="43.278840850000002"/>
  </r>
  <r>
    <x v="3"/>
    <x v="6"/>
    <x v="3"/>
    <x v="7"/>
    <n v="43232.47"/>
    <n v="1335.57"/>
    <n v="688"/>
    <n v="62.837892439999997"/>
  </r>
  <r>
    <x v="2"/>
    <x v="5"/>
    <x v="0"/>
    <x v="8"/>
    <n v="30190522.010000002"/>
    <n v="1073822.22"/>
    <n v="665438"/>
    <n v="45.369398820000001"/>
  </r>
  <r>
    <x v="3"/>
    <x v="3"/>
    <x v="1"/>
    <x v="1"/>
    <n v="32817.71"/>
    <n v="1215.0999999999999"/>
    <n v="738"/>
    <n v="44.468441730000002"/>
  </r>
  <r>
    <x v="2"/>
    <x v="0"/>
    <x v="8"/>
    <x v="6"/>
    <n v="75"/>
    <n v="2.78"/>
    <n v="2"/>
    <n v="37.5"/>
  </r>
  <r>
    <x v="2"/>
    <x v="4"/>
    <x v="1"/>
    <x v="7"/>
    <n v="9998696.4000000004"/>
    <n v="351469.43"/>
    <n v="176822"/>
    <n v="56.546676320000003"/>
  </r>
  <r>
    <x v="3"/>
    <x v="8"/>
    <x v="0"/>
    <x v="0"/>
    <n v="0"/>
    <n v="0"/>
    <n v="311812"/>
    <n v="0"/>
  </r>
  <r>
    <x v="1"/>
    <x v="3"/>
    <x v="2"/>
    <x v="2"/>
    <n v="41287325.020000003"/>
    <n v="1390838.48"/>
    <n v="174164"/>
    <n v="237.0600412"/>
  </r>
  <r>
    <x v="2"/>
    <x v="5"/>
    <x v="0"/>
    <x v="6"/>
    <n v="9554.0499999999993"/>
    <n v="187.31"/>
    <n v="161"/>
    <n v="59.34192547"/>
  </r>
  <r>
    <x v="1"/>
    <x v="1"/>
    <x v="7"/>
    <x v="2"/>
    <n v="6446428.9000000004"/>
    <n v="221774.81"/>
    <n v="40164"/>
    <n v="160.50266160000001"/>
  </r>
  <r>
    <x v="1"/>
    <x v="5"/>
    <x v="0"/>
    <x v="7"/>
    <n v="1787161.18"/>
    <n v="67293.13"/>
    <n v="98609"/>
    <n v="18.123712640000001"/>
  </r>
  <r>
    <x v="2"/>
    <x v="4"/>
    <x v="7"/>
    <x v="0"/>
    <n v="51348806.729999997"/>
    <n v="1643670.14"/>
    <n v="1016175"/>
    <n v="50.531460359999997"/>
  </r>
  <r>
    <x v="1"/>
    <x v="2"/>
    <x v="8"/>
    <x v="0"/>
    <n v="3096535.33"/>
    <n v="113968.61"/>
    <n v="53047"/>
    <n v="58.373429790000003"/>
  </r>
  <r>
    <x v="0"/>
    <x v="5"/>
    <x v="0"/>
    <x v="2"/>
    <n v="44074.93"/>
    <n v="782.91"/>
    <n v="1619"/>
    <n v="27.223551579999999"/>
  </r>
  <r>
    <x v="3"/>
    <x v="4"/>
    <x v="3"/>
    <x v="4"/>
    <n v="3727079.07"/>
    <n v="116988.91"/>
    <n v="11264"/>
    <n v="330.88415040000001"/>
  </r>
  <r>
    <x v="3"/>
    <x v="3"/>
    <x v="7"/>
    <x v="6"/>
    <n v="8859161.1099999994"/>
    <n v="317631.75"/>
    <n v="48333"/>
    <n v="183.29425259999999"/>
  </r>
  <r>
    <x v="0"/>
    <x v="7"/>
    <x v="5"/>
    <x v="9"/>
    <n v="538010.14"/>
    <n v="19088.52"/>
    <n v="9554"/>
    <n v="56.312553899999997"/>
  </r>
  <r>
    <x v="3"/>
    <x v="4"/>
    <x v="5"/>
    <x v="7"/>
    <n v="2535603.77"/>
    <n v="81618.41"/>
    <n v="41712"/>
    <n v="60.788352750000001"/>
  </r>
  <r>
    <x v="3"/>
    <x v="4"/>
    <x v="4"/>
    <x v="7"/>
    <n v="9654471.9900000002"/>
    <n v="310353.84000000003"/>
    <n v="162309"/>
    <n v="59.482049609999997"/>
  </r>
  <r>
    <x v="2"/>
    <x v="4"/>
    <x v="8"/>
    <x v="8"/>
    <n v="175692079.90000001"/>
    <n v="6096757.1500000004"/>
    <n v="2429331"/>
    <n v="72.321178099999997"/>
  </r>
  <r>
    <x v="1"/>
    <x v="0"/>
    <x v="6"/>
    <x v="8"/>
    <n v="-1006.1"/>
    <n v="9.07"/>
    <n v="12"/>
    <n v="-83.841666669999995"/>
  </r>
  <r>
    <x v="0"/>
    <x v="0"/>
    <x v="8"/>
    <x v="1"/>
    <n v="0"/>
    <n v="0"/>
    <n v="1"/>
    <n v="0"/>
  </r>
  <r>
    <x v="1"/>
    <x v="6"/>
    <x v="8"/>
    <x v="5"/>
    <n v="26398016.719999999"/>
    <n v="948877.78"/>
    <n v="404186"/>
    <n v="65.311556359999997"/>
  </r>
  <r>
    <x v="1"/>
    <x v="7"/>
    <x v="9"/>
    <x v="6"/>
    <n v="13145181.74"/>
    <n v="407435.13"/>
    <n v="60807"/>
    <n v="216.17875799999999"/>
  </r>
  <r>
    <x v="2"/>
    <x v="8"/>
    <x v="0"/>
    <x v="4"/>
    <n v="879.75"/>
    <n v="34.270000000000003"/>
    <n v="68"/>
    <n v="12.9375"/>
  </r>
  <r>
    <x v="0"/>
    <x v="0"/>
    <x v="3"/>
    <x v="5"/>
    <n v="509.36"/>
    <n v="22.54"/>
    <n v="20"/>
    <n v="25.468"/>
  </r>
  <r>
    <x v="1"/>
    <x v="6"/>
    <x v="5"/>
    <x v="1"/>
    <n v="13664.97"/>
    <n v="534.08000000000004"/>
    <n v="991"/>
    <n v="13.78907164"/>
  </r>
  <r>
    <x v="1"/>
    <x v="7"/>
    <x v="4"/>
    <x v="4"/>
    <n v="38671834.07"/>
    <n v="1183178.21"/>
    <n v="218992"/>
    <n v="176.59016800000001"/>
  </r>
  <r>
    <x v="3"/>
    <x v="4"/>
    <x v="0"/>
    <x v="3"/>
    <n v="339.18"/>
    <n v="31.62"/>
    <n v="2318"/>
    <n v="0.14632441760000001"/>
  </r>
  <r>
    <x v="2"/>
    <x v="5"/>
    <x v="6"/>
    <x v="5"/>
    <n v="8867162.5800000001"/>
    <n v="358695.96"/>
    <n v="274987"/>
    <n v="32.245751910000003"/>
  </r>
  <r>
    <x v="1"/>
    <x v="7"/>
    <x v="7"/>
    <x v="6"/>
    <n v="7422086.8700000001"/>
    <n v="248791.03"/>
    <n v="48245"/>
    <n v="153.84157669999999"/>
  </r>
  <r>
    <x v="3"/>
    <x v="5"/>
    <x v="0"/>
    <x v="0"/>
    <n v="34.340000000000003"/>
    <n v="14.42"/>
    <n v="118"/>
    <n v="0.29101694919999999"/>
  </r>
  <r>
    <x v="3"/>
    <x v="6"/>
    <x v="6"/>
    <x v="5"/>
    <n v="27119039.93"/>
    <n v="1060521.57"/>
    <n v="598854"/>
    <n v="45.284894029999997"/>
  </r>
  <r>
    <x v="2"/>
    <x v="7"/>
    <x v="0"/>
    <x v="5"/>
    <n v="1344100.34"/>
    <n v="35663.58"/>
    <n v="47550"/>
    <n v="28.26709443"/>
  </r>
  <r>
    <x v="1"/>
    <x v="0"/>
    <x v="7"/>
    <x v="5"/>
    <n v="14028.78"/>
    <n v="533.76"/>
    <n v="543"/>
    <n v="25.83569061"/>
  </r>
  <r>
    <x v="0"/>
    <x v="3"/>
    <x v="5"/>
    <x v="4"/>
    <n v="32808406.640000001"/>
    <n v="1242419.53"/>
    <n v="210189"/>
    <n v="156.0900268"/>
  </r>
  <r>
    <x v="0"/>
    <x v="5"/>
    <x v="3"/>
    <x v="2"/>
    <n v="1576808.11"/>
    <n v="41690.480000000003"/>
    <n v="16625"/>
    <n v="94.845600599999997"/>
  </r>
  <r>
    <x v="3"/>
    <x v="7"/>
    <x v="1"/>
    <x v="2"/>
    <n v="103758581.90000001"/>
    <n v="3273689.16"/>
    <n v="769654"/>
    <n v="134.8119829"/>
  </r>
  <r>
    <x v="1"/>
    <x v="4"/>
    <x v="2"/>
    <x v="3"/>
    <n v="505315.07"/>
    <n v="17549.73"/>
    <n v="41372"/>
    <n v="12.213938649999999"/>
  </r>
  <r>
    <x v="0"/>
    <x v="2"/>
    <x v="1"/>
    <x v="6"/>
    <n v="16479400.26"/>
    <n v="546562.91"/>
    <n v="67919"/>
    <n v="242.6331404"/>
  </r>
  <r>
    <x v="0"/>
    <x v="7"/>
    <x v="1"/>
    <x v="1"/>
    <n v="8491061.6999999993"/>
    <n v="266821.34000000003"/>
    <n v="179365"/>
    <n v="47.339568479999997"/>
  </r>
  <r>
    <x v="2"/>
    <x v="8"/>
    <x v="9"/>
    <x v="8"/>
    <n v="33391.65"/>
    <n v="840.22"/>
    <n v="1311"/>
    <n v="25.470366129999999"/>
  </r>
  <r>
    <x v="3"/>
    <x v="1"/>
    <x v="6"/>
    <x v="0"/>
    <n v="132737840.90000001"/>
    <n v="2864932.65"/>
    <n v="1662327"/>
    <n v="79.850619600000002"/>
  </r>
  <r>
    <x v="0"/>
    <x v="3"/>
    <x v="2"/>
    <x v="2"/>
    <n v="50017923.840000004"/>
    <n v="1573179.93"/>
    <n v="190261"/>
    <n v="262.89110140000003"/>
  </r>
  <r>
    <x v="2"/>
    <x v="4"/>
    <x v="3"/>
    <x v="5"/>
    <n v="84795055.560000002"/>
    <n v="2766397.1"/>
    <n v="944469"/>
    <n v="89.780665709999994"/>
  </r>
  <r>
    <x v="0"/>
    <x v="8"/>
    <x v="4"/>
    <x v="8"/>
    <n v="21186.94"/>
    <n v="846.47"/>
    <n v="1248"/>
    <n v="16.976714739999998"/>
  </r>
  <r>
    <x v="0"/>
    <x v="9"/>
    <x v="5"/>
    <x v="5"/>
    <n v="26895.51"/>
    <n v="1061.45"/>
    <n v="599"/>
    <n v="44.900684470000002"/>
  </r>
  <r>
    <x v="3"/>
    <x v="7"/>
    <x v="6"/>
    <x v="5"/>
    <n v="724034840.39999998"/>
    <n v="26459690"/>
    <n v="12567557"/>
    <n v="57.611422840000003"/>
  </r>
  <r>
    <x v="1"/>
    <x v="4"/>
    <x v="8"/>
    <x v="6"/>
    <n v="67184720.890000001"/>
    <n v="2006223.13"/>
    <n v="81464"/>
    <n v="824.71669559999998"/>
  </r>
  <r>
    <x v="0"/>
    <x v="8"/>
    <x v="8"/>
    <x v="9"/>
    <n v="0"/>
    <n v="0"/>
    <n v="1"/>
    <n v="0"/>
  </r>
  <r>
    <x v="3"/>
    <x v="3"/>
    <x v="2"/>
    <x v="1"/>
    <n v="21329.24"/>
    <n v="690.53"/>
    <n v="264"/>
    <n v="80.792575760000005"/>
  </r>
  <r>
    <x v="1"/>
    <x v="7"/>
    <x v="6"/>
    <x v="1"/>
    <n v="1768854.05"/>
    <n v="49814.36"/>
    <n v="23782"/>
    <n v="74.377850899999999"/>
  </r>
  <r>
    <x v="0"/>
    <x v="2"/>
    <x v="2"/>
    <x v="9"/>
    <n v="70533.77"/>
    <n v="2865.52"/>
    <n v="2502"/>
    <n v="28.190955240000001"/>
  </r>
  <r>
    <x v="0"/>
    <x v="7"/>
    <x v="5"/>
    <x v="6"/>
    <n v="7661226.5599999996"/>
    <n v="274902.65999999997"/>
    <n v="57142"/>
    <n v="134.07347590000001"/>
  </r>
  <r>
    <x v="3"/>
    <x v="1"/>
    <x v="4"/>
    <x v="3"/>
    <n v="25517477.050000001"/>
    <n v="744994.66"/>
    <n v="1832898"/>
    <n v="13.921929670000001"/>
  </r>
  <r>
    <x v="2"/>
    <x v="4"/>
    <x v="8"/>
    <x v="2"/>
    <n v="300787029.30000001"/>
    <n v="7533833.9800000004"/>
    <n v="494144"/>
    <n v="608.70319040000004"/>
  </r>
  <r>
    <x v="3"/>
    <x v="2"/>
    <x v="1"/>
    <x v="5"/>
    <n v="159599343.09999999"/>
    <n v="7016698.6299999999"/>
    <n v="5338276"/>
    <n v="29.89716962"/>
  </r>
  <r>
    <x v="0"/>
    <x v="9"/>
    <x v="4"/>
    <x v="8"/>
    <n v="2159.62"/>
    <n v="159.31"/>
    <n v="145"/>
    <n v="14.893931029999999"/>
  </r>
  <r>
    <x v="2"/>
    <x v="8"/>
    <x v="4"/>
    <x v="7"/>
    <n v="125.27"/>
    <n v="6.44"/>
    <n v="70"/>
    <n v="1.789571429"/>
  </r>
  <r>
    <x v="2"/>
    <x v="9"/>
    <x v="1"/>
    <x v="8"/>
    <n v="11081.56"/>
    <n v="473.07"/>
    <n v="288"/>
    <n v="38.477638890000001"/>
  </r>
  <r>
    <x v="1"/>
    <x v="4"/>
    <x v="6"/>
    <x v="3"/>
    <n v="1750724.93"/>
    <n v="64947.29"/>
    <n v="108960"/>
    <n v="16.06759297"/>
  </r>
  <r>
    <x v="2"/>
    <x v="2"/>
    <x v="0"/>
    <x v="5"/>
    <n v="30033056.989999998"/>
    <n v="1218853.55"/>
    <n v="959105"/>
    <n v="31.313627799999999"/>
  </r>
  <r>
    <x v="0"/>
    <x v="7"/>
    <x v="0"/>
    <x v="9"/>
    <n v="4884.49"/>
    <n v="161.82"/>
    <n v="68"/>
    <n v="71.830735290000007"/>
  </r>
  <r>
    <x v="0"/>
    <x v="6"/>
    <x v="7"/>
    <x v="9"/>
    <n v="41060.6"/>
    <n v="1595.64"/>
    <n v="1616"/>
    <n v="25.40878713"/>
  </r>
  <r>
    <x v="1"/>
    <x v="0"/>
    <x v="0"/>
    <x v="6"/>
    <n v="1511.42"/>
    <n v="44.13"/>
    <n v="1"/>
    <n v="1511.42"/>
  </r>
  <r>
    <x v="2"/>
    <x v="1"/>
    <x v="0"/>
    <x v="4"/>
    <n v="22080.98"/>
    <n v="420.96"/>
    <n v="163"/>
    <n v="135.46613500000001"/>
  </r>
  <r>
    <x v="3"/>
    <x v="4"/>
    <x v="2"/>
    <x v="4"/>
    <n v="11876134.279999999"/>
    <n v="387560.53"/>
    <n v="48673"/>
    <n v="243.99840320000001"/>
  </r>
  <r>
    <x v="0"/>
    <x v="9"/>
    <x v="0"/>
    <x v="8"/>
    <n v="6595.07"/>
    <n v="251.18"/>
    <n v="116"/>
    <n v="56.854051720000001"/>
  </r>
  <r>
    <x v="3"/>
    <x v="4"/>
    <x v="4"/>
    <x v="8"/>
    <n v="129825813.3"/>
    <n v="4725234.5999999996"/>
    <n v="2679127"/>
    <n v="48.458252739999999"/>
  </r>
  <r>
    <x v="1"/>
    <x v="5"/>
    <x v="5"/>
    <x v="3"/>
    <n v="537.04999999999995"/>
    <n v="12.26"/>
    <n v="262"/>
    <n v="2.0498091600000001"/>
  </r>
  <r>
    <x v="2"/>
    <x v="1"/>
    <x v="3"/>
    <x v="3"/>
    <n v="1088060.28"/>
    <n v="37209.08"/>
    <n v="83820"/>
    <n v="12.980914820000001"/>
  </r>
  <r>
    <x v="0"/>
    <x v="8"/>
    <x v="0"/>
    <x v="7"/>
    <n v="966.03"/>
    <n v="120.99"/>
    <n v="1011"/>
    <n v="0.95551928779999995"/>
  </r>
  <r>
    <x v="3"/>
    <x v="8"/>
    <x v="0"/>
    <x v="7"/>
    <n v="3273.25"/>
    <n v="130.13"/>
    <n v="882"/>
    <n v="3.7111678000000001"/>
  </r>
  <r>
    <x v="0"/>
    <x v="6"/>
    <x v="2"/>
    <x v="1"/>
    <n v="122043.07"/>
    <n v="3707.73"/>
    <n v="2633"/>
    <n v="46.351336879999998"/>
  </r>
  <r>
    <x v="3"/>
    <x v="5"/>
    <x v="1"/>
    <x v="1"/>
    <n v="6340.59"/>
    <n v="231.73"/>
    <n v="883"/>
    <n v="7.1807361270000003"/>
  </r>
  <r>
    <x v="0"/>
    <x v="8"/>
    <x v="8"/>
    <x v="10"/>
    <n v="31634.35"/>
    <n v="178.34"/>
    <n v="626"/>
    <n v="50.534105429999997"/>
  </r>
  <r>
    <x v="2"/>
    <x v="1"/>
    <x v="4"/>
    <x v="8"/>
    <n v="177236551.59999999"/>
    <n v="6117505.8600000003"/>
    <n v="4689299"/>
    <n v="37.795958759999998"/>
  </r>
  <r>
    <x v="2"/>
    <x v="6"/>
    <x v="9"/>
    <x v="0"/>
    <n v="9735567.8100000005"/>
    <n v="256600.38"/>
    <n v="164546"/>
    <n v="59.166238069999999"/>
  </r>
  <r>
    <x v="0"/>
    <x v="0"/>
    <x v="6"/>
    <x v="5"/>
    <n v="14609.74"/>
    <n v="692.83"/>
    <n v="803"/>
    <n v="18.193947699999999"/>
  </r>
  <r>
    <x v="0"/>
    <x v="6"/>
    <x v="4"/>
    <x v="0"/>
    <n v="10219131.57"/>
    <n v="291773.26"/>
    <n v="223647"/>
    <n v="45.69313056"/>
  </r>
  <r>
    <x v="3"/>
    <x v="6"/>
    <x v="4"/>
    <x v="0"/>
    <n v="6342764.9100000001"/>
    <n v="134054.95000000001"/>
    <n v="86798"/>
    <n v="73.075012209999997"/>
  </r>
  <r>
    <x v="0"/>
    <x v="7"/>
    <x v="0"/>
    <x v="4"/>
    <n v="341670.48"/>
    <n v="5538.25"/>
    <n v="2688"/>
    <n v="127.1095536"/>
  </r>
  <r>
    <x v="2"/>
    <x v="6"/>
    <x v="1"/>
    <x v="2"/>
    <n v="4588945.4000000004"/>
    <n v="123471.38"/>
    <n v="27988"/>
    <n v="163.96117620000001"/>
  </r>
  <r>
    <x v="0"/>
    <x v="3"/>
    <x v="2"/>
    <x v="0"/>
    <n v="19745955.039999999"/>
    <n v="748384.54"/>
    <n v="352312"/>
    <n v="56.04678535"/>
  </r>
  <r>
    <x v="1"/>
    <x v="1"/>
    <x v="9"/>
    <x v="4"/>
    <n v="8110070.1200000001"/>
    <n v="251110.95"/>
    <n v="26812"/>
    <n v="302.47911829999998"/>
  </r>
  <r>
    <x v="3"/>
    <x v="6"/>
    <x v="4"/>
    <x v="1"/>
    <n v="4710.1899999999996"/>
    <n v="150.87"/>
    <n v="124"/>
    <n v="37.985403230000003"/>
  </r>
  <r>
    <x v="0"/>
    <x v="5"/>
    <x v="6"/>
    <x v="4"/>
    <n v="1246963.8600000001"/>
    <n v="44666.86"/>
    <n v="14406"/>
    <n v="86.558646400000001"/>
  </r>
  <r>
    <x v="3"/>
    <x v="4"/>
    <x v="6"/>
    <x v="6"/>
    <n v="9803555.8900000006"/>
    <n v="316473.73"/>
    <n v="33387"/>
    <n v="293.6339261"/>
  </r>
  <r>
    <x v="2"/>
    <x v="7"/>
    <x v="8"/>
    <x v="1"/>
    <n v="4769809.8099999996"/>
    <n v="80851.460000000006"/>
    <n v="45932"/>
    <n v="103.84502759999999"/>
  </r>
  <r>
    <x v="2"/>
    <x v="3"/>
    <x v="2"/>
    <x v="8"/>
    <n v="118981858.90000001"/>
    <n v="4286052.28"/>
    <n v="1766853"/>
    <n v="67.341119430000006"/>
  </r>
  <r>
    <x v="0"/>
    <x v="8"/>
    <x v="8"/>
    <x v="7"/>
    <n v="286.60000000000002"/>
    <n v="15.87"/>
    <n v="240"/>
    <n v="1.194166667"/>
  </r>
  <r>
    <x v="3"/>
    <x v="1"/>
    <x v="7"/>
    <x v="7"/>
    <n v="8411477.25"/>
    <n v="276693.55"/>
    <n v="263359"/>
    <n v="31.939205609999998"/>
  </r>
  <r>
    <x v="1"/>
    <x v="1"/>
    <x v="4"/>
    <x v="7"/>
    <n v="30469424.059999999"/>
    <n v="869434.49"/>
    <n v="574581"/>
    <n v="53.028944670000001"/>
  </r>
  <r>
    <x v="1"/>
    <x v="2"/>
    <x v="9"/>
    <x v="3"/>
    <n v="34049.379999999997"/>
    <n v="936.5"/>
    <n v="1765"/>
    <n v="19.291433430000001"/>
  </r>
  <r>
    <x v="1"/>
    <x v="1"/>
    <x v="3"/>
    <x v="8"/>
    <n v="11925502.960000001"/>
    <n v="361241.01"/>
    <n v="182028"/>
    <n v="65.514662360000003"/>
  </r>
  <r>
    <x v="1"/>
    <x v="5"/>
    <x v="8"/>
    <x v="8"/>
    <n v="3639921.44"/>
    <n v="153480.1"/>
    <n v="211982"/>
    <n v="17.170898659999999"/>
  </r>
  <r>
    <x v="2"/>
    <x v="5"/>
    <x v="3"/>
    <x v="6"/>
    <n v="619588.14"/>
    <n v="20201.849999999999"/>
    <n v="4935"/>
    <n v="125.54977510000001"/>
  </r>
  <r>
    <x v="0"/>
    <x v="1"/>
    <x v="7"/>
    <x v="0"/>
    <n v="635743373.79999995"/>
    <n v="15267724"/>
    <n v="14004836"/>
    <n v="45.394560400000003"/>
  </r>
  <r>
    <x v="2"/>
    <x v="6"/>
    <x v="2"/>
    <x v="5"/>
    <n v="8484770.0500000007"/>
    <n v="312240.48"/>
    <n v="154148"/>
    <n v="55.043010940000002"/>
  </r>
  <r>
    <x v="2"/>
    <x v="4"/>
    <x v="3"/>
    <x v="4"/>
    <n v="5218465.2300000004"/>
    <n v="171844.2"/>
    <n v="15124"/>
    <n v="345.04530749999998"/>
  </r>
  <r>
    <x v="2"/>
    <x v="1"/>
    <x v="7"/>
    <x v="6"/>
    <n v="3000665.09"/>
    <n v="84385.41"/>
    <n v="6643"/>
    <n v="451.7033103"/>
  </r>
  <r>
    <x v="0"/>
    <x v="8"/>
    <x v="5"/>
    <x v="4"/>
    <n v="15.9"/>
    <n v="1.93"/>
    <n v="8"/>
    <n v="1.9875"/>
  </r>
  <r>
    <x v="3"/>
    <x v="4"/>
    <x v="5"/>
    <x v="8"/>
    <n v="40115824.32"/>
    <n v="1468292.71"/>
    <n v="808406"/>
    <n v="49.623362909999997"/>
  </r>
  <r>
    <x v="1"/>
    <x v="5"/>
    <x v="2"/>
    <x v="6"/>
    <n v="864510.64"/>
    <n v="28382.959999999999"/>
    <n v="7646"/>
    <n v="113.0670468"/>
  </r>
  <r>
    <x v="0"/>
    <x v="2"/>
    <x v="9"/>
    <x v="4"/>
    <n v="36451972.240000002"/>
    <n v="1225866.06"/>
    <n v="183213"/>
    <n v="198.95952930000001"/>
  </r>
  <r>
    <x v="3"/>
    <x v="4"/>
    <x v="0"/>
    <x v="7"/>
    <n v="487950833.89999998"/>
    <n v="13224517.460000001"/>
    <n v="5243904"/>
    <n v="93.051061559999994"/>
  </r>
  <r>
    <x v="3"/>
    <x v="4"/>
    <x v="1"/>
    <x v="7"/>
    <n v="4112962.46"/>
    <n v="137932.68"/>
    <n v="63650"/>
    <n v="64.618420420000007"/>
  </r>
  <r>
    <x v="3"/>
    <x v="1"/>
    <x v="0"/>
    <x v="6"/>
    <n v="2713.74"/>
    <n v="29.47"/>
    <n v="16"/>
    <n v="169.60874999999999"/>
  </r>
  <r>
    <x v="3"/>
    <x v="6"/>
    <x v="6"/>
    <x v="1"/>
    <n v="8105.79"/>
    <n v="259.70999999999998"/>
    <n v="128"/>
    <n v="63.326484379999997"/>
  </r>
  <r>
    <x v="0"/>
    <x v="1"/>
    <x v="3"/>
    <x v="7"/>
    <n v="6489835.5"/>
    <n v="192803.31"/>
    <n v="104611"/>
    <n v="62.03779239"/>
  </r>
  <r>
    <x v="2"/>
    <x v="5"/>
    <x v="5"/>
    <x v="7"/>
    <n v="14254.9"/>
    <n v="652.11"/>
    <n v="13086"/>
    <n v="1.0893244689999999"/>
  </r>
  <r>
    <x v="1"/>
    <x v="8"/>
    <x v="8"/>
    <x v="4"/>
    <n v="38666.6"/>
    <n v="919.1"/>
    <n v="152"/>
    <n v="254.38552630000001"/>
  </r>
  <r>
    <x v="3"/>
    <x v="8"/>
    <x v="7"/>
    <x v="8"/>
    <n v="1877.71"/>
    <n v="100.4"/>
    <n v="212"/>
    <n v="8.8571226420000002"/>
  </r>
  <r>
    <x v="2"/>
    <x v="5"/>
    <x v="2"/>
    <x v="0"/>
    <n v="341216.37"/>
    <n v="13483.22"/>
    <n v="10553"/>
    <n v="32.333589500000002"/>
  </r>
  <r>
    <x v="3"/>
    <x v="3"/>
    <x v="4"/>
    <x v="0"/>
    <n v="12217652.51"/>
    <n v="427363.55"/>
    <n v="219667"/>
    <n v="55.618971029999997"/>
  </r>
  <r>
    <x v="2"/>
    <x v="6"/>
    <x v="2"/>
    <x v="8"/>
    <n v="14617032.91"/>
    <n v="492801.78"/>
    <n v="214899"/>
    <n v="68.018152290000003"/>
  </r>
  <r>
    <x v="2"/>
    <x v="6"/>
    <x v="0"/>
    <x v="8"/>
    <n v="85787115.390000001"/>
    <n v="2739342.92"/>
    <n v="939019"/>
    <n v="91.358231720000006"/>
  </r>
  <r>
    <x v="0"/>
    <x v="8"/>
    <x v="1"/>
    <x v="5"/>
    <n v="12190.3"/>
    <n v="309.39999999999998"/>
    <n v="366"/>
    <n v="33.306830599999998"/>
  </r>
  <r>
    <x v="3"/>
    <x v="2"/>
    <x v="3"/>
    <x v="3"/>
    <n v="2455.9299999999998"/>
    <n v="108.86"/>
    <n v="266"/>
    <n v="9.2328195490000002"/>
  </r>
  <r>
    <x v="3"/>
    <x v="5"/>
    <x v="8"/>
    <x v="7"/>
    <n v="16983.02"/>
    <n v="770.03"/>
    <n v="69201"/>
    <n v="0.24541581770000001"/>
  </r>
  <r>
    <x v="3"/>
    <x v="2"/>
    <x v="7"/>
    <x v="8"/>
    <n v="26214355.359999999"/>
    <n v="1083472.71"/>
    <n v="745433"/>
    <n v="35.166615049999997"/>
  </r>
  <r>
    <x v="0"/>
    <x v="6"/>
    <x v="5"/>
    <x v="1"/>
    <n v="273868.05"/>
    <n v="10814.48"/>
    <n v="11346"/>
    <n v="24.13785034"/>
  </r>
  <r>
    <x v="3"/>
    <x v="5"/>
    <x v="0"/>
    <x v="6"/>
    <n v="17206.490000000002"/>
    <n v="200.55"/>
    <n v="189"/>
    <n v="91.039629629999993"/>
  </r>
  <r>
    <x v="1"/>
    <x v="6"/>
    <x v="8"/>
    <x v="1"/>
    <n v="40391.800000000003"/>
    <n v="1211.0999999999999"/>
    <n v="422"/>
    <n v="95.715165880000001"/>
  </r>
  <r>
    <x v="0"/>
    <x v="4"/>
    <x v="6"/>
    <x v="4"/>
    <n v="41513144.509999998"/>
    <n v="1465324.27"/>
    <n v="183146"/>
    <n v="226.66694609999999"/>
  </r>
  <r>
    <x v="1"/>
    <x v="6"/>
    <x v="0"/>
    <x v="7"/>
    <n v="923.83"/>
    <n v="46.51"/>
    <n v="141"/>
    <n v="6.5519858160000002"/>
  </r>
  <r>
    <x v="3"/>
    <x v="7"/>
    <x v="3"/>
    <x v="2"/>
    <n v="32006877.949999999"/>
    <n v="893627.55"/>
    <n v="197724"/>
    <n v="161.8765448"/>
  </r>
  <r>
    <x v="3"/>
    <x v="6"/>
    <x v="8"/>
    <x v="5"/>
    <n v="22706289.129999999"/>
    <n v="811398.4"/>
    <n v="357117"/>
    <n v="63.582212920000003"/>
  </r>
  <r>
    <x v="1"/>
    <x v="8"/>
    <x v="3"/>
    <x v="0"/>
    <n v="10.48"/>
    <n v="0.78"/>
    <n v="30"/>
    <n v="0.34933333329999999"/>
  </r>
  <r>
    <x v="2"/>
    <x v="3"/>
    <x v="6"/>
    <x v="5"/>
    <n v="694250325.39999998"/>
    <n v="27729296.82"/>
    <n v="15282218"/>
    <n v="45.428636429999997"/>
  </r>
  <r>
    <x v="3"/>
    <x v="3"/>
    <x v="8"/>
    <x v="1"/>
    <n v="517227.32"/>
    <n v="15203.69"/>
    <n v="2483"/>
    <n v="208.30741839999999"/>
  </r>
  <r>
    <x v="2"/>
    <x v="1"/>
    <x v="8"/>
    <x v="7"/>
    <n v="23457709.219999999"/>
    <n v="618340.44999999995"/>
    <n v="321670"/>
    <n v="72.924765190000002"/>
  </r>
  <r>
    <x v="3"/>
    <x v="4"/>
    <x v="1"/>
    <x v="6"/>
    <n v="4748695.84"/>
    <n v="157535.06"/>
    <n v="15746"/>
    <n v="301.58108979999997"/>
  </r>
  <r>
    <x v="3"/>
    <x v="9"/>
    <x v="1"/>
    <x v="5"/>
    <n v="98357"/>
    <n v="3255.53"/>
    <n v="1032"/>
    <n v="95.307170540000001"/>
  </r>
  <r>
    <x v="2"/>
    <x v="4"/>
    <x v="2"/>
    <x v="1"/>
    <n v="690395.03"/>
    <n v="21643.27"/>
    <n v="14241"/>
    <n v="48.479392599999997"/>
  </r>
  <r>
    <x v="0"/>
    <x v="9"/>
    <x v="1"/>
    <x v="5"/>
    <n v="20051.86"/>
    <n v="752.86"/>
    <n v="350"/>
    <n v="57.291028570000002"/>
  </r>
  <r>
    <x v="3"/>
    <x v="4"/>
    <x v="7"/>
    <x v="5"/>
    <n v="508698925.39999998"/>
    <n v="17239139.75"/>
    <n v="7917553"/>
    <n v="64.249513129999997"/>
  </r>
  <r>
    <x v="2"/>
    <x v="8"/>
    <x v="8"/>
    <x v="6"/>
    <n v="12880.04"/>
    <n v="196.3"/>
    <n v="71"/>
    <n v="181.40901410000001"/>
  </r>
  <r>
    <x v="2"/>
    <x v="3"/>
    <x v="6"/>
    <x v="3"/>
    <n v="206937.92"/>
    <n v="6102.12"/>
    <n v="12072"/>
    <n v="17.141974820000002"/>
  </r>
  <r>
    <x v="1"/>
    <x v="2"/>
    <x v="0"/>
    <x v="7"/>
    <n v="53290564.359999999"/>
    <n v="1807066.83"/>
    <n v="937783"/>
    <n v="56.826114740000001"/>
  </r>
  <r>
    <x v="3"/>
    <x v="3"/>
    <x v="7"/>
    <x v="1"/>
    <n v="129453.1"/>
    <n v="4148.67"/>
    <n v="1288"/>
    <n v="100.5070652"/>
  </r>
  <r>
    <x v="0"/>
    <x v="2"/>
    <x v="8"/>
    <x v="2"/>
    <n v="205726385.40000001"/>
    <n v="4633009.03"/>
    <n v="1194045"/>
    <n v="172.2936618"/>
  </r>
  <r>
    <x v="2"/>
    <x v="5"/>
    <x v="0"/>
    <x v="6"/>
    <n v="1925000.88"/>
    <n v="62471"/>
    <n v="14457"/>
    <n v="133.15355049999999"/>
  </r>
  <r>
    <x v="1"/>
    <x v="4"/>
    <x v="9"/>
    <x v="2"/>
    <n v="34785531.859999999"/>
    <n v="1214348.31"/>
    <n v="188494"/>
    <n v="184.5445047"/>
  </r>
  <r>
    <x v="2"/>
    <x v="2"/>
    <x v="5"/>
    <x v="7"/>
    <n v="530950.18000000005"/>
    <n v="20591.32"/>
    <n v="12847"/>
    <n v="41.328728890000001"/>
  </r>
  <r>
    <x v="1"/>
    <x v="1"/>
    <x v="4"/>
    <x v="4"/>
    <n v="7988143.29"/>
    <n v="242645.75"/>
    <n v="26884"/>
    <n v="297.13373339999998"/>
  </r>
  <r>
    <x v="2"/>
    <x v="4"/>
    <x v="4"/>
    <x v="0"/>
    <n v="102063515.90000001"/>
    <n v="3224942.75"/>
    <n v="1916632"/>
    <n v="53.251493199999999"/>
  </r>
  <r>
    <x v="3"/>
    <x v="4"/>
    <x v="7"/>
    <x v="1"/>
    <n v="32578.34"/>
    <n v="998.29"/>
    <n v="561"/>
    <n v="58.07190731"/>
  </r>
  <r>
    <x v="1"/>
    <x v="4"/>
    <x v="0"/>
    <x v="11"/>
    <n v="1026406466"/>
    <n v="28490071.300000001"/>
    <n v="2331595"/>
    <n v="440.21644659999998"/>
  </r>
  <r>
    <x v="0"/>
    <x v="3"/>
    <x v="0"/>
    <x v="7"/>
    <n v="11860.75"/>
    <n v="356.74"/>
    <n v="2122"/>
    <n v="5.5894203579999999"/>
  </r>
  <r>
    <x v="0"/>
    <x v="5"/>
    <x v="3"/>
    <x v="6"/>
    <n v="516497.24"/>
    <n v="16850.34"/>
    <n v="4382"/>
    <n v="117.8679233"/>
  </r>
  <r>
    <x v="0"/>
    <x v="3"/>
    <x v="8"/>
    <x v="8"/>
    <n v="151731755.90000001"/>
    <n v="5537990.2000000002"/>
    <n v="2337626"/>
    <n v="64.908482309999997"/>
  </r>
  <r>
    <x v="3"/>
    <x v="2"/>
    <x v="0"/>
    <x v="0"/>
    <n v="4490899.3600000003"/>
    <n v="155502.68"/>
    <n v="67189"/>
    <n v="66.83980056"/>
  </r>
  <r>
    <x v="2"/>
    <x v="2"/>
    <x v="8"/>
    <x v="4"/>
    <n v="41356157.869999997"/>
    <n v="1358418.58"/>
    <n v="193208"/>
    <n v="214.04992480000001"/>
  </r>
  <r>
    <x v="0"/>
    <x v="2"/>
    <x v="4"/>
    <x v="8"/>
    <n v="130655782.7"/>
    <n v="4874692.66"/>
    <n v="2872174"/>
    <n v="45.490204519999999"/>
  </r>
  <r>
    <x v="3"/>
    <x v="3"/>
    <x v="0"/>
    <x v="6"/>
    <n v="12309179.210000001"/>
    <n v="394348.05"/>
    <n v="38448"/>
    <n v="320.15135270000002"/>
  </r>
  <r>
    <x v="3"/>
    <x v="9"/>
    <x v="3"/>
    <x v="5"/>
    <n v="25184.37"/>
    <n v="842.44"/>
    <n v="183"/>
    <n v="137.61950820000001"/>
  </r>
  <r>
    <x v="3"/>
    <x v="3"/>
    <x v="6"/>
    <x v="7"/>
    <n v="2824031.76"/>
    <n v="105514.43"/>
    <n v="58591"/>
    <n v="48.199070849999998"/>
  </r>
  <r>
    <x v="2"/>
    <x v="5"/>
    <x v="3"/>
    <x v="4"/>
    <n v="740369.59"/>
    <n v="24790.9"/>
    <n v="5991"/>
    <n v="123.5803021"/>
  </r>
  <r>
    <x v="1"/>
    <x v="2"/>
    <x v="8"/>
    <x v="7"/>
    <n v="688347.74"/>
    <n v="26085.09"/>
    <n v="15539"/>
    <n v="44.298071950000001"/>
  </r>
  <r>
    <x v="0"/>
    <x v="1"/>
    <x v="6"/>
    <x v="2"/>
    <n v="10435038.52"/>
    <n v="355218.37"/>
    <n v="65828"/>
    <n v="158.51975630000001"/>
  </r>
  <r>
    <x v="1"/>
    <x v="2"/>
    <x v="0"/>
    <x v="4"/>
    <n v="125012.12"/>
    <n v="2058.89"/>
    <n v="1243"/>
    <n v="100.5729043"/>
  </r>
  <r>
    <x v="0"/>
    <x v="2"/>
    <x v="5"/>
    <x v="7"/>
    <n v="746857.02"/>
    <n v="29319.68"/>
    <n v="17583"/>
    <n v="42.476085990000001"/>
  </r>
  <r>
    <x v="3"/>
    <x v="5"/>
    <x v="0"/>
    <x v="7"/>
    <n v="1555919.45"/>
    <n v="58835.12"/>
    <n v="59456"/>
    <n v="26.16925878"/>
  </r>
  <r>
    <x v="3"/>
    <x v="1"/>
    <x v="4"/>
    <x v="5"/>
    <n v="298920230.5"/>
    <n v="8300317.3099999996"/>
    <n v="3866674"/>
    <n v="77.306809540000003"/>
  </r>
  <r>
    <x v="3"/>
    <x v="4"/>
    <x v="1"/>
    <x v="2"/>
    <n v="15554782.42"/>
    <n v="570688.18000000005"/>
    <n v="98605"/>
    <n v="157.74841459999999"/>
  </r>
  <r>
    <x v="3"/>
    <x v="6"/>
    <x v="2"/>
    <x v="0"/>
    <n v="3176430.51"/>
    <n v="70661.87"/>
    <n v="40985"/>
    <n v="77.502269369999993"/>
  </r>
  <r>
    <x v="0"/>
    <x v="3"/>
    <x v="2"/>
    <x v="6"/>
    <n v="23644781.760000002"/>
    <n v="793373.39"/>
    <n v="68894"/>
    <n v="343.20523939999998"/>
  </r>
  <r>
    <x v="0"/>
    <x v="9"/>
    <x v="9"/>
    <x v="1"/>
    <n v="4658.01"/>
    <n v="47.95"/>
    <n v="48"/>
    <n v="97.041875000000005"/>
  </r>
  <r>
    <x v="2"/>
    <x v="1"/>
    <x v="5"/>
    <x v="5"/>
    <n v="179271989.69999999"/>
    <n v="5078833.82"/>
    <n v="3528816"/>
    <n v="50.802305840000002"/>
  </r>
  <r>
    <x v="1"/>
    <x v="2"/>
    <x v="7"/>
    <x v="1"/>
    <n v="314386.38"/>
    <n v="11795.39"/>
    <n v="9082"/>
    <n v="34.616425900000003"/>
  </r>
  <r>
    <x v="2"/>
    <x v="3"/>
    <x v="1"/>
    <x v="1"/>
    <n v="1063480.3999999999"/>
    <n v="40410.97"/>
    <n v="34032"/>
    <n v="31.24942407"/>
  </r>
  <r>
    <x v="2"/>
    <x v="7"/>
    <x v="4"/>
    <x v="1"/>
    <n v="7389079.25"/>
    <n v="186387.71"/>
    <n v="107111"/>
    <n v="68.98525128"/>
  </r>
  <r>
    <x v="3"/>
    <x v="5"/>
    <x v="0"/>
    <x v="11"/>
    <n v="3175234.82"/>
    <n v="106341.96"/>
    <n v="42755"/>
    <n v="74.265812650000001"/>
  </r>
  <r>
    <x v="3"/>
    <x v="6"/>
    <x v="5"/>
    <x v="3"/>
    <n v="18474.599999999999"/>
    <n v="661.68"/>
    <n v="911"/>
    <n v="20.279473110000001"/>
  </r>
  <r>
    <x v="3"/>
    <x v="1"/>
    <x v="1"/>
    <x v="1"/>
    <n v="7118.51"/>
    <n v="180.29"/>
    <n v="172"/>
    <n v="41.386686050000002"/>
  </r>
  <r>
    <x v="2"/>
    <x v="6"/>
    <x v="5"/>
    <x v="2"/>
    <n v="1897300"/>
    <n v="61340.94"/>
    <n v="25176"/>
    <n v="75.36145535"/>
  </r>
  <r>
    <x v="2"/>
    <x v="4"/>
    <x v="9"/>
    <x v="5"/>
    <n v="657821312.60000002"/>
    <n v="22526784.420000002"/>
    <n v="9756043"/>
    <n v="67.427061629999997"/>
  </r>
  <r>
    <x v="0"/>
    <x v="2"/>
    <x v="2"/>
    <x v="1"/>
    <n v="1440897.44"/>
    <n v="46320.77"/>
    <n v="37873"/>
    <n v="38.045505769999998"/>
  </r>
  <r>
    <x v="3"/>
    <x v="3"/>
    <x v="0"/>
    <x v="2"/>
    <n v="212546.99"/>
    <n v="5205.7"/>
    <n v="3495"/>
    <n v="60.814589410000004"/>
  </r>
  <r>
    <x v="1"/>
    <x v="0"/>
    <x v="4"/>
    <x v="1"/>
    <n v="20"/>
    <n v="0"/>
    <n v="1"/>
    <n v="20"/>
  </r>
  <r>
    <x v="1"/>
    <x v="1"/>
    <x v="6"/>
    <x v="2"/>
    <n v="8612201.8499999996"/>
    <n v="288842.17"/>
    <n v="50700"/>
    <n v="169.86591419999999"/>
  </r>
  <r>
    <x v="1"/>
    <x v="8"/>
    <x v="9"/>
    <x v="7"/>
    <n v="0"/>
    <n v="0"/>
    <n v="2"/>
    <n v="0"/>
  </r>
  <r>
    <x v="2"/>
    <x v="7"/>
    <x v="6"/>
    <x v="4"/>
    <n v="41876820.43"/>
    <n v="1403052.17"/>
    <n v="258270"/>
    <n v="162.14357229999999"/>
  </r>
  <r>
    <x v="2"/>
    <x v="1"/>
    <x v="7"/>
    <x v="4"/>
    <n v="5612004.9100000001"/>
    <n v="168399.76"/>
    <n v="21511"/>
    <n v="260.89000559999999"/>
  </r>
  <r>
    <x v="3"/>
    <x v="6"/>
    <x v="2"/>
    <x v="3"/>
    <n v="85679.81"/>
    <n v="3361.28"/>
    <n v="5397"/>
    <n v="15.875451180000001"/>
  </r>
  <r>
    <x v="0"/>
    <x v="7"/>
    <x v="0"/>
    <x v="2"/>
    <n v="129042.55"/>
    <n v="4317.07"/>
    <n v="14535"/>
    <n v="8.8780564159999997"/>
  </r>
  <r>
    <x v="3"/>
    <x v="6"/>
    <x v="3"/>
    <x v="8"/>
    <n v="3542627.23"/>
    <n v="103824.64"/>
    <n v="41535"/>
    <n v="85.292578070000005"/>
  </r>
  <r>
    <x v="3"/>
    <x v="5"/>
    <x v="4"/>
    <x v="5"/>
    <n v="10498205.98"/>
    <n v="409218.18"/>
    <n v="289209"/>
    <n v="36.299720890000003"/>
  </r>
  <r>
    <x v="0"/>
    <x v="6"/>
    <x v="5"/>
    <x v="3"/>
    <n v="3138.71"/>
    <n v="205.62"/>
    <n v="369"/>
    <n v="8.5059891600000004"/>
  </r>
  <r>
    <x v="1"/>
    <x v="2"/>
    <x v="9"/>
    <x v="2"/>
    <n v="58054235"/>
    <n v="1948514.97"/>
    <n v="393676"/>
    <n v="147.4670414"/>
  </r>
  <r>
    <x v="2"/>
    <x v="9"/>
    <x v="3"/>
    <x v="8"/>
    <n v="4351.3100000000004"/>
    <n v="157.19"/>
    <n v="66"/>
    <n v="65.928939389999996"/>
  </r>
  <r>
    <x v="1"/>
    <x v="4"/>
    <x v="9"/>
    <x v="3"/>
    <n v="1613224.34"/>
    <n v="57797.93"/>
    <n v="105720"/>
    <n v="15.259405409999999"/>
  </r>
  <r>
    <x v="3"/>
    <x v="9"/>
    <x v="8"/>
    <x v="1"/>
    <n v="416.09"/>
    <n v="0.6"/>
    <n v="8"/>
    <n v="52.011249999999997"/>
  </r>
  <r>
    <x v="1"/>
    <x v="7"/>
    <x v="0"/>
    <x v="4"/>
    <n v="19302425.489999998"/>
    <n v="627508.46"/>
    <n v="100099"/>
    <n v="192.8333499"/>
  </r>
  <r>
    <x v="1"/>
    <x v="5"/>
    <x v="6"/>
    <x v="3"/>
    <n v="962.9"/>
    <n v="30.43"/>
    <n v="72"/>
    <n v="13.373611110000001"/>
  </r>
  <r>
    <x v="3"/>
    <x v="9"/>
    <x v="9"/>
    <x v="2"/>
    <n v="75381.490000000005"/>
    <n v="1547.37"/>
    <n v="458"/>
    <n v="164.58840609999999"/>
  </r>
  <r>
    <x v="3"/>
    <x v="1"/>
    <x v="1"/>
    <x v="0"/>
    <n v="54103879.579999998"/>
    <n v="1343840.74"/>
    <n v="852660"/>
    <n v="63.453052309999997"/>
  </r>
  <r>
    <x v="1"/>
    <x v="3"/>
    <x v="2"/>
    <x v="1"/>
    <n v="132913.43"/>
    <n v="4455.45"/>
    <n v="2292"/>
    <n v="57.990152709999997"/>
  </r>
  <r>
    <x v="3"/>
    <x v="7"/>
    <x v="4"/>
    <x v="5"/>
    <n v="681188155.20000005"/>
    <n v="24434139.300000001"/>
    <n v="10638200"/>
    <n v="64.032275679999998"/>
  </r>
  <r>
    <x v="3"/>
    <x v="8"/>
    <x v="2"/>
    <x v="7"/>
    <n v="0"/>
    <n v="0"/>
    <n v="14"/>
    <n v="0"/>
  </r>
  <r>
    <x v="1"/>
    <x v="1"/>
    <x v="8"/>
    <x v="6"/>
    <n v="16247280.27"/>
    <n v="427950.2"/>
    <n v="13955"/>
    <n v="1164.262291"/>
  </r>
  <r>
    <x v="2"/>
    <x v="1"/>
    <x v="9"/>
    <x v="3"/>
    <n v="34311148.380000003"/>
    <n v="1082829.28"/>
    <n v="2185726"/>
    <n v="15.69782689"/>
  </r>
  <r>
    <x v="0"/>
    <x v="8"/>
    <x v="5"/>
    <x v="8"/>
    <n v="2433.9499999999998"/>
    <n v="159.72"/>
    <n v="349"/>
    <n v="6.9740687680000004"/>
  </r>
  <r>
    <x v="1"/>
    <x v="2"/>
    <x v="1"/>
    <x v="5"/>
    <n v="130348187.59999999"/>
    <n v="5857933.3600000003"/>
    <n v="4692540"/>
    <n v="27.77774672"/>
  </r>
  <r>
    <x v="0"/>
    <x v="7"/>
    <x v="0"/>
    <x v="1"/>
    <n v="79.88"/>
    <n v="3.21"/>
    <n v="3"/>
    <n v="26.626666669999999"/>
  </r>
  <r>
    <x v="3"/>
    <x v="5"/>
    <x v="0"/>
    <x v="8"/>
    <n v="55800.82"/>
    <n v="1547.38"/>
    <n v="5987"/>
    <n v="9.3203307169999992"/>
  </r>
  <r>
    <x v="0"/>
    <x v="3"/>
    <x v="6"/>
    <x v="1"/>
    <n v="16920271.77"/>
    <n v="599129.04"/>
    <n v="442965"/>
    <n v="38.197762279999999"/>
  </r>
  <r>
    <x v="2"/>
    <x v="7"/>
    <x v="8"/>
    <x v="6"/>
    <n v="35097329.490000002"/>
    <n v="1067634.3600000001"/>
    <n v="131198"/>
    <n v="267.5142113"/>
  </r>
  <r>
    <x v="0"/>
    <x v="3"/>
    <x v="9"/>
    <x v="2"/>
    <n v="104832086"/>
    <n v="2997481.04"/>
    <n v="421402"/>
    <n v="248.7697876"/>
  </r>
  <r>
    <x v="3"/>
    <x v="5"/>
    <x v="5"/>
    <x v="5"/>
    <n v="8348172.2400000002"/>
    <n v="353077.41"/>
    <n v="333504"/>
    <n v="25.031700489999999"/>
  </r>
  <r>
    <x v="0"/>
    <x v="6"/>
    <x v="1"/>
    <x v="4"/>
    <n v="3444815.5"/>
    <n v="112307.16"/>
    <n v="10478"/>
    <n v="328.76651079999999"/>
  </r>
  <r>
    <x v="3"/>
    <x v="4"/>
    <x v="1"/>
    <x v="0"/>
    <n v="14906467.560000001"/>
    <n v="493156.11"/>
    <n v="259439"/>
    <n v="57.456541080000001"/>
  </r>
  <r>
    <x v="0"/>
    <x v="5"/>
    <x v="8"/>
    <x v="10"/>
    <n v="10019153.689999999"/>
    <n v="90519.23"/>
    <n v="409224"/>
    <n v="24.483299339999999"/>
  </r>
  <r>
    <x v="3"/>
    <x v="8"/>
    <x v="2"/>
    <x v="8"/>
    <n v="14261.91"/>
    <n v="430.14"/>
    <n v="632"/>
    <n v="22.56631329"/>
  </r>
  <r>
    <x v="1"/>
    <x v="0"/>
    <x v="6"/>
    <x v="1"/>
    <n v="25"/>
    <n v="0"/>
    <n v="1"/>
    <n v="25"/>
  </r>
  <r>
    <x v="1"/>
    <x v="5"/>
    <x v="5"/>
    <x v="5"/>
    <n v="7815517.8399999999"/>
    <n v="336382.19"/>
    <n v="310280"/>
    <n v="25.188596879999999"/>
  </r>
  <r>
    <x v="2"/>
    <x v="3"/>
    <x v="1"/>
    <x v="0"/>
    <n v="10932915.17"/>
    <n v="423624.15"/>
    <n v="202506"/>
    <n v="53.988104900000003"/>
  </r>
  <r>
    <x v="3"/>
    <x v="4"/>
    <x v="0"/>
    <x v="0"/>
    <n v="5697799.0199999996"/>
    <n v="168417.91"/>
    <n v="71630"/>
    <n v="79.544869750000004"/>
  </r>
  <r>
    <x v="3"/>
    <x v="3"/>
    <x v="1"/>
    <x v="2"/>
    <n v="37075383.009999998"/>
    <n v="1301128.58"/>
    <n v="188725"/>
    <n v="196.4518904"/>
  </r>
  <r>
    <x v="2"/>
    <x v="6"/>
    <x v="1"/>
    <x v="1"/>
    <n v="61776.07"/>
    <n v="2300.6999999999998"/>
    <n v="2274"/>
    <n v="27.166257699999999"/>
  </r>
  <r>
    <x v="3"/>
    <x v="3"/>
    <x v="3"/>
    <x v="8"/>
    <n v="21503820.050000001"/>
    <n v="772762.79"/>
    <n v="311768"/>
    <n v="68.97378836"/>
  </r>
  <r>
    <x v="3"/>
    <x v="3"/>
    <x v="6"/>
    <x v="6"/>
    <n v="12376397.15"/>
    <n v="433633.21"/>
    <n v="61535"/>
    <n v="201.1277671"/>
  </r>
  <r>
    <x v="2"/>
    <x v="8"/>
    <x v="1"/>
    <x v="4"/>
    <n v="48827.519999999997"/>
    <n v="369.88"/>
    <n v="103"/>
    <n v="474.05359220000003"/>
  </r>
  <r>
    <x v="2"/>
    <x v="2"/>
    <x v="0"/>
    <x v="2"/>
    <n v="160987.71"/>
    <n v="3305.26"/>
    <n v="7648"/>
    <n v="21.049648269999999"/>
  </r>
  <r>
    <x v="3"/>
    <x v="5"/>
    <x v="9"/>
    <x v="8"/>
    <n v="5800260.4800000004"/>
    <n v="239886.02"/>
    <n v="207894"/>
    <n v="27.900086009999999"/>
  </r>
  <r>
    <x v="1"/>
    <x v="4"/>
    <x v="0"/>
    <x v="4"/>
    <n v="88524.86"/>
    <n v="1586.68"/>
    <n v="653"/>
    <n v="135.5664012"/>
  </r>
  <r>
    <x v="3"/>
    <x v="8"/>
    <x v="5"/>
    <x v="6"/>
    <n v="82.54"/>
    <n v="3"/>
    <n v="6"/>
    <n v="13.75666667"/>
  </r>
  <r>
    <x v="1"/>
    <x v="1"/>
    <x v="4"/>
    <x v="1"/>
    <n v="216901.01"/>
    <n v="5470.54"/>
    <n v="3775"/>
    <n v="57.457221189999999"/>
  </r>
  <r>
    <x v="0"/>
    <x v="5"/>
    <x v="2"/>
    <x v="7"/>
    <n v="40258.120000000003"/>
    <n v="1648.44"/>
    <n v="1571"/>
    <n v="25.625792489999998"/>
  </r>
  <r>
    <x v="2"/>
    <x v="8"/>
    <x v="6"/>
    <x v="7"/>
    <n v="75.44"/>
    <n v="2.79"/>
    <n v="30"/>
    <n v="2.5146666670000002"/>
  </r>
  <r>
    <x v="2"/>
    <x v="8"/>
    <x v="0"/>
    <x v="0"/>
    <n v="-26.28"/>
    <n v="19.309999999999999"/>
    <n v="26026"/>
    <n v="-1.0097594709999999E-3"/>
  </r>
  <r>
    <x v="3"/>
    <x v="5"/>
    <x v="2"/>
    <x v="8"/>
    <n v="3777668.02"/>
    <n v="151194.32999999999"/>
    <n v="120104"/>
    <n v="31.453307299999999"/>
  </r>
  <r>
    <x v="3"/>
    <x v="2"/>
    <x v="2"/>
    <x v="1"/>
    <n v="18677.61"/>
    <n v="671.78"/>
    <n v="249"/>
    <n v="75.010481929999997"/>
  </r>
  <r>
    <x v="0"/>
    <x v="2"/>
    <x v="6"/>
    <x v="1"/>
    <n v="9133744.7400000002"/>
    <n v="332636.46000000002"/>
    <n v="341134"/>
    <n v="26.77465377"/>
  </r>
  <r>
    <x v="2"/>
    <x v="5"/>
    <x v="2"/>
    <x v="7"/>
    <n v="35934.14"/>
    <n v="1463.99"/>
    <n v="1140"/>
    <n v="31.52117544"/>
  </r>
  <r>
    <x v="0"/>
    <x v="8"/>
    <x v="1"/>
    <x v="4"/>
    <n v="5828.05"/>
    <n v="75.27"/>
    <n v="69"/>
    <n v="84.464492750000005"/>
  </r>
  <r>
    <x v="0"/>
    <x v="3"/>
    <x v="1"/>
    <x v="1"/>
    <n v="4304962.54"/>
    <n v="166083.13"/>
    <n v="141375"/>
    <n v="30.450663410000001"/>
  </r>
  <r>
    <x v="3"/>
    <x v="3"/>
    <x v="5"/>
    <x v="7"/>
    <n v="1055644.3400000001"/>
    <n v="40327.22"/>
    <n v="22995"/>
    <n v="45.907559900000003"/>
  </r>
  <r>
    <x v="3"/>
    <x v="2"/>
    <x v="1"/>
    <x v="4"/>
    <n v="18782113.800000001"/>
    <n v="628348.1"/>
    <n v="87451"/>
    <n v="214.77300199999999"/>
  </r>
  <r>
    <x v="3"/>
    <x v="2"/>
    <x v="0"/>
    <x v="5"/>
    <n v="22552322.690000001"/>
    <n v="901023.08"/>
    <n v="616960"/>
    <n v="36.553946269999997"/>
  </r>
  <r>
    <x v="2"/>
    <x v="0"/>
    <x v="4"/>
    <x v="1"/>
    <n v="41.94"/>
    <n v="2.12"/>
    <n v="3"/>
    <n v="13.98"/>
  </r>
  <r>
    <x v="3"/>
    <x v="7"/>
    <x v="4"/>
    <x v="4"/>
    <n v="29601318.629999999"/>
    <n v="888775.61"/>
    <n v="179205"/>
    <n v="165.181321"/>
  </r>
  <r>
    <x v="2"/>
    <x v="4"/>
    <x v="1"/>
    <x v="6"/>
    <n v="7959534.8399999999"/>
    <n v="279371.28999999998"/>
    <n v="23693"/>
    <n v="335.94457599999998"/>
  </r>
  <r>
    <x v="3"/>
    <x v="6"/>
    <x v="4"/>
    <x v="6"/>
    <n v="1434322.36"/>
    <n v="44307.92"/>
    <n v="4782"/>
    <n v="299.94194060000001"/>
  </r>
  <r>
    <x v="2"/>
    <x v="4"/>
    <x v="1"/>
    <x v="8"/>
    <n v="90293702"/>
    <n v="3425505.87"/>
    <n v="1678391"/>
    <n v="53.797775369999997"/>
  </r>
  <r>
    <x v="3"/>
    <x v="0"/>
    <x v="4"/>
    <x v="6"/>
    <n v="529.9"/>
    <n v="33.65"/>
    <n v="4"/>
    <n v="132.47499999999999"/>
  </r>
  <r>
    <x v="3"/>
    <x v="3"/>
    <x v="2"/>
    <x v="2"/>
    <n v="35239655.920000002"/>
    <n v="1155496.5900000001"/>
    <n v="149985"/>
    <n v="234.9545349"/>
  </r>
  <r>
    <x v="0"/>
    <x v="7"/>
    <x v="7"/>
    <x v="8"/>
    <n v="21183775.600000001"/>
    <n v="864289.07"/>
    <n v="533211"/>
    <n v="39.728692019999997"/>
  </r>
  <r>
    <x v="0"/>
    <x v="1"/>
    <x v="8"/>
    <x v="8"/>
    <n v="267292470.09999999"/>
    <n v="6539379.2000000002"/>
    <n v="2554235"/>
    <n v="104.6467808"/>
  </r>
  <r>
    <x v="3"/>
    <x v="4"/>
    <x v="4"/>
    <x v="4"/>
    <n v="25663111.510000002"/>
    <n v="847999.89"/>
    <n v="119578"/>
    <n v="214.61398840000001"/>
  </r>
  <r>
    <x v="0"/>
    <x v="7"/>
    <x v="2"/>
    <x v="5"/>
    <n v="198520370.90000001"/>
    <n v="6929133.5300000003"/>
    <n v="2284671"/>
    <n v="86.892323180000005"/>
  </r>
  <r>
    <x v="2"/>
    <x v="2"/>
    <x v="4"/>
    <x v="6"/>
    <n v="17113343.510000002"/>
    <n v="574232.27"/>
    <n v="103363"/>
    <n v="165.56546839999999"/>
  </r>
  <r>
    <x v="3"/>
    <x v="3"/>
    <x v="0"/>
    <x v="5"/>
    <n v="63842115.170000002"/>
    <n v="2330222.69"/>
    <n v="1022098"/>
    <n v="62.461833570000003"/>
  </r>
  <r>
    <x v="2"/>
    <x v="1"/>
    <x v="4"/>
    <x v="4"/>
    <n v="7862776.4699999997"/>
    <n v="245031.67"/>
    <n v="31876"/>
    <n v="246.66760160000001"/>
  </r>
  <r>
    <x v="0"/>
    <x v="9"/>
    <x v="1"/>
    <x v="2"/>
    <n v="42014.9"/>
    <n v="718.7"/>
    <n v="280"/>
    <n v="150.05321430000001"/>
  </r>
  <r>
    <x v="0"/>
    <x v="1"/>
    <x v="0"/>
    <x v="5"/>
    <n v="519695.14"/>
    <n v="12049.67"/>
    <n v="44277"/>
    <n v="11.737361160000001"/>
  </r>
  <r>
    <x v="0"/>
    <x v="4"/>
    <x v="2"/>
    <x v="7"/>
    <n v="17248769.129999999"/>
    <n v="572976.13"/>
    <n v="278284"/>
    <n v="61.982611759999998"/>
  </r>
  <r>
    <x v="2"/>
    <x v="2"/>
    <x v="1"/>
    <x v="7"/>
    <n v="727533.13"/>
    <n v="28777.79"/>
    <n v="16547"/>
    <n v="43.967675710000002"/>
  </r>
  <r>
    <x v="3"/>
    <x v="5"/>
    <x v="6"/>
    <x v="6"/>
    <n v="356043.05"/>
    <n v="12809.15"/>
    <n v="4886"/>
    <n v="72.870047069999998"/>
  </r>
  <r>
    <x v="2"/>
    <x v="3"/>
    <x v="0"/>
    <x v="0"/>
    <n v="16088078.869999999"/>
    <n v="547989.22"/>
    <n v="217547"/>
    <n v="73.952198240000001"/>
  </r>
  <r>
    <x v="1"/>
    <x v="8"/>
    <x v="0"/>
    <x v="7"/>
    <n v="3315.61"/>
    <n v="182.49"/>
    <n v="992"/>
    <n v="3.34234879"/>
  </r>
  <r>
    <x v="1"/>
    <x v="1"/>
    <x v="0"/>
    <x v="0"/>
    <n v="11965616.51"/>
    <n v="417743.03"/>
    <n v="370438"/>
    <n v="32.30126637"/>
  </r>
  <r>
    <x v="2"/>
    <x v="8"/>
    <x v="5"/>
    <x v="7"/>
    <n v="0"/>
    <n v="0"/>
    <n v="10"/>
    <n v="0"/>
  </r>
  <r>
    <x v="1"/>
    <x v="2"/>
    <x v="0"/>
    <x v="0"/>
    <n v="9096859.7400000002"/>
    <n v="316168.74"/>
    <n v="138864"/>
    <n v="65.509129360000003"/>
  </r>
  <r>
    <x v="3"/>
    <x v="8"/>
    <x v="0"/>
    <x v="2"/>
    <n v="0"/>
    <n v="0"/>
    <n v="155"/>
    <n v="0"/>
  </r>
  <r>
    <x v="1"/>
    <x v="8"/>
    <x v="7"/>
    <x v="1"/>
    <n v="100"/>
    <n v="3.2"/>
    <n v="1"/>
    <n v="100"/>
  </r>
  <r>
    <x v="3"/>
    <x v="5"/>
    <x v="9"/>
    <x v="1"/>
    <n v="10335.48"/>
    <n v="389.27"/>
    <n v="372"/>
    <n v="27.78354839"/>
  </r>
  <r>
    <x v="2"/>
    <x v="2"/>
    <x v="4"/>
    <x v="5"/>
    <n v="240790689.30000001"/>
    <n v="10438578.51"/>
    <n v="8705388"/>
    <n v="27.65996062"/>
  </r>
  <r>
    <x v="1"/>
    <x v="7"/>
    <x v="2"/>
    <x v="4"/>
    <n v="29085653.789999999"/>
    <n v="911538.12"/>
    <n v="129243"/>
    <n v="225.04626010000001"/>
  </r>
  <r>
    <x v="3"/>
    <x v="1"/>
    <x v="0"/>
    <x v="5"/>
    <n v="469644.24"/>
    <n v="20302.419999999998"/>
    <n v="31577"/>
    <n v="14.87298477"/>
  </r>
  <r>
    <x v="0"/>
    <x v="7"/>
    <x v="4"/>
    <x v="6"/>
    <n v="17255091.210000001"/>
    <n v="578468.31999999995"/>
    <n v="88021"/>
    <n v="196.03380110000001"/>
  </r>
  <r>
    <x v="1"/>
    <x v="0"/>
    <x v="0"/>
    <x v="8"/>
    <n v="113.42"/>
    <n v="4.4800000000000004"/>
    <n v="4"/>
    <n v="28.355"/>
  </r>
  <r>
    <x v="3"/>
    <x v="3"/>
    <x v="3"/>
    <x v="2"/>
    <n v="9513939.5399999991"/>
    <n v="310935.12"/>
    <n v="39118"/>
    <n v="243.21129759999999"/>
  </r>
  <r>
    <x v="1"/>
    <x v="3"/>
    <x v="8"/>
    <x v="1"/>
    <n v="1487054.64"/>
    <n v="45321.01"/>
    <n v="9717"/>
    <n v="153.03639390000001"/>
  </r>
  <r>
    <x v="2"/>
    <x v="1"/>
    <x v="3"/>
    <x v="2"/>
    <n v="918996.62"/>
    <n v="29323.14"/>
    <n v="5659"/>
    <n v="162.39558579999999"/>
  </r>
  <r>
    <x v="0"/>
    <x v="3"/>
    <x v="6"/>
    <x v="0"/>
    <n v="40851066.780000001"/>
    <n v="1521733.97"/>
    <n v="777071"/>
    <n v="52.570571780000002"/>
  </r>
  <r>
    <x v="2"/>
    <x v="9"/>
    <x v="5"/>
    <x v="2"/>
    <n v="7359.96"/>
    <n v="167.17"/>
    <n v="90"/>
    <n v="81.777333330000005"/>
  </r>
  <r>
    <x v="3"/>
    <x v="8"/>
    <x v="8"/>
    <x v="0"/>
    <n v="0"/>
    <n v="0"/>
    <n v="67"/>
    <n v="0"/>
  </r>
  <r>
    <x v="2"/>
    <x v="3"/>
    <x v="9"/>
    <x v="2"/>
    <n v="91314629.469999999"/>
    <n v="2800868.15"/>
    <n v="402522"/>
    <n v="226.856245"/>
  </r>
  <r>
    <x v="2"/>
    <x v="3"/>
    <x v="4"/>
    <x v="4"/>
    <n v="46609147.539999999"/>
    <n v="1638708.94"/>
    <n v="223750"/>
    <n v="208.30903929999999"/>
  </r>
  <r>
    <x v="3"/>
    <x v="1"/>
    <x v="4"/>
    <x v="8"/>
    <n v="101572024"/>
    <n v="3234157.73"/>
    <n v="1799521"/>
    <n v="56.443922569999998"/>
  </r>
  <r>
    <x v="1"/>
    <x v="7"/>
    <x v="5"/>
    <x v="1"/>
    <n v="565759.42000000004"/>
    <n v="18009.310000000001"/>
    <n v="10686"/>
    <n v="52.943984649999997"/>
  </r>
  <r>
    <x v="2"/>
    <x v="3"/>
    <x v="5"/>
    <x v="6"/>
    <n v="12154796.869999999"/>
    <n v="446747.34"/>
    <n v="76324"/>
    <n v="159.2526187"/>
  </r>
  <r>
    <x v="0"/>
    <x v="1"/>
    <x v="0"/>
    <x v="3"/>
    <n v="5085.42"/>
    <n v="605.35"/>
    <n v="62034"/>
    <n v="8.1977947580000002E-2"/>
  </r>
  <r>
    <x v="0"/>
    <x v="5"/>
    <x v="1"/>
    <x v="4"/>
    <n v="1409572.99"/>
    <n v="49177.46"/>
    <n v="12539"/>
    <n v="112.41510409999999"/>
  </r>
  <r>
    <x v="2"/>
    <x v="5"/>
    <x v="1"/>
    <x v="7"/>
    <n v="25816.95"/>
    <n v="1099.45"/>
    <n v="1125"/>
    <n v="22.948399999999999"/>
  </r>
  <r>
    <x v="2"/>
    <x v="3"/>
    <x v="4"/>
    <x v="8"/>
    <n v="180163293.59999999"/>
    <n v="6820951.0800000001"/>
    <n v="3381652"/>
    <n v="53.276710209999997"/>
  </r>
  <r>
    <x v="1"/>
    <x v="4"/>
    <x v="4"/>
    <x v="6"/>
    <n v="15746415.109999999"/>
    <n v="548726.18999999994"/>
    <n v="51013"/>
    <n v="308.67455569999998"/>
  </r>
  <r>
    <x v="0"/>
    <x v="0"/>
    <x v="0"/>
    <x v="0"/>
    <n v="370.25"/>
    <n v="12.55"/>
    <n v="6"/>
    <n v="61.708333330000002"/>
  </r>
  <r>
    <x v="3"/>
    <x v="0"/>
    <x v="3"/>
    <x v="5"/>
    <n v="1442.7"/>
    <n v="18.22"/>
    <n v="13"/>
    <n v="110.97692309999999"/>
  </r>
  <r>
    <x v="1"/>
    <x v="9"/>
    <x v="4"/>
    <x v="5"/>
    <n v="83150.7"/>
    <n v="2612.29"/>
    <n v="1045"/>
    <n v="79.570047849999995"/>
  </r>
  <r>
    <x v="0"/>
    <x v="3"/>
    <x v="8"/>
    <x v="6"/>
    <n v="99165158.590000004"/>
    <n v="3166413.16"/>
    <n v="195581"/>
    <n v="507.02858959999998"/>
  </r>
  <r>
    <x v="0"/>
    <x v="4"/>
    <x v="5"/>
    <x v="6"/>
    <n v="14701465.310000001"/>
    <n v="517084.54"/>
    <n v="53486"/>
    <n v="274.86567159999998"/>
  </r>
  <r>
    <x v="3"/>
    <x v="5"/>
    <x v="7"/>
    <x v="8"/>
    <n v="1712515.43"/>
    <n v="75099.649999999994"/>
    <n v="71434"/>
    <n v="23.973394039999999"/>
  </r>
  <r>
    <x v="0"/>
    <x v="2"/>
    <x v="0"/>
    <x v="0"/>
    <n v="27971.5"/>
    <n v="1160.68"/>
    <n v="4706"/>
    <n v="5.9437951550000001"/>
  </r>
  <r>
    <x v="2"/>
    <x v="8"/>
    <x v="0"/>
    <x v="5"/>
    <n v="1776.13"/>
    <n v="87.08"/>
    <n v="99"/>
    <n v="17.940707069999998"/>
  </r>
  <r>
    <x v="2"/>
    <x v="5"/>
    <x v="4"/>
    <x v="0"/>
    <n v="455965.53"/>
    <n v="18335.11"/>
    <n v="15332"/>
    <n v="29.739468429999999"/>
  </r>
  <r>
    <x v="0"/>
    <x v="7"/>
    <x v="9"/>
    <x v="8"/>
    <n v="45916213.649999999"/>
    <n v="1730708.04"/>
    <n v="916335"/>
    <n v="50.108545069999998"/>
  </r>
  <r>
    <x v="2"/>
    <x v="8"/>
    <x v="2"/>
    <x v="6"/>
    <n v="7106.3"/>
    <n v="126.01"/>
    <n v="36"/>
    <n v="197.39722219999999"/>
  </r>
  <r>
    <x v="3"/>
    <x v="2"/>
    <x v="6"/>
    <x v="7"/>
    <n v="701827.58"/>
    <n v="27735.68"/>
    <n v="18057"/>
    <n v="38.867341199999998"/>
  </r>
  <r>
    <x v="0"/>
    <x v="0"/>
    <x v="2"/>
    <x v="8"/>
    <n v="503"/>
    <n v="22.01"/>
    <n v="14"/>
    <n v="35.928571429999998"/>
  </r>
  <r>
    <x v="1"/>
    <x v="6"/>
    <x v="0"/>
    <x v="7"/>
    <n v="131268036.40000001"/>
    <n v="3302192.33"/>
    <n v="731764"/>
    <n v="179.3857533"/>
  </r>
  <r>
    <x v="0"/>
    <x v="2"/>
    <x v="5"/>
    <x v="9"/>
    <n v="325647.81"/>
    <n v="14080.76"/>
    <n v="14089"/>
    <n v="23.113621259999999"/>
  </r>
  <r>
    <x v="1"/>
    <x v="4"/>
    <x v="2"/>
    <x v="4"/>
    <n v="14715584.49"/>
    <n v="500170.93"/>
    <n v="55776"/>
    <n v="263.83362899999997"/>
  </r>
  <r>
    <x v="0"/>
    <x v="5"/>
    <x v="8"/>
    <x v="7"/>
    <n v="33597.11"/>
    <n v="4314.99"/>
    <n v="162152"/>
    <n v="0.20719516260000001"/>
  </r>
  <r>
    <x v="2"/>
    <x v="5"/>
    <x v="9"/>
    <x v="4"/>
    <n v="1779231.87"/>
    <n v="61835.69"/>
    <n v="17969"/>
    <n v="99.016743840000004"/>
  </r>
  <r>
    <x v="3"/>
    <x v="3"/>
    <x v="4"/>
    <x v="6"/>
    <n v="13847247.08"/>
    <n v="467658.17"/>
    <n v="60707"/>
    <n v="228.0996768"/>
  </r>
  <r>
    <x v="2"/>
    <x v="6"/>
    <x v="1"/>
    <x v="5"/>
    <n v="9391351.5099999998"/>
    <n v="375946.98"/>
    <n v="253911"/>
    <n v="36.986784780000001"/>
  </r>
  <r>
    <x v="2"/>
    <x v="2"/>
    <x v="9"/>
    <x v="7"/>
    <n v="2071671.89"/>
    <n v="80233.77"/>
    <n v="48654"/>
    <n v="42.579682859999998"/>
  </r>
  <r>
    <x v="2"/>
    <x v="0"/>
    <x v="8"/>
    <x v="10"/>
    <n v="5738.15"/>
    <n v="50.07"/>
    <n v="233"/>
    <n v="24.62725322"/>
  </r>
  <r>
    <x v="0"/>
    <x v="2"/>
    <x v="5"/>
    <x v="2"/>
    <n v="30247198.109999999"/>
    <n v="938176.68"/>
    <n v="483404"/>
    <n v="62.571261530000001"/>
  </r>
  <r>
    <x v="0"/>
    <x v="1"/>
    <x v="7"/>
    <x v="6"/>
    <n v="5010180.03"/>
    <n v="150993.51999999999"/>
    <n v="11417"/>
    <n v="438.83507309999999"/>
  </r>
  <r>
    <x v="1"/>
    <x v="5"/>
    <x v="9"/>
    <x v="2"/>
    <n v="5005934.5599999996"/>
    <n v="174889.32"/>
    <n v="65062"/>
    <n v="76.940987980000003"/>
  </r>
  <r>
    <x v="2"/>
    <x v="6"/>
    <x v="3"/>
    <x v="0"/>
    <n v="776902.7"/>
    <n v="23528.06"/>
    <n v="13240"/>
    <n v="58.67845166"/>
  </r>
  <r>
    <x v="1"/>
    <x v="3"/>
    <x v="0"/>
    <x v="0"/>
    <n v="12805910.380000001"/>
    <n v="438003.61"/>
    <n v="167895"/>
    <n v="76.273327850000001"/>
  </r>
  <r>
    <x v="1"/>
    <x v="1"/>
    <x v="1"/>
    <x v="6"/>
    <n v="1495435.32"/>
    <n v="47569.2"/>
    <n v="3660"/>
    <n v="408.58888519999999"/>
  </r>
  <r>
    <x v="0"/>
    <x v="1"/>
    <x v="3"/>
    <x v="2"/>
    <n v="1097487.6399999999"/>
    <n v="36522.32"/>
    <n v="5574"/>
    <n v="196.8940868"/>
  </r>
  <r>
    <x v="3"/>
    <x v="5"/>
    <x v="9"/>
    <x v="6"/>
    <n v="742060.27"/>
    <n v="25288.2"/>
    <n v="7918"/>
    <n v="93.718144730000006"/>
  </r>
  <r>
    <x v="1"/>
    <x v="5"/>
    <x v="4"/>
    <x v="6"/>
    <n v="640574.28"/>
    <n v="22329.31"/>
    <n v="7556"/>
    <n v="84.77690312"/>
  </r>
  <r>
    <x v="3"/>
    <x v="2"/>
    <x v="4"/>
    <x v="7"/>
    <n v="855127.01"/>
    <n v="33503.339999999997"/>
    <n v="21901"/>
    <n v="39.045112549999999"/>
  </r>
  <r>
    <x v="0"/>
    <x v="2"/>
    <x v="2"/>
    <x v="7"/>
    <n v="1028969.83"/>
    <n v="40479.57"/>
    <n v="24277"/>
    <n v="42.384554520000002"/>
  </r>
  <r>
    <x v="0"/>
    <x v="4"/>
    <x v="8"/>
    <x v="1"/>
    <n v="8568449.9299999997"/>
    <n v="169047.16"/>
    <n v="82816"/>
    <n v="103.4637018"/>
  </r>
  <r>
    <x v="0"/>
    <x v="1"/>
    <x v="4"/>
    <x v="4"/>
    <n v="11047938.970000001"/>
    <n v="347791.05"/>
    <n v="40712"/>
    <n v="271.36812170000002"/>
  </r>
  <r>
    <x v="3"/>
    <x v="5"/>
    <x v="7"/>
    <x v="5"/>
    <n v="9191466.8000000007"/>
    <n v="375538.98"/>
    <n v="308354"/>
    <n v="29.808164640000001"/>
  </r>
  <r>
    <x v="0"/>
    <x v="6"/>
    <x v="6"/>
    <x v="1"/>
    <n v="586023.69999999995"/>
    <n v="20347.099999999999"/>
    <n v="17863"/>
    <n v="32.806566650000001"/>
  </r>
  <r>
    <x v="1"/>
    <x v="7"/>
    <x v="5"/>
    <x v="5"/>
    <n v="565356590.79999995"/>
    <n v="22042661.350000001"/>
    <n v="13104033"/>
    <n v="43.14370933"/>
  </r>
  <r>
    <x v="3"/>
    <x v="4"/>
    <x v="6"/>
    <x v="8"/>
    <n v="108140428.2"/>
    <n v="3953030.39"/>
    <n v="2243179"/>
    <n v="48.208559469999997"/>
  </r>
  <r>
    <x v="1"/>
    <x v="2"/>
    <x v="2"/>
    <x v="5"/>
    <n v="84329475.730000004"/>
    <n v="3392303.02"/>
    <n v="2253647"/>
    <n v="37.419114759999999"/>
  </r>
  <r>
    <x v="1"/>
    <x v="8"/>
    <x v="9"/>
    <x v="0"/>
    <n v="260.67"/>
    <n v="23.75"/>
    <n v="87"/>
    <n v="2.996206897"/>
  </r>
  <r>
    <x v="2"/>
    <x v="3"/>
    <x v="8"/>
    <x v="0"/>
    <n v="14959308.73"/>
    <n v="537018.13"/>
    <n v="224652"/>
    <n v="66.588807270000004"/>
  </r>
  <r>
    <x v="1"/>
    <x v="3"/>
    <x v="0"/>
    <x v="2"/>
    <n v="201099.21"/>
    <n v="3920.34"/>
    <n v="5962"/>
    <n v="33.73015934"/>
  </r>
  <r>
    <x v="3"/>
    <x v="0"/>
    <x v="7"/>
    <x v="5"/>
    <n v="8508.24"/>
    <n v="296.99"/>
    <n v="157"/>
    <n v="54.192611460000002"/>
  </r>
  <r>
    <x v="0"/>
    <x v="2"/>
    <x v="9"/>
    <x v="5"/>
    <n v="164399050.09999999"/>
    <n v="6999855.8399999999"/>
    <n v="5494763"/>
    <n v="29.919224920000001"/>
  </r>
  <r>
    <x v="3"/>
    <x v="3"/>
    <x v="5"/>
    <x v="3"/>
    <n v="38468.959999999999"/>
    <n v="1225.4000000000001"/>
    <n v="2302"/>
    <n v="16.711103390000002"/>
  </r>
  <r>
    <x v="0"/>
    <x v="3"/>
    <x v="1"/>
    <x v="2"/>
    <n v="38186334.380000003"/>
    <n v="1297957.31"/>
    <n v="189250"/>
    <n v="201.77719619999999"/>
  </r>
  <r>
    <x v="3"/>
    <x v="3"/>
    <x v="2"/>
    <x v="8"/>
    <n v="72976400.120000005"/>
    <n v="2688236.47"/>
    <n v="1142663"/>
    <n v="63.86519921"/>
  </r>
  <r>
    <x v="1"/>
    <x v="8"/>
    <x v="1"/>
    <x v="1"/>
    <n v="130"/>
    <n v="4.07"/>
    <n v="8"/>
    <n v="16.25"/>
  </r>
  <r>
    <x v="1"/>
    <x v="5"/>
    <x v="9"/>
    <x v="1"/>
    <n v="29041.37"/>
    <n v="946.8"/>
    <n v="540"/>
    <n v="53.78031481"/>
  </r>
  <r>
    <x v="2"/>
    <x v="5"/>
    <x v="1"/>
    <x v="8"/>
    <n v="5380405.1900000004"/>
    <n v="211068.38"/>
    <n v="158940"/>
    <n v="33.851800619999999"/>
  </r>
  <r>
    <x v="1"/>
    <x v="1"/>
    <x v="9"/>
    <x v="6"/>
    <n v="2516729.39"/>
    <n v="74855.55"/>
    <n v="6176"/>
    <n v="407.5015204"/>
  </r>
  <r>
    <x v="2"/>
    <x v="8"/>
    <x v="0"/>
    <x v="5"/>
    <n v="3066.88"/>
    <n v="99.6"/>
    <n v="77"/>
    <n v="39.829610389999999"/>
  </r>
  <r>
    <x v="0"/>
    <x v="3"/>
    <x v="9"/>
    <x v="0"/>
    <n v="46029276.979999997"/>
    <n v="1726291.78"/>
    <n v="858109"/>
    <n v="53.640361519999999"/>
  </r>
  <r>
    <x v="0"/>
    <x v="1"/>
    <x v="8"/>
    <x v="5"/>
    <n v="328581425.19999999"/>
    <n v="8229424.1600000001"/>
    <n v="3424737"/>
    <n v="95.943549880000006"/>
  </r>
  <r>
    <x v="2"/>
    <x v="8"/>
    <x v="6"/>
    <x v="2"/>
    <n v="25567.61"/>
    <n v="639.53"/>
    <n v="438"/>
    <n v="58.373538809999999"/>
  </r>
  <r>
    <x v="0"/>
    <x v="2"/>
    <x v="0"/>
    <x v="2"/>
    <n v="165743.60999999999"/>
    <n v="5227.1899999999996"/>
    <n v="17858"/>
    <n v="9.2811966629999993"/>
  </r>
  <r>
    <x v="0"/>
    <x v="9"/>
    <x v="3"/>
    <x v="1"/>
    <n v="206.53"/>
    <n v="1.17"/>
    <n v="8"/>
    <n v="25.81625"/>
  </r>
  <r>
    <x v="1"/>
    <x v="4"/>
    <x v="6"/>
    <x v="6"/>
    <n v="15375751.59"/>
    <n v="527196.61"/>
    <n v="52518"/>
    <n v="292.77108019999997"/>
  </r>
  <r>
    <x v="2"/>
    <x v="8"/>
    <x v="8"/>
    <x v="4"/>
    <n v="28084.28"/>
    <n v="411.54"/>
    <n v="144"/>
    <n v="195.02972220000001"/>
  </r>
  <r>
    <x v="3"/>
    <x v="3"/>
    <x v="0"/>
    <x v="4"/>
    <n v="89139.520000000004"/>
    <n v="1824.08"/>
    <n v="1385"/>
    <n v="64.360664259999993"/>
  </r>
  <r>
    <x v="3"/>
    <x v="3"/>
    <x v="9"/>
    <x v="7"/>
    <n v="3538962.48"/>
    <n v="133282.69"/>
    <n v="71062"/>
    <n v="49.80105373"/>
  </r>
  <r>
    <x v="0"/>
    <x v="0"/>
    <x v="0"/>
    <x v="8"/>
    <n v="0"/>
    <n v="0.3"/>
    <n v="2"/>
    <n v="0"/>
  </r>
  <r>
    <x v="1"/>
    <x v="8"/>
    <x v="7"/>
    <x v="0"/>
    <n v="79.61"/>
    <n v="3.21"/>
    <n v="38"/>
    <n v="2.0950000000000002"/>
  </r>
  <r>
    <x v="1"/>
    <x v="1"/>
    <x v="2"/>
    <x v="1"/>
    <n v="56468.86"/>
    <n v="1383.85"/>
    <n v="987"/>
    <n v="57.21262411"/>
  </r>
  <r>
    <x v="2"/>
    <x v="3"/>
    <x v="8"/>
    <x v="7"/>
    <n v="4185293.58"/>
    <n v="149786.85"/>
    <n v="67951"/>
    <n v="61.592818059999999"/>
  </r>
  <r>
    <x v="1"/>
    <x v="0"/>
    <x v="2"/>
    <x v="8"/>
    <n v="217.83"/>
    <n v="9.02"/>
    <n v="9"/>
    <n v="24.20333333"/>
  </r>
  <r>
    <x v="1"/>
    <x v="6"/>
    <x v="9"/>
    <x v="8"/>
    <n v="15808336.800000001"/>
    <n v="563562.88"/>
    <n v="304929"/>
    <n v="51.84268076"/>
  </r>
  <r>
    <x v="2"/>
    <x v="7"/>
    <x v="0"/>
    <x v="1"/>
    <n v="11984.85"/>
    <n v="291.35000000000002"/>
    <n v="805"/>
    <n v="14.888012420000001"/>
  </r>
  <r>
    <x v="3"/>
    <x v="3"/>
    <x v="5"/>
    <x v="0"/>
    <n v="3040608.18"/>
    <n v="106561.87"/>
    <n v="52054"/>
    <n v="58.412575019999998"/>
  </r>
  <r>
    <x v="0"/>
    <x v="1"/>
    <x v="6"/>
    <x v="3"/>
    <n v="73349639.329999998"/>
    <n v="2212601.73"/>
    <n v="5576094"/>
    <n v="13.15430467"/>
  </r>
  <r>
    <x v="1"/>
    <x v="2"/>
    <x v="8"/>
    <x v="4"/>
    <n v="42034247.799999997"/>
    <n v="1375936.37"/>
    <n v="193116"/>
    <n v="217.6632066"/>
  </r>
  <r>
    <x v="0"/>
    <x v="1"/>
    <x v="3"/>
    <x v="0"/>
    <n v="41172814.880000003"/>
    <n v="978884.9"/>
    <n v="689935"/>
    <n v="59.676367890000002"/>
  </r>
  <r>
    <x v="0"/>
    <x v="0"/>
    <x v="8"/>
    <x v="0"/>
    <n v="357.75"/>
    <n v="12.48"/>
    <n v="7"/>
    <n v="51.107142860000003"/>
  </r>
  <r>
    <x v="3"/>
    <x v="6"/>
    <x v="5"/>
    <x v="1"/>
    <n v="1823.62"/>
    <n v="63.65"/>
    <n v="118"/>
    <n v="15.454406779999999"/>
  </r>
  <r>
    <x v="2"/>
    <x v="1"/>
    <x v="3"/>
    <x v="1"/>
    <n v="241422.62"/>
    <n v="7895.15"/>
    <n v="39303"/>
    <n v="6.1426003099999997"/>
  </r>
  <r>
    <x v="3"/>
    <x v="8"/>
    <x v="0"/>
    <x v="8"/>
    <n v="2962.92"/>
    <n v="238.19"/>
    <n v="875"/>
    <n v="3.3861942859999998"/>
  </r>
  <r>
    <x v="0"/>
    <x v="3"/>
    <x v="0"/>
    <x v="9"/>
    <n v="8498.41"/>
    <n v="268.75"/>
    <n v="136"/>
    <n v="62.48830882"/>
  </r>
  <r>
    <x v="0"/>
    <x v="6"/>
    <x v="3"/>
    <x v="0"/>
    <n v="910970.35"/>
    <n v="29716.36"/>
    <n v="16407"/>
    <n v="55.523273600000003"/>
  </r>
  <r>
    <x v="2"/>
    <x v="8"/>
    <x v="0"/>
    <x v="1"/>
    <n v="-1"/>
    <n v="0"/>
    <n v="6"/>
    <n v="-0.16666666669999999"/>
  </r>
  <r>
    <x v="3"/>
    <x v="1"/>
    <x v="7"/>
    <x v="3"/>
    <n v="17821364.25"/>
    <n v="522750.54"/>
    <n v="1321806"/>
    <n v="13.48258689"/>
  </r>
  <r>
    <x v="3"/>
    <x v="5"/>
    <x v="1"/>
    <x v="5"/>
    <n v="6118448.6299999999"/>
    <n v="245560.79"/>
    <n v="201159"/>
    <n v="30.415982530000001"/>
  </r>
  <r>
    <x v="3"/>
    <x v="1"/>
    <x v="9"/>
    <x v="1"/>
    <n v="12017.16"/>
    <n v="306.39999999999998"/>
    <n v="214"/>
    <n v="56.15495327"/>
  </r>
  <r>
    <x v="1"/>
    <x v="3"/>
    <x v="4"/>
    <x v="3"/>
    <n v="245633.41"/>
    <n v="7334.25"/>
    <n v="13819"/>
    <n v="17.77504957"/>
  </r>
  <r>
    <x v="1"/>
    <x v="2"/>
    <x v="8"/>
    <x v="10"/>
    <n v="42082132.950000003"/>
    <n v="199841.27"/>
    <n v="556047"/>
    <n v="75.680891990000006"/>
  </r>
  <r>
    <x v="2"/>
    <x v="2"/>
    <x v="0"/>
    <x v="4"/>
    <n v="31217165.510000002"/>
    <n v="985393.9"/>
    <n v="115848"/>
    <n v="269.46658989999997"/>
  </r>
  <r>
    <x v="1"/>
    <x v="5"/>
    <x v="6"/>
    <x v="6"/>
    <n v="480296.56"/>
    <n v="17144.23"/>
    <n v="5899"/>
    <n v="81.419996609999998"/>
  </r>
  <r>
    <x v="0"/>
    <x v="5"/>
    <x v="6"/>
    <x v="6"/>
    <n v="720177.97"/>
    <n v="25901.32"/>
    <n v="8884"/>
    <n v="81.064607159999994"/>
  </r>
  <r>
    <x v="2"/>
    <x v="3"/>
    <x v="0"/>
    <x v="3"/>
    <n v="19.989999999999998"/>
    <n v="0.54"/>
    <n v="1"/>
    <n v="19.989999999999998"/>
  </r>
  <r>
    <x v="2"/>
    <x v="6"/>
    <x v="6"/>
    <x v="5"/>
    <n v="23710955.68"/>
    <n v="940490.79"/>
    <n v="606619"/>
    <n v="39.087064009999999"/>
  </r>
  <r>
    <x v="2"/>
    <x v="8"/>
    <x v="8"/>
    <x v="3"/>
    <n v="0"/>
    <n v="0"/>
    <n v="1"/>
    <n v="0"/>
  </r>
  <r>
    <x v="1"/>
    <x v="6"/>
    <x v="2"/>
    <x v="2"/>
    <n v="5056688.79"/>
    <n v="147517.79999999999"/>
    <n v="20002"/>
    <n v="252.80915859999999"/>
  </r>
  <r>
    <x v="2"/>
    <x v="0"/>
    <x v="5"/>
    <x v="1"/>
    <n v="32.94"/>
    <n v="1.86"/>
    <n v="3"/>
    <n v="10.98"/>
  </r>
  <r>
    <x v="2"/>
    <x v="3"/>
    <x v="9"/>
    <x v="6"/>
    <n v="30519771.809999999"/>
    <n v="1039270.03"/>
    <n v="114718"/>
    <n v="266.04170060000001"/>
  </r>
  <r>
    <x v="3"/>
    <x v="8"/>
    <x v="8"/>
    <x v="2"/>
    <n v="88586.39"/>
    <n v="2720.18"/>
    <n v="1727"/>
    <n v="51.294956569999997"/>
  </r>
  <r>
    <x v="1"/>
    <x v="8"/>
    <x v="9"/>
    <x v="1"/>
    <n v="499.98"/>
    <n v="14.8"/>
    <n v="14"/>
    <n v="35.712857139999997"/>
  </r>
  <r>
    <x v="3"/>
    <x v="5"/>
    <x v="5"/>
    <x v="8"/>
    <n v="1057203.2"/>
    <n v="47599.74"/>
    <n v="54355"/>
    <n v="19.449971479999999"/>
  </r>
  <r>
    <x v="3"/>
    <x v="2"/>
    <x v="3"/>
    <x v="8"/>
    <n v="15869837.810000001"/>
    <n v="577951.73"/>
    <n v="288305"/>
    <n v="55.045309000000003"/>
  </r>
  <r>
    <x v="3"/>
    <x v="1"/>
    <x v="0"/>
    <x v="4"/>
    <n v="19839.97"/>
    <n v="491.98"/>
    <n v="151"/>
    <n v="131.3905298"/>
  </r>
  <r>
    <x v="2"/>
    <x v="6"/>
    <x v="3"/>
    <x v="5"/>
    <n v="2554473.7400000002"/>
    <n v="90621.37"/>
    <n v="37271"/>
    <n v="68.537837460000006"/>
  </r>
  <r>
    <x v="2"/>
    <x v="4"/>
    <x v="8"/>
    <x v="6"/>
    <n v="83254489.939999998"/>
    <n v="2466331.7400000002"/>
    <n v="103673"/>
    <n v="803.04891280000004"/>
  </r>
  <r>
    <x v="2"/>
    <x v="7"/>
    <x v="9"/>
    <x v="8"/>
    <n v="36087904.560000002"/>
    <n v="1387467.06"/>
    <n v="804250"/>
    <n v="44.871500849999997"/>
  </r>
  <r>
    <x v="1"/>
    <x v="0"/>
    <x v="0"/>
    <x v="4"/>
    <n v="3050"/>
    <n v="88.75"/>
    <n v="1"/>
    <n v="3050"/>
  </r>
  <r>
    <x v="1"/>
    <x v="4"/>
    <x v="7"/>
    <x v="1"/>
    <n v="306140.95"/>
    <n v="9908.6299999999992"/>
    <n v="6393"/>
    <n v="47.886899730000003"/>
  </r>
  <r>
    <x v="2"/>
    <x v="9"/>
    <x v="8"/>
    <x v="1"/>
    <n v="1661"/>
    <n v="2.08"/>
    <n v="15"/>
    <n v="110.7333333"/>
  </r>
  <r>
    <x v="3"/>
    <x v="5"/>
    <x v="2"/>
    <x v="7"/>
    <n v="18032.89"/>
    <n v="735.26"/>
    <n v="681"/>
    <n v="26.48001468"/>
  </r>
  <r>
    <x v="3"/>
    <x v="9"/>
    <x v="0"/>
    <x v="2"/>
    <n v="23135.62"/>
    <n v="351.53"/>
    <n v="98"/>
    <n v="236.07775509999999"/>
  </r>
  <r>
    <x v="0"/>
    <x v="1"/>
    <x v="6"/>
    <x v="4"/>
    <n v="11734400.460000001"/>
    <n v="364185.86"/>
    <n v="43235"/>
    <n v="271.4097481"/>
  </r>
  <r>
    <x v="3"/>
    <x v="8"/>
    <x v="1"/>
    <x v="1"/>
    <n v="0"/>
    <n v="0"/>
    <n v="5"/>
    <n v="0"/>
  </r>
  <r>
    <x v="0"/>
    <x v="2"/>
    <x v="6"/>
    <x v="9"/>
    <n v="573819.73"/>
    <n v="24405.360000000001"/>
    <n v="23513"/>
    <n v="24.404360570000001"/>
  </r>
  <r>
    <x v="0"/>
    <x v="4"/>
    <x v="1"/>
    <x v="6"/>
    <n v="9962347.0899999999"/>
    <n v="359824.73"/>
    <n v="27277"/>
    <n v="365.2288408"/>
  </r>
  <r>
    <x v="1"/>
    <x v="2"/>
    <x v="6"/>
    <x v="4"/>
    <n v="16138332.98"/>
    <n v="581348.73"/>
    <n v="140258"/>
    <n v="115.0617646"/>
  </r>
  <r>
    <x v="2"/>
    <x v="3"/>
    <x v="3"/>
    <x v="0"/>
    <n v="3491833.06"/>
    <n v="130014.84"/>
    <n v="57100"/>
    <n v="61.152943260000001"/>
  </r>
  <r>
    <x v="2"/>
    <x v="1"/>
    <x v="9"/>
    <x v="2"/>
    <n v="6886126.3700000001"/>
    <n v="227719.57"/>
    <n v="48698"/>
    <n v="141.40470590000001"/>
  </r>
  <r>
    <x v="1"/>
    <x v="1"/>
    <x v="0"/>
    <x v="6"/>
    <n v="1565228.27"/>
    <n v="37643.79"/>
    <n v="4284"/>
    <n v="365.36607609999999"/>
  </r>
  <r>
    <x v="0"/>
    <x v="7"/>
    <x v="9"/>
    <x v="4"/>
    <n v="61097620.369999997"/>
    <n v="2050895.59"/>
    <n v="284749"/>
    <n v="214.5665845"/>
  </r>
  <r>
    <x v="0"/>
    <x v="6"/>
    <x v="9"/>
    <x v="3"/>
    <n v="882.74"/>
    <n v="58.64"/>
    <n v="115"/>
    <n v="7.6760000000000002"/>
  </r>
  <r>
    <x v="3"/>
    <x v="2"/>
    <x v="8"/>
    <x v="1"/>
    <n v="143935.82999999999"/>
    <n v="4602.6499999999996"/>
    <n v="1493"/>
    <n v="96.407119890000004"/>
  </r>
  <r>
    <x v="2"/>
    <x v="5"/>
    <x v="4"/>
    <x v="3"/>
    <n v="505.76"/>
    <n v="35.549999999999997"/>
    <n v="53"/>
    <n v="9.5426415089999992"/>
  </r>
  <r>
    <x v="3"/>
    <x v="1"/>
    <x v="5"/>
    <x v="3"/>
    <n v="8446137.1699999999"/>
    <n v="255605.87"/>
    <n v="519775"/>
    <n v="16.24960256"/>
  </r>
  <r>
    <x v="3"/>
    <x v="3"/>
    <x v="0"/>
    <x v="5"/>
    <n v="969423.49"/>
    <n v="36205.660000000003"/>
    <n v="62232"/>
    <n v="15.57757247"/>
  </r>
  <r>
    <x v="2"/>
    <x v="4"/>
    <x v="3"/>
    <x v="7"/>
    <n v="2893186.01"/>
    <n v="100000.47"/>
    <n v="48806"/>
    <n v="59.279310129999999"/>
  </r>
  <r>
    <x v="2"/>
    <x v="5"/>
    <x v="8"/>
    <x v="5"/>
    <n v="7236788.1799999997"/>
    <n v="251234"/>
    <n v="199195"/>
    <n v="36.330169830000003"/>
  </r>
  <r>
    <x v="3"/>
    <x v="7"/>
    <x v="5"/>
    <x v="8"/>
    <n v="5047168.6399999997"/>
    <n v="208049.26"/>
    <n v="153129"/>
    <n v="32.960240319999997"/>
  </r>
  <r>
    <x v="2"/>
    <x v="7"/>
    <x v="2"/>
    <x v="2"/>
    <n v="157906103"/>
    <n v="3928968.12"/>
    <n v="970053"/>
    <n v="162.78090270000001"/>
  </r>
  <r>
    <x v="2"/>
    <x v="2"/>
    <x v="7"/>
    <x v="0"/>
    <n v="4572735.01"/>
    <n v="172937.73"/>
    <n v="95850"/>
    <n v="47.707198849999997"/>
  </r>
  <r>
    <x v="3"/>
    <x v="9"/>
    <x v="0"/>
    <x v="1"/>
    <n v="35"/>
    <n v="0.88"/>
    <n v="3"/>
    <n v="11.66666667"/>
  </r>
  <r>
    <x v="3"/>
    <x v="6"/>
    <x v="6"/>
    <x v="2"/>
    <n v="5278063.63"/>
    <n v="161073.54999999999"/>
    <n v="27741"/>
    <n v="190.2621978"/>
  </r>
  <r>
    <x v="1"/>
    <x v="6"/>
    <x v="8"/>
    <x v="0"/>
    <n v="3017933.56"/>
    <n v="74222.600000000006"/>
    <n v="32978"/>
    <n v="91.513541149999995"/>
  </r>
  <r>
    <x v="3"/>
    <x v="4"/>
    <x v="0"/>
    <x v="2"/>
    <n v="260.54000000000002"/>
    <n v="11.16"/>
    <n v="778"/>
    <n v="0.33488431880000002"/>
  </r>
  <r>
    <x v="3"/>
    <x v="6"/>
    <x v="3"/>
    <x v="1"/>
    <n v="322"/>
    <n v="3.93"/>
    <n v="10"/>
    <n v="32.200000000000003"/>
  </r>
  <r>
    <x v="1"/>
    <x v="8"/>
    <x v="0"/>
    <x v="4"/>
    <n v="1703.75"/>
    <n v="64.92"/>
    <n v="94"/>
    <n v="18.125"/>
  </r>
  <r>
    <x v="1"/>
    <x v="2"/>
    <x v="7"/>
    <x v="6"/>
    <n v="6245459.0300000003"/>
    <n v="226439.67"/>
    <n v="56216"/>
    <n v="111.09753499999999"/>
  </r>
  <r>
    <x v="0"/>
    <x v="1"/>
    <x v="8"/>
    <x v="4"/>
    <n v="43551591.43"/>
    <n v="1190228.06"/>
    <n v="44821"/>
    <n v="971.67826309999998"/>
  </r>
  <r>
    <x v="3"/>
    <x v="1"/>
    <x v="7"/>
    <x v="2"/>
    <n v="5330476.3600000003"/>
    <n v="166439.18"/>
    <n v="27379"/>
    <n v="194.6921495"/>
  </r>
  <r>
    <x v="0"/>
    <x v="4"/>
    <x v="0"/>
    <x v="9"/>
    <n v="4108.59"/>
    <n v="230.34"/>
    <n v="319"/>
    <n v="12.879592479999999"/>
  </r>
  <r>
    <x v="3"/>
    <x v="3"/>
    <x v="0"/>
    <x v="11"/>
    <n v="453647445.69999999"/>
    <n v="13625513.119999999"/>
    <n v="1411125"/>
    <n v="321.47927770000001"/>
  </r>
  <r>
    <x v="3"/>
    <x v="7"/>
    <x v="1"/>
    <x v="4"/>
    <n v="22516442.629999999"/>
    <n v="770069.47"/>
    <n v="115726"/>
    <n v="194.56684440000001"/>
  </r>
  <r>
    <x v="3"/>
    <x v="1"/>
    <x v="0"/>
    <x v="0"/>
    <n v="47236.01"/>
    <n v="3394.67"/>
    <n v="22652"/>
    <n v="2.0852909240000002"/>
  </r>
  <r>
    <x v="1"/>
    <x v="7"/>
    <x v="1"/>
    <x v="1"/>
    <n v="624793.31000000006"/>
    <n v="18577.82"/>
    <n v="10949"/>
    <n v="57.063961089999999"/>
  </r>
  <r>
    <x v="3"/>
    <x v="2"/>
    <x v="8"/>
    <x v="3"/>
    <n v="22900.27"/>
    <n v="977.13"/>
    <n v="27745"/>
    <n v="0.82538367270000002"/>
  </r>
  <r>
    <x v="0"/>
    <x v="0"/>
    <x v="2"/>
    <x v="5"/>
    <n v="3985.36"/>
    <n v="140.75"/>
    <n v="79"/>
    <n v="50.447594940000002"/>
  </r>
  <r>
    <x v="2"/>
    <x v="5"/>
    <x v="5"/>
    <x v="3"/>
    <n v="73.540000000000006"/>
    <n v="4.4000000000000004"/>
    <n v="162"/>
    <n v="0.45395061730000003"/>
  </r>
  <r>
    <x v="1"/>
    <x v="2"/>
    <x v="4"/>
    <x v="7"/>
    <n v="1362533.01"/>
    <n v="53821.13"/>
    <n v="35234"/>
    <n v="38.6709715"/>
  </r>
  <r>
    <x v="3"/>
    <x v="0"/>
    <x v="5"/>
    <x v="5"/>
    <n v="9169.82"/>
    <n v="323.45"/>
    <n v="188"/>
    <n v="48.775638299999997"/>
  </r>
  <r>
    <x v="1"/>
    <x v="3"/>
    <x v="9"/>
    <x v="8"/>
    <n v="174744313.69999999"/>
    <n v="6537145.5300000003"/>
    <n v="3035077"/>
    <n v="57.57491941"/>
  </r>
  <r>
    <x v="0"/>
    <x v="3"/>
    <x v="7"/>
    <x v="7"/>
    <n v="7080906.1299999999"/>
    <n v="260750.02"/>
    <n v="150901"/>
    <n v="46.924182940000001"/>
  </r>
  <r>
    <x v="1"/>
    <x v="5"/>
    <x v="6"/>
    <x v="1"/>
    <n v="21763.62"/>
    <n v="816.35"/>
    <n v="523"/>
    <n v="41.613040150000003"/>
  </r>
  <r>
    <x v="3"/>
    <x v="1"/>
    <x v="2"/>
    <x v="6"/>
    <n v="525066.31000000006"/>
    <n v="15016.19"/>
    <n v="1048"/>
    <n v="501.01747139999998"/>
  </r>
  <r>
    <x v="0"/>
    <x v="0"/>
    <x v="7"/>
    <x v="4"/>
    <n v="104"/>
    <n v="3.92"/>
    <n v="3"/>
    <n v="34.666666669999998"/>
  </r>
  <r>
    <x v="0"/>
    <x v="5"/>
    <x v="5"/>
    <x v="7"/>
    <n v="22395.03"/>
    <n v="991.3"/>
    <n v="890"/>
    <n v="25.162955060000002"/>
  </r>
  <r>
    <x v="1"/>
    <x v="8"/>
    <x v="0"/>
    <x v="11"/>
    <n v="3497.1"/>
    <n v="111.43"/>
    <n v="110"/>
    <n v="31.79181818"/>
  </r>
  <r>
    <x v="3"/>
    <x v="5"/>
    <x v="6"/>
    <x v="8"/>
    <n v="3018320.05"/>
    <n v="129686.8"/>
    <n v="121803"/>
    <n v="24.780342439999998"/>
  </r>
  <r>
    <x v="1"/>
    <x v="0"/>
    <x v="8"/>
    <x v="6"/>
    <n v="180"/>
    <n v="5.82"/>
    <n v="2"/>
    <n v="90"/>
  </r>
  <r>
    <x v="3"/>
    <x v="9"/>
    <x v="7"/>
    <x v="5"/>
    <n v="83321.66"/>
    <n v="2318.4299999999998"/>
    <n v="1267"/>
    <n v="65.762951849999993"/>
  </r>
  <r>
    <x v="2"/>
    <x v="6"/>
    <x v="8"/>
    <x v="4"/>
    <n v="7956501.9699999997"/>
    <n v="235692.43"/>
    <n v="12714"/>
    <n v="625.80635280000001"/>
  </r>
  <r>
    <x v="2"/>
    <x v="1"/>
    <x v="0"/>
    <x v="7"/>
    <n v="29757.93"/>
    <n v="781.83"/>
    <n v="10030"/>
    <n v="2.9668923230000002"/>
  </r>
  <r>
    <x v="2"/>
    <x v="5"/>
    <x v="7"/>
    <x v="3"/>
    <n v="195.27"/>
    <n v="12.72"/>
    <n v="18"/>
    <n v="10.848333330000001"/>
  </r>
  <r>
    <x v="1"/>
    <x v="7"/>
    <x v="0"/>
    <x v="7"/>
    <n v="24.94"/>
    <n v="1.32"/>
    <n v="2"/>
    <n v="12.47"/>
  </r>
  <r>
    <x v="3"/>
    <x v="2"/>
    <x v="6"/>
    <x v="4"/>
    <n v="13777099.67"/>
    <n v="493259.13"/>
    <n v="131210"/>
    <n v="105.0003786"/>
  </r>
  <r>
    <x v="3"/>
    <x v="4"/>
    <x v="9"/>
    <x v="8"/>
    <n v="140732074.59999999"/>
    <n v="5084075.62"/>
    <n v="2754848"/>
    <n v="51.08524121"/>
  </r>
  <r>
    <x v="0"/>
    <x v="1"/>
    <x v="3"/>
    <x v="1"/>
    <n v="474107.36"/>
    <n v="14990.22"/>
    <n v="70460"/>
    <n v="6.7287448200000002"/>
  </r>
  <r>
    <x v="2"/>
    <x v="3"/>
    <x v="5"/>
    <x v="8"/>
    <n v="50179293.5"/>
    <n v="2068352.52"/>
    <n v="1225858"/>
    <n v="40.934018049999999"/>
  </r>
  <r>
    <x v="2"/>
    <x v="3"/>
    <x v="2"/>
    <x v="4"/>
    <n v="30951173.75"/>
    <n v="1051908.7"/>
    <n v="105635"/>
    <n v="293.00112419999999"/>
  </r>
  <r>
    <x v="0"/>
    <x v="1"/>
    <x v="5"/>
    <x v="0"/>
    <n v="330810964.80000001"/>
    <n v="8421272.1400000006"/>
    <n v="8387209"/>
    <n v="39.442318030000003"/>
  </r>
  <r>
    <x v="0"/>
    <x v="0"/>
    <x v="7"/>
    <x v="1"/>
    <n v="187.52"/>
    <n v="5.98"/>
    <n v="12"/>
    <n v="15.626666670000001"/>
  </r>
  <r>
    <x v="2"/>
    <x v="6"/>
    <x v="0"/>
    <x v="2"/>
    <n v="10085.57"/>
    <n v="299.24"/>
    <n v="1310"/>
    <n v="7.6989083970000003"/>
  </r>
  <r>
    <x v="1"/>
    <x v="8"/>
    <x v="7"/>
    <x v="8"/>
    <n v="3954.94"/>
    <n v="185.84"/>
    <n v="306"/>
    <n v="12.924640520000001"/>
  </r>
  <r>
    <x v="0"/>
    <x v="1"/>
    <x v="7"/>
    <x v="9"/>
    <n v="1243027.22"/>
    <n v="30882.41"/>
    <n v="30391"/>
    <n v="40.901162190000001"/>
  </r>
  <r>
    <x v="2"/>
    <x v="0"/>
    <x v="3"/>
    <x v="4"/>
    <n v="638"/>
    <n v="19.36"/>
    <n v="4"/>
    <n v="159.5"/>
  </r>
  <r>
    <x v="3"/>
    <x v="1"/>
    <x v="6"/>
    <x v="5"/>
    <n v="271681385"/>
    <n v="7546566.0899999999"/>
    <n v="3632355"/>
    <n v="74.794832830000004"/>
  </r>
  <r>
    <x v="2"/>
    <x v="1"/>
    <x v="3"/>
    <x v="6"/>
    <n v="689850.15"/>
    <n v="17876.32"/>
    <n v="1771"/>
    <n v="389.52577639999998"/>
  </r>
  <r>
    <x v="1"/>
    <x v="2"/>
    <x v="7"/>
    <x v="5"/>
    <n v="289279902.39999998"/>
    <n v="12970959.84"/>
    <n v="10950317"/>
    <n v="26.41749115"/>
  </r>
  <r>
    <x v="2"/>
    <x v="4"/>
    <x v="0"/>
    <x v="3"/>
    <n v="224.57"/>
    <n v="5.74"/>
    <n v="8"/>
    <n v="28.071249999999999"/>
  </r>
  <r>
    <x v="0"/>
    <x v="0"/>
    <x v="5"/>
    <x v="5"/>
    <n v="15885.4"/>
    <n v="717.87"/>
    <n v="764"/>
    <n v="20.792408380000001"/>
  </r>
  <r>
    <x v="3"/>
    <x v="4"/>
    <x v="8"/>
    <x v="1"/>
    <n v="57775.199999999997"/>
    <n v="1704.25"/>
    <n v="516"/>
    <n v="111.9674419"/>
  </r>
  <r>
    <x v="1"/>
    <x v="6"/>
    <x v="4"/>
    <x v="3"/>
    <n v="2001.25"/>
    <n v="44.63"/>
    <n v="110"/>
    <n v="18.19318182"/>
  </r>
  <r>
    <x v="3"/>
    <x v="7"/>
    <x v="6"/>
    <x v="8"/>
    <n v="10727852.07"/>
    <n v="425866.12"/>
    <n v="278072"/>
    <n v="38.579404150000002"/>
  </r>
  <r>
    <x v="0"/>
    <x v="5"/>
    <x v="0"/>
    <x v="11"/>
    <n v="3140443.32"/>
    <n v="111129.23"/>
    <n v="46078"/>
    <n v="68.154939880000001"/>
  </r>
  <r>
    <x v="0"/>
    <x v="2"/>
    <x v="0"/>
    <x v="6"/>
    <n v="49496300.380000003"/>
    <n v="1556804.18"/>
    <n v="177748"/>
    <n v="278.46333220000002"/>
  </r>
  <r>
    <x v="2"/>
    <x v="3"/>
    <x v="6"/>
    <x v="8"/>
    <n v="141067034"/>
    <n v="5451773.6500000004"/>
    <n v="2820144"/>
    <n v="50.021216639999999"/>
  </r>
  <r>
    <x v="0"/>
    <x v="1"/>
    <x v="1"/>
    <x v="7"/>
    <n v="24336825.260000002"/>
    <n v="778301.46"/>
    <n v="496253"/>
    <n v="49.04116501"/>
  </r>
  <r>
    <x v="0"/>
    <x v="6"/>
    <x v="5"/>
    <x v="2"/>
    <n v="1872397.05"/>
    <n v="55077.11"/>
    <n v="23849"/>
    <n v="78.510505679999994"/>
  </r>
  <r>
    <x v="0"/>
    <x v="3"/>
    <x v="3"/>
    <x v="9"/>
    <n v="44279.33"/>
    <n v="1472.91"/>
    <n v="837"/>
    <n v="52.90242533"/>
  </r>
  <r>
    <x v="0"/>
    <x v="0"/>
    <x v="5"/>
    <x v="4"/>
    <n v="48"/>
    <n v="1.99"/>
    <n v="2"/>
    <n v="24"/>
  </r>
  <r>
    <x v="3"/>
    <x v="7"/>
    <x v="3"/>
    <x v="8"/>
    <n v="3263515.06"/>
    <n v="121330.84"/>
    <n v="61805"/>
    <n v="52.803414930000002"/>
  </r>
  <r>
    <x v="0"/>
    <x v="2"/>
    <x v="7"/>
    <x v="0"/>
    <n v="9864539.8200000003"/>
    <n v="401735.98"/>
    <n v="268616"/>
    <n v="36.723574990000003"/>
  </r>
  <r>
    <x v="1"/>
    <x v="1"/>
    <x v="5"/>
    <x v="4"/>
    <n v="3115467.93"/>
    <n v="91489.85"/>
    <n v="9717"/>
    <n v="320.62034890000001"/>
  </r>
  <r>
    <x v="1"/>
    <x v="1"/>
    <x v="6"/>
    <x v="1"/>
    <n v="199612.98"/>
    <n v="5131.0200000000004"/>
    <n v="3556"/>
    <n v="56.134133859999999"/>
  </r>
  <r>
    <x v="1"/>
    <x v="8"/>
    <x v="2"/>
    <x v="5"/>
    <n v="26564.38"/>
    <n v="525.64"/>
    <n v="311"/>
    <n v="85.416012859999995"/>
  </r>
  <r>
    <x v="1"/>
    <x v="8"/>
    <x v="8"/>
    <x v="8"/>
    <n v="7525.26"/>
    <n v="237.27"/>
    <n v="1594"/>
    <n v="4.7209912169999999"/>
  </r>
  <r>
    <x v="3"/>
    <x v="7"/>
    <x v="6"/>
    <x v="6"/>
    <n v="7576854.2199999997"/>
    <n v="241626.4"/>
    <n v="43443"/>
    <n v="174.4090928"/>
  </r>
  <r>
    <x v="2"/>
    <x v="0"/>
    <x v="2"/>
    <x v="1"/>
    <n v="26.46"/>
    <n v="1.37"/>
    <n v="2"/>
    <n v="13.23"/>
  </r>
  <r>
    <x v="1"/>
    <x v="8"/>
    <x v="6"/>
    <x v="0"/>
    <n v="667.7"/>
    <n v="21.35"/>
    <n v="50"/>
    <n v="13.353999999999999"/>
  </r>
  <r>
    <x v="0"/>
    <x v="3"/>
    <x v="4"/>
    <x v="7"/>
    <n v="12173243.34"/>
    <n v="443765.75"/>
    <n v="251704"/>
    <n v="48.36332891"/>
  </r>
  <r>
    <x v="2"/>
    <x v="2"/>
    <x v="9"/>
    <x v="3"/>
    <n v="30849.09"/>
    <n v="1328.51"/>
    <n v="2059"/>
    <n v="14.98255949"/>
  </r>
  <r>
    <x v="1"/>
    <x v="6"/>
    <x v="9"/>
    <x v="5"/>
    <n v="27853514.370000001"/>
    <n v="1076026.56"/>
    <n v="536752"/>
    <n v="51.892707190000003"/>
  </r>
  <r>
    <x v="1"/>
    <x v="4"/>
    <x v="2"/>
    <x v="5"/>
    <n v="315712780.89999998"/>
    <n v="10535731.09"/>
    <n v="3815389"/>
    <n v="82.747206349999999"/>
  </r>
  <r>
    <x v="2"/>
    <x v="9"/>
    <x v="0"/>
    <x v="1"/>
    <n v="92.26"/>
    <n v="2.84"/>
    <n v="5"/>
    <n v="18.452000000000002"/>
  </r>
  <r>
    <x v="1"/>
    <x v="1"/>
    <x v="0"/>
    <x v="7"/>
    <n v="25598.09"/>
    <n v="739.07"/>
    <n v="9786"/>
    <n v="2.615786838"/>
  </r>
  <r>
    <x v="2"/>
    <x v="3"/>
    <x v="2"/>
    <x v="6"/>
    <n v="19672377.16"/>
    <n v="658780.06999999995"/>
    <n v="62604"/>
    <n v="314.23514729999999"/>
  </r>
  <r>
    <x v="1"/>
    <x v="0"/>
    <x v="0"/>
    <x v="5"/>
    <n v="554.37"/>
    <n v="35.19"/>
    <n v="4"/>
    <n v="138.5925"/>
  </r>
  <r>
    <x v="0"/>
    <x v="5"/>
    <x v="6"/>
    <x v="7"/>
    <n v="67081.149999999994"/>
    <n v="2772.27"/>
    <n v="2833"/>
    <n v="23.6784857"/>
  </r>
  <r>
    <x v="3"/>
    <x v="8"/>
    <x v="4"/>
    <x v="1"/>
    <n v="0"/>
    <n v="0"/>
    <n v="1"/>
    <n v="0"/>
  </r>
  <r>
    <x v="0"/>
    <x v="3"/>
    <x v="0"/>
    <x v="11"/>
    <n v="777232316.79999995"/>
    <n v="23648828.27"/>
    <n v="2674753"/>
    <n v="290.58096829999999"/>
  </r>
  <r>
    <x v="1"/>
    <x v="1"/>
    <x v="5"/>
    <x v="3"/>
    <n v="15531858.380000001"/>
    <n v="508037.22"/>
    <n v="944438"/>
    <n v="16.44560933"/>
  </r>
  <r>
    <x v="3"/>
    <x v="6"/>
    <x v="7"/>
    <x v="7"/>
    <n v="149482.6"/>
    <n v="4886.72"/>
    <n v="2707"/>
    <n v="55.220760990000002"/>
  </r>
  <r>
    <x v="3"/>
    <x v="8"/>
    <x v="9"/>
    <x v="8"/>
    <n v="9752.58"/>
    <n v="401.79"/>
    <n v="867"/>
    <n v="11.24865052"/>
  </r>
  <r>
    <x v="1"/>
    <x v="4"/>
    <x v="1"/>
    <x v="3"/>
    <n v="320726.11"/>
    <n v="13129.11"/>
    <n v="37476"/>
    <n v="8.5581734980000004"/>
  </r>
  <r>
    <x v="0"/>
    <x v="0"/>
    <x v="1"/>
    <x v="1"/>
    <n v="25.46"/>
    <n v="1.34"/>
    <n v="2"/>
    <n v="12.73"/>
  </r>
  <r>
    <x v="0"/>
    <x v="4"/>
    <x v="7"/>
    <x v="4"/>
    <n v="33295297.91"/>
    <n v="1163417.8"/>
    <n v="149291"/>
    <n v="223.02280719999999"/>
  </r>
  <r>
    <x v="3"/>
    <x v="2"/>
    <x v="5"/>
    <x v="2"/>
    <n v="21692519.43"/>
    <n v="809619.19"/>
    <n v="350793"/>
    <n v="61.838518530000002"/>
  </r>
  <r>
    <x v="0"/>
    <x v="5"/>
    <x v="2"/>
    <x v="0"/>
    <n v="1047142.11"/>
    <n v="44592.51"/>
    <n v="43370"/>
    <n v="24.144388060000001"/>
  </r>
  <r>
    <x v="0"/>
    <x v="9"/>
    <x v="9"/>
    <x v="8"/>
    <n v="6848.26"/>
    <n v="334.39"/>
    <n v="230"/>
    <n v="29.775043480000001"/>
  </r>
  <r>
    <x v="2"/>
    <x v="4"/>
    <x v="8"/>
    <x v="7"/>
    <n v="17631689.289999999"/>
    <n v="567680.36"/>
    <n v="258008"/>
    <n v="68.337761970000003"/>
  </r>
  <r>
    <x v="0"/>
    <x v="3"/>
    <x v="3"/>
    <x v="7"/>
    <n v="1031745.21"/>
    <n v="38458.26"/>
    <n v="19630"/>
    <n v="52.559613349999999"/>
  </r>
  <r>
    <x v="1"/>
    <x v="4"/>
    <x v="1"/>
    <x v="7"/>
    <n v="8275109.5"/>
    <n v="287824.71999999997"/>
    <n v="132224"/>
    <n v="62.584020299999999"/>
  </r>
  <r>
    <x v="2"/>
    <x v="6"/>
    <x v="9"/>
    <x v="2"/>
    <n v="9789771.5899999999"/>
    <n v="258180.94"/>
    <n v="32712"/>
    <n v="299.27156980000001"/>
  </r>
  <r>
    <x v="0"/>
    <x v="4"/>
    <x v="1"/>
    <x v="5"/>
    <n v="252303397.80000001"/>
    <n v="9463319.4499999993"/>
    <n v="4264412"/>
    <n v="59.164873800000002"/>
  </r>
  <r>
    <x v="0"/>
    <x v="7"/>
    <x v="8"/>
    <x v="2"/>
    <n v="613867270.79999995"/>
    <n v="12033032.24"/>
    <n v="3799249"/>
    <n v="161.5759511"/>
  </r>
  <r>
    <x v="0"/>
    <x v="6"/>
    <x v="3"/>
    <x v="1"/>
    <n v="28078.55"/>
    <n v="790.49"/>
    <n v="450"/>
    <n v="62.396777780000001"/>
  </r>
  <r>
    <x v="3"/>
    <x v="4"/>
    <x v="8"/>
    <x v="10"/>
    <n v="180262637.69999999"/>
    <n v="46905.09"/>
    <n v="540119"/>
    <n v="333.74615160000002"/>
  </r>
  <r>
    <x v="1"/>
    <x v="6"/>
    <x v="7"/>
    <x v="8"/>
    <n v="3943562.51"/>
    <n v="151522.82"/>
    <n v="95197"/>
    <n v="41.42528136"/>
  </r>
  <r>
    <x v="0"/>
    <x v="8"/>
    <x v="0"/>
    <x v="7"/>
    <n v="11.9"/>
    <n v="2.99"/>
    <n v="1508"/>
    <n v="7.8912466840000001E-3"/>
  </r>
  <r>
    <x v="2"/>
    <x v="8"/>
    <x v="6"/>
    <x v="1"/>
    <n v="380.02"/>
    <n v="12.16"/>
    <n v="12"/>
    <n v="31.668333329999999"/>
  </r>
  <r>
    <x v="2"/>
    <x v="5"/>
    <x v="2"/>
    <x v="1"/>
    <n v="42116.639999999999"/>
    <n v="1124.48"/>
    <n v="786"/>
    <n v="53.583511450000003"/>
  </r>
  <r>
    <x v="1"/>
    <x v="4"/>
    <x v="2"/>
    <x v="2"/>
    <n v="16728945.6"/>
    <n v="583956.32999999996"/>
    <n v="87470"/>
    <n v="191.25352240000001"/>
  </r>
  <r>
    <x v="0"/>
    <x v="2"/>
    <x v="4"/>
    <x v="7"/>
    <n v="2531189.29"/>
    <n v="98396.54"/>
    <n v="60211"/>
    <n v="42.038652239999998"/>
  </r>
  <r>
    <x v="1"/>
    <x v="4"/>
    <x v="1"/>
    <x v="0"/>
    <n v="26183419.899999999"/>
    <n v="899164.39"/>
    <n v="502156"/>
    <n v="52.14200348"/>
  </r>
  <r>
    <x v="0"/>
    <x v="1"/>
    <x v="5"/>
    <x v="6"/>
    <n v="2946599.59"/>
    <n v="87609.61"/>
    <n v="7573"/>
    <n v="389.0927757"/>
  </r>
  <r>
    <x v="0"/>
    <x v="1"/>
    <x v="1"/>
    <x v="2"/>
    <n v="3440935.32"/>
    <n v="127423.4"/>
    <n v="26870"/>
    <n v="128.0586275"/>
  </r>
  <r>
    <x v="1"/>
    <x v="3"/>
    <x v="2"/>
    <x v="7"/>
    <n v="2823883.4"/>
    <n v="106999.24"/>
    <n v="55956"/>
    <n v="50.46614125"/>
  </r>
  <r>
    <x v="2"/>
    <x v="2"/>
    <x v="0"/>
    <x v="8"/>
    <n v="450908111.80000001"/>
    <n v="15022887.119999999"/>
    <n v="5841056"/>
    <n v="77.196334320000005"/>
  </r>
  <r>
    <x v="2"/>
    <x v="4"/>
    <x v="0"/>
    <x v="8"/>
    <n v="394797726.5"/>
    <n v="12503008.949999999"/>
    <n v="4466473"/>
    <n v="88.391383200000007"/>
  </r>
  <r>
    <x v="3"/>
    <x v="5"/>
    <x v="2"/>
    <x v="1"/>
    <n v="4902.78"/>
    <n v="180.73"/>
    <n v="145"/>
    <n v="33.81227586"/>
  </r>
  <r>
    <x v="3"/>
    <x v="1"/>
    <x v="0"/>
    <x v="4"/>
    <n v="290394.17"/>
    <n v="7973.48"/>
    <n v="1541"/>
    <n v="188.44527579999999"/>
  </r>
  <r>
    <x v="1"/>
    <x v="1"/>
    <x v="3"/>
    <x v="4"/>
    <n v="1047417.1"/>
    <n v="30004.6"/>
    <n v="2412"/>
    <n v="434.25252899999998"/>
  </r>
  <r>
    <x v="0"/>
    <x v="4"/>
    <x v="0"/>
    <x v="9"/>
    <n v="52.08"/>
    <n v="4.22"/>
    <n v="184"/>
    <n v="0.28304347829999998"/>
  </r>
  <r>
    <x v="2"/>
    <x v="5"/>
    <x v="4"/>
    <x v="2"/>
    <n v="4681057.8099999996"/>
    <n v="141377.04999999999"/>
    <n v="63891"/>
    <n v="73.266309969999995"/>
  </r>
  <r>
    <x v="1"/>
    <x v="2"/>
    <x v="6"/>
    <x v="5"/>
    <n v="313858562.69999999"/>
    <n v="13824976.630000001"/>
    <n v="11355188"/>
    <n v="27.640102720000002"/>
  </r>
  <r>
    <x v="2"/>
    <x v="3"/>
    <x v="8"/>
    <x v="10"/>
    <n v="201164952"/>
    <n v="178075.49"/>
    <n v="644847"/>
    <n v="311.95764580000002"/>
  </r>
  <r>
    <x v="1"/>
    <x v="7"/>
    <x v="0"/>
    <x v="8"/>
    <n v="73103.05"/>
    <n v="4678.18"/>
    <n v="11501"/>
    <n v="6.3562342410000001"/>
  </r>
  <r>
    <x v="1"/>
    <x v="6"/>
    <x v="7"/>
    <x v="7"/>
    <n v="181813.26"/>
    <n v="6522.36"/>
    <n v="3484"/>
    <n v="52.185206659999999"/>
  </r>
  <r>
    <x v="2"/>
    <x v="1"/>
    <x v="0"/>
    <x v="2"/>
    <n v="3711.21"/>
    <n v="326.93"/>
    <n v="1480"/>
    <n v="2.5075743240000001"/>
  </r>
  <r>
    <x v="2"/>
    <x v="6"/>
    <x v="8"/>
    <x v="5"/>
    <n v="19468047.510000002"/>
    <n v="690657.29"/>
    <n v="311088"/>
    <n v="62.580515830000003"/>
  </r>
  <r>
    <x v="2"/>
    <x v="0"/>
    <x v="1"/>
    <x v="8"/>
    <n v="171.36"/>
    <n v="7.8"/>
    <n v="7"/>
    <n v="24.48"/>
  </r>
  <r>
    <x v="2"/>
    <x v="4"/>
    <x v="1"/>
    <x v="4"/>
    <n v="11638593.630000001"/>
    <n v="413325.35"/>
    <n v="52265"/>
    <n v="222.68427489999999"/>
  </r>
  <r>
    <x v="2"/>
    <x v="2"/>
    <x v="1"/>
    <x v="0"/>
    <n v="4511807.07"/>
    <n v="173299.32"/>
    <n v="88869"/>
    <n v="50.769189140000002"/>
  </r>
  <r>
    <x v="0"/>
    <x v="0"/>
    <x v="7"/>
    <x v="5"/>
    <n v="15581.86"/>
    <n v="731.13"/>
    <n v="818"/>
    <n v="19.048728610000001"/>
  </r>
  <r>
    <x v="1"/>
    <x v="5"/>
    <x v="8"/>
    <x v="4"/>
    <n v="2099003.5499999998"/>
    <n v="69315.69"/>
    <n v="18789"/>
    <n v="111.7144899"/>
  </r>
  <r>
    <x v="0"/>
    <x v="1"/>
    <x v="4"/>
    <x v="0"/>
    <n v="1062988025"/>
    <n v="23666019.530000001"/>
    <n v="18626091"/>
    <n v="57.069839549999998"/>
  </r>
  <r>
    <x v="3"/>
    <x v="6"/>
    <x v="0"/>
    <x v="6"/>
    <n v="10209.43"/>
    <n v="125.25"/>
    <n v="197"/>
    <n v="51.82451777"/>
  </r>
  <r>
    <x v="1"/>
    <x v="6"/>
    <x v="0"/>
    <x v="3"/>
    <n v="0"/>
    <n v="0"/>
    <n v="2"/>
    <n v="0"/>
  </r>
  <r>
    <x v="2"/>
    <x v="4"/>
    <x v="8"/>
    <x v="4"/>
    <n v="113266369.3"/>
    <n v="3381737.47"/>
    <n v="169959"/>
    <n v="666.4334887"/>
  </r>
  <r>
    <x v="1"/>
    <x v="9"/>
    <x v="9"/>
    <x v="5"/>
    <n v="69354.33"/>
    <n v="2488.86"/>
    <n v="913"/>
    <n v="75.963121580000006"/>
  </r>
  <r>
    <x v="0"/>
    <x v="8"/>
    <x v="9"/>
    <x v="5"/>
    <n v="17359.810000000001"/>
    <n v="991.07"/>
    <n v="548"/>
    <n v="31.6784854"/>
  </r>
  <r>
    <x v="0"/>
    <x v="4"/>
    <x v="8"/>
    <x v="0"/>
    <n v="68892868.109999999"/>
    <n v="2268453.5099999998"/>
    <n v="1076395"/>
    <n v="64.00333345"/>
  </r>
  <r>
    <x v="3"/>
    <x v="5"/>
    <x v="9"/>
    <x v="0"/>
    <n v="231156.19"/>
    <n v="8807.2800000000007"/>
    <n v="6292"/>
    <n v="36.738110300000002"/>
  </r>
  <r>
    <x v="2"/>
    <x v="7"/>
    <x v="9"/>
    <x v="4"/>
    <n v="54212631.200000003"/>
    <n v="1751322.49"/>
    <n v="271091"/>
    <n v="199.97945780000001"/>
  </r>
  <r>
    <x v="0"/>
    <x v="7"/>
    <x v="6"/>
    <x v="4"/>
    <n v="49642817.619999997"/>
    <n v="1723274.77"/>
    <n v="275249"/>
    <n v="180.35603259999999"/>
  </r>
  <r>
    <x v="1"/>
    <x v="1"/>
    <x v="1"/>
    <x v="8"/>
    <n v="60727693.130000003"/>
    <n v="2161039.64"/>
    <n v="1184274"/>
    <n v="51.278414560000002"/>
  </r>
  <r>
    <x v="1"/>
    <x v="8"/>
    <x v="5"/>
    <x v="5"/>
    <n v="15813.25"/>
    <n v="558.32000000000005"/>
    <n v="432"/>
    <n v="36.604745370000003"/>
  </r>
  <r>
    <x v="0"/>
    <x v="2"/>
    <x v="1"/>
    <x v="4"/>
    <n v="21638336.510000002"/>
    <n v="737243.97"/>
    <n v="95038"/>
    <n v="227.68089090000001"/>
  </r>
  <r>
    <x v="0"/>
    <x v="5"/>
    <x v="0"/>
    <x v="4"/>
    <n v="11760.72"/>
    <n v="160.37"/>
    <n v="137"/>
    <n v="85.844671529999999"/>
  </r>
  <r>
    <x v="2"/>
    <x v="8"/>
    <x v="5"/>
    <x v="2"/>
    <n v="1294.83"/>
    <n v="58.81"/>
    <n v="118"/>
    <n v="10.97313559"/>
  </r>
  <r>
    <x v="2"/>
    <x v="3"/>
    <x v="1"/>
    <x v="6"/>
    <n v="13444810.24"/>
    <n v="456369.99"/>
    <n v="48272"/>
    <n v="278.52192239999999"/>
  </r>
  <r>
    <x v="1"/>
    <x v="7"/>
    <x v="1"/>
    <x v="8"/>
    <n v="16147257.84"/>
    <n v="649404.49"/>
    <n v="353509"/>
    <n v="45.677077079999997"/>
  </r>
  <r>
    <x v="2"/>
    <x v="1"/>
    <x v="7"/>
    <x v="3"/>
    <n v="46252609.420000002"/>
    <n v="1383819.14"/>
    <n v="3480482"/>
    <n v="13.2891391"/>
  </r>
  <r>
    <x v="0"/>
    <x v="2"/>
    <x v="5"/>
    <x v="1"/>
    <n v="6160092.1799999997"/>
    <n v="250079.89"/>
    <n v="283042"/>
    <n v="21.763880199999999"/>
  </r>
  <r>
    <x v="1"/>
    <x v="4"/>
    <x v="0"/>
    <x v="8"/>
    <n v="369134.15"/>
    <n v="11482.33"/>
    <n v="66629"/>
    <n v="5.5401424300000004"/>
  </r>
  <r>
    <x v="2"/>
    <x v="4"/>
    <x v="0"/>
    <x v="6"/>
    <n v="5975793.8399999999"/>
    <n v="179833.41"/>
    <n v="16878"/>
    <n v="354.05817280000002"/>
  </r>
  <r>
    <x v="1"/>
    <x v="1"/>
    <x v="2"/>
    <x v="7"/>
    <n v="14750729.25"/>
    <n v="401648.41"/>
    <n v="235592"/>
    <n v="62.611333360000003"/>
  </r>
  <r>
    <x v="0"/>
    <x v="4"/>
    <x v="0"/>
    <x v="2"/>
    <n v="42993.440000000002"/>
    <n v="1524.46"/>
    <n v="4443"/>
    <n v="9.6766689170000006"/>
  </r>
  <r>
    <x v="0"/>
    <x v="6"/>
    <x v="4"/>
    <x v="3"/>
    <n v="2098.0100000000002"/>
    <n v="149.56"/>
    <n v="260"/>
    <n v="8.0692692309999998"/>
  </r>
  <r>
    <x v="2"/>
    <x v="4"/>
    <x v="0"/>
    <x v="7"/>
    <n v="30196.77"/>
    <n v="769.19"/>
    <n v="5955"/>
    <n v="5.0708261959999996"/>
  </r>
  <r>
    <x v="3"/>
    <x v="6"/>
    <x v="2"/>
    <x v="5"/>
    <n v="10525604.460000001"/>
    <n v="384933.06"/>
    <n v="157906"/>
    <n v="66.657406679999994"/>
  </r>
  <r>
    <x v="3"/>
    <x v="8"/>
    <x v="9"/>
    <x v="4"/>
    <n v="-1672.57"/>
    <n v="136.35"/>
    <n v="51"/>
    <n v="-32.795490200000003"/>
  </r>
  <r>
    <x v="2"/>
    <x v="3"/>
    <x v="4"/>
    <x v="7"/>
    <n v="8802363.3399999999"/>
    <n v="325430.67"/>
    <n v="180924"/>
    <n v="48.65227024"/>
  </r>
  <r>
    <x v="1"/>
    <x v="2"/>
    <x v="6"/>
    <x v="7"/>
    <n v="1129160.03"/>
    <n v="45057.06"/>
    <n v="29243"/>
    <n v="38.613002430000002"/>
  </r>
  <r>
    <x v="2"/>
    <x v="6"/>
    <x v="3"/>
    <x v="2"/>
    <n v="1750380.77"/>
    <n v="47225.55"/>
    <n v="8465"/>
    <n v="206.7785907"/>
  </r>
  <r>
    <x v="0"/>
    <x v="3"/>
    <x v="8"/>
    <x v="3"/>
    <n v="98497.91"/>
    <n v="3304.39"/>
    <n v="3850"/>
    <n v="25.58387273"/>
  </r>
  <r>
    <x v="0"/>
    <x v="4"/>
    <x v="9"/>
    <x v="8"/>
    <n v="250999945.90000001"/>
    <n v="8936945.7899999991"/>
    <n v="4144468"/>
    <n v="60.562645410000002"/>
  </r>
  <r>
    <x v="1"/>
    <x v="1"/>
    <x v="4"/>
    <x v="2"/>
    <n v="8237190.5499999998"/>
    <n v="274105.18"/>
    <n v="48975"/>
    <n v="168.19174169999999"/>
  </r>
  <r>
    <x v="2"/>
    <x v="2"/>
    <x v="2"/>
    <x v="5"/>
    <n v="74244295.579999998"/>
    <n v="3011431.87"/>
    <n v="2116187"/>
    <n v="35.083995690000002"/>
  </r>
  <r>
    <x v="2"/>
    <x v="8"/>
    <x v="0"/>
    <x v="2"/>
    <n v="19439.09"/>
    <n v="409.55"/>
    <n v="675"/>
    <n v="28.798651849999999"/>
  </r>
  <r>
    <x v="1"/>
    <x v="5"/>
    <x v="5"/>
    <x v="6"/>
    <n v="161828.63"/>
    <n v="6107.94"/>
    <n v="2681"/>
    <n v="60.361294289999996"/>
  </r>
  <r>
    <x v="2"/>
    <x v="8"/>
    <x v="3"/>
    <x v="0"/>
    <n v="-1"/>
    <n v="0"/>
    <n v="30"/>
    <n v="-3.3333333329999999E-2"/>
  </r>
  <r>
    <x v="0"/>
    <x v="4"/>
    <x v="0"/>
    <x v="7"/>
    <n v="1691997514"/>
    <n v="46071277.32"/>
    <n v="18519747"/>
    <n v="91.361805000000004"/>
  </r>
  <r>
    <x v="0"/>
    <x v="8"/>
    <x v="3"/>
    <x v="2"/>
    <n v="14866.17"/>
    <n v="271.24"/>
    <n v="333"/>
    <n v="44.643153150000003"/>
  </r>
  <r>
    <x v="0"/>
    <x v="6"/>
    <x v="1"/>
    <x v="2"/>
    <n v="5376556.9299999997"/>
    <n v="150260.76"/>
    <n v="41417"/>
    <n v="129.81521910000001"/>
  </r>
  <r>
    <x v="0"/>
    <x v="3"/>
    <x v="2"/>
    <x v="5"/>
    <n v="200435752.69999999"/>
    <n v="7649790.21"/>
    <n v="3491326"/>
    <n v="57.409635389999998"/>
  </r>
  <r>
    <x v="1"/>
    <x v="8"/>
    <x v="1"/>
    <x v="2"/>
    <n v="22948.28"/>
    <n v="566.48"/>
    <n v="923"/>
    <n v="24.862708560000002"/>
  </r>
  <r>
    <x v="2"/>
    <x v="6"/>
    <x v="8"/>
    <x v="8"/>
    <n v="10216697.699999999"/>
    <n v="291471.76"/>
    <n v="132146"/>
    <n v="77.313711350000005"/>
  </r>
  <r>
    <x v="1"/>
    <x v="7"/>
    <x v="5"/>
    <x v="6"/>
    <n v="5390753.6200000001"/>
    <n v="185275.73"/>
    <n v="41880"/>
    <n v="128.7190454"/>
  </r>
  <r>
    <x v="1"/>
    <x v="1"/>
    <x v="8"/>
    <x v="4"/>
    <n v="39187232.899999999"/>
    <n v="1083549.45"/>
    <n v="35667"/>
    <n v="1098.6971960000001"/>
  </r>
  <r>
    <x v="2"/>
    <x v="5"/>
    <x v="9"/>
    <x v="2"/>
    <n v="5545216.7000000002"/>
    <n v="165215.67999999999"/>
    <n v="70640"/>
    <n v="78.499670159999994"/>
  </r>
  <r>
    <x v="0"/>
    <x v="1"/>
    <x v="5"/>
    <x v="7"/>
    <n v="27024813.75"/>
    <n v="803042.65"/>
    <n v="538856"/>
    <n v="50.152199750000001"/>
  </r>
  <r>
    <x v="0"/>
    <x v="1"/>
    <x v="1"/>
    <x v="8"/>
    <n v="68404829.780000001"/>
    <n v="2607949.09"/>
    <n v="1561417"/>
    <n v="43.809456269999998"/>
  </r>
  <r>
    <x v="0"/>
    <x v="6"/>
    <x v="5"/>
    <x v="0"/>
    <n v="2559272.5299999998"/>
    <n v="83682.09"/>
    <n v="98074"/>
    <n v="26.09532119"/>
  </r>
  <r>
    <x v="0"/>
    <x v="2"/>
    <x v="6"/>
    <x v="3"/>
    <n v="16889.53"/>
    <n v="630.51"/>
    <n v="1231"/>
    <n v="13.72017059"/>
  </r>
  <r>
    <x v="2"/>
    <x v="8"/>
    <x v="3"/>
    <x v="7"/>
    <n v="0"/>
    <n v="0"/>
    <n v="11"/>
    <n v="0"/>
  </r>
  <r>
    <x v="2"/>
    <x v="6"/>
    <x v="5"/>
    <x v="8"/>
    <n v="2463515.5299999998"/>
    <n v="97330"/>
    <n v="56641"/>
    <n v="43.49350347"/>
  </r>
  <r>
    <x v="0"/>
    <x v="7"/>
    <x v="9"/>
    <x v="6"/>
    <n v="19660173.57"/>
    <n v="652758.99"/>
    <n v="90502"/>
    <n v="217.2346862"/>
  </r>
  <r>
    <x v="2"/>
    <x v="3"/>
    <x v="9"/>
    <x v="0"/>
    <n v="33965749.899999999"/>
    <n v="1238567.92"/>
    <n v="606949"/>
    <n v="55.961456230000003"/>
  </r>
  <r>
    <x v="3"/>
    <x v="1"/>
    <x v="3"/>
    <x v="1"/>
    <n v="1314.75"/>
    <n v="25.47"/>
    <n v="12"/>
    <n v="109.5625"/>
  </r>
  <r>
    <x v="0"/>
    <x v="6"/>
    <x v="3"/>
    <x v="2"/>
    <n v="1842690.13"/>
    <n v="48481.16"/>
    <n v="9192"/>
    <n v="200.46672430000001"/>
  </r>
  <r>
    <x v="1"/>
    <x v="8"/>
    <x v="7"/>
    <x v="4"/>
    <n v="581.80999999999995"/>
    <n v="121.05"/>
    <n v="21"/>
    <n v="27.705238099999999"/>
  </r>
  <r>
    <x v="1"/>
    <x v="3"/>
    <x v="7"/>
    <x v="2"/>
    <n v="69322308.140000001"/>
    <n v="2431845.31"/>
    <n v="414406"/>
    <n v="167.28114009999999"/>
  </r>
  <r>
    <x v="0"/>
    <x v="9"/>
    <x v="8"/>
    <x v="2"/>
    <n v="438605.59"/>
    <n v="9200.8700000000008"/>
    <n v="3850"/>
    <n v="113.92352990000001"/>
  </r>
  <r>
    <x v="3"/>
    <x v="2"/>
    <x v="0"/>
    <x v="7"/>
    <n v="40561410.43"/>
    <n v="1370859.5"/>
    <n v="667892"/>
    <n v="60.730493000000003"/>
  </r>
  <r>
    <x v="2"/>
    <x v="4"/>
    <x v="4"/>
    <x v="2"/>
    <n v="37398916.579999998"/>
    <n v="1283663.3899999999"/>
    <n v="201256"/>
    <n v="185.82758569999999"/>
  </r>
  <r>
    <x v="2"/>
    <x v="5"/>
    <x v="7"/>
    <x v="7"/>
    <n v="28987.599999999999"/>
    <n v="1188.0999999999999"/>
    <n v="1046"/>
    <n v="27.712810709999999"/>
  </r>
  <r>
    <x v="1"/>
    <x v="5"/>
    <x v="3"/>
    <x v="2"/>
    <n v="1216407.3400000001"/>
    <n v="41249.5"/>
    <n v="13202"/>
    <n v="92.138110889999993"/>
  </r>
  <r>
    <x v="1"/>
    <x v="4"/>
    <x v="9"/>
    <x v="7"/>
    <n v="22861896.34"/>
    <n v="745919.31"/>
    <n v="387386"/>
    <n v="59.015804240000001"/>
  </r>
  <r>
    <x v="0"/>
    <x v="5"/>
    <x v="7"/>
    <x v="6"/>
    <n v="418501.61"/>
    <n v="15314.64"/>
    <n v="5859"/>
    <n v="71.428846219999997"/>
  </r>
  <r>
    <x v="2"/>
    <x v="4"/>
    <x v="5"/>
    <x v="2"/>
    <n v="20237290.68"/>
    <n v="719134.44"/>
    <n v="144290"/>
    <n v="140.25428429999999"/>
  </r>
  <r>
    <x v="3"/>
    <x v="4"/>
    <x v="1"/>
    <x v="8"/>
    <n v="81205451.489999995"/>
    <n v="3098817.85"/>
    <n v="1529712"/>
    <n v="53.085451050000003"/>
  </r>
  <r>
    <x v="1"/>
    <x v="8"/>
    <x v="0"/>
    <x v="2"/>
    <n v="0"/>
    <n v="0"/>
    <n v="344"/>
    <n v="0"/>
  </r>
  <r>
    <x v="1"/>
    <x v="7"/>
    <x v="8"/>
    <x v="8"/>
    <n v="17182400.870000001"/>
    <n v="638520.18000000005"/>
    <n v="423502"/>
    <n v="40.572183529999997"/>
  </r>
  <r>
    <x v="0"/>
    <x v="1"/>
    <x v="5"/>
    <x v="9"/>
    <n v="619105.02"/>
    <n v="15402.71"/>
    <n v="16287"/>
    <n v="38.012219559999998"/>
  </r>
  <r>
    <x v="1"/>
    <x v="4"/>
    <x v="8"/>
    <x v="4"/>
    <n v="114651020.5"/>
    <n v="3425412.17"/>
    <n v="165979"/>
    <n v="690.75618280000003"/>
  </r>
  <r>
    <x v="0"/>
    <x v="0"/>
    <x v="0"/>
    <x v="8"/>
    <n v="2029.23"/>
    <n v="79.25"/>
    <n v="36"/>
    <n v="56.3675"/>
  </r>
  <r>
    <x v="1"/>
    <x v="3"/>
    <x v="1"/>
    <x v="8"/>
    <n v="96548709.5"/>
    <n v="3724477.39"/>
    <n v="1528363"/>
    <n v="63.171320880000003"/>
  </r>
  <r>
    <x v="1"/>
    <x v="5"/>
    <x v="2"/>
    <x v="1"/>
    <n v="14633.6"/>
    <n v="501.41"/>
    <n v="208"/>
    <n v="70.353846149999995"/>
  </r>
  <r>
    <x v="0"/>
    <x v="5"/>
    <x v="8"/>
    <x v="3"/>
    <n v="3.09"/>
    <n v="2.81"/>
    <n v="26834"/>
    <n v="1.151524186E-4"/>
  </r>
  <r>
    <x v="3"/>
    <x v="4"/>
    <x v="0"/>
    <x v="3"/>
    <n v="147.82"/>
    <n v="3.47"/>
    <n v="4"/>
    <n v="36.954999999999998"/>
  </r>
  <r>
    <x v="0"/>
    <x v="2"/>
    <x v="4"/>
    <x v="0"/>
    <n v="18475237.039999999"/>
    <n v="734545.01"/>
    <n v="476876"/>
    <n v="38.742224479999997"/>
  </r>
  <r>
    <x v="3"/>
    <x v="5"/>
    <x v="0"/>
    <x v="2"/>
    <n v="30.7"/>
    <n v="1.99"/>
    <n v="1320"/>
    <n v="2.325757576E-2"/>
  </r>
  <r>
    <x v="3"/>
    <x v="0"/>
    <x v="3"/>
    <x v="2"/>
    <n v="1171.9000000000001"/>
    <n v="9.16"/>
    <n v="14"/>
    <n v="83.707142860000005"/>
  </r>
  <r>
    <x v="1"/>
    <x v="4"/>
    <x v="0"/>
    <x v="8"/>
    <n v="349885625.5"/>
    <n v="11215628.869999999"/>
    <n v="3964841"/>
    <n v="88.247076100000001"/>
  </r>
  <r>
    <x v="0"/>
    <x v="1"/>
    <x v="9"/>
    <x v="3"/>
    <n v="35329971.939999998"/>
    <n v="1100056.29"/>
    <n v="2229019"/>
    <n v="15.850009330000001"/>
  </r>
  <r>
    <x v="1"/>
    <x v="9"/>
    <x v="6"/>
    <x v="8"/>
    <n v="2653.8"/>
    <n v="132.55000000000001"/>
    <n v="82"/>
    <n v="32.363414630000001"/>
  </r>
  <r>
    <x v="3"/>
    <x v="7"/>
    <x v="0"/>
    <x v="1"/>
    <n v="199.93"/>
    <n v="20.13"/>
    <n v="50"/>
    <n v="3.9986000000000002"/>
  </r>
  <r>
    <x v="2"/>
    <x v="1"/>
    <x v="6"/>
    <x v="4"/>
    <n v="7960231.3099999996"/>
    <n v="241439.96"/>
    <n v="31162"/>
    <n v="255.44673990000001"/>
  </r>
  <r>
    <x v="2"/>
    <x v="0"/>
    <x v="9"/>
    <x v="1"/>
    <n v="36.94"/>
    <n v="1.97"/>
    <n v="3"/>
    <n v="12.313333330000001"/>
  </r>
  <r>
    <x v="1"/>
    <x v="7"/>
    <x v="0"/>
    <x v="1"/>
    <n v="4053.4"/>
    <n v="96.53"/>
    <n v="204"/>
    <n v="19.86960784"/>
  </r>
  <r>
    <x v="1"/>
    <x v="5"/>
    <x v="5"/>
    <x v="8"/>
    <n v="1293401.3600000001"/>
    <n v="58479.41"/>
    <n v="67822"/>
    <n v="19.070528150000001"/>
  </r>
  <r>
    <x v="0"/>
    <x v="5"/>
    <x v="9"/>
    <x v="6"/>
    <n v="1360342.51"/>
    <n v="46529.599999999999"/>
    <n v="14186"/>
    <n v="95.893311010000005"/>
  </r>
  <r>
    <x v="1"/>
    <x v="6"/>
    <x v="0"/>
    <x v="4"/>
    <n v="33232.449999999997"/>
    <n v="319.85000000000002"/>
    <n v="228"/>
    <n v="145.7563596"/>
  </r>
  <r>
    <x v="3"/>
    <x v="2"/>
    <x v="4"/>
    <x v="3"/>
    <n v="34594.629999999997"/>
    <n v="1183.98"/>
    <n v="2851"/>
    <n v="12.134209050000001"/>
  </r>
  <r>
    <x v="1"/>
    <x v="1"/>
    <x v="2"/>
    <x v="3"/>
    <n v="7089009.9500000002"/>
    <n v="219254.78"/>
    <n v="407328"/>
    <n v="17.403689289999999"/>
  </r>
  <r>
    <x v="2"/>
    <x v="9"/>
    <x v="6"/>
    <x v="7"/>
    <n v="28.1"/>
    <n v="1.1100000000000001"/>
    <n v="1"/>
    <n v="28.1"/>
  </r>
  <r>
    <x v="3"/>
    <x v="5"/>
    <x v="8"/>
    <x v="1"/>
    <n v="10065.33"/>
    <n v="380.34"/>
    <n v="692"/>
    <n v="14.54527457"/>
  </r>
  <r>
    <x v="3"/>
    <x v="6"/>
    <x v="4"/>
    <x v="2"/>
    <n v="6714883.3499999996"/>
    <n v="194113.62"/>
    <n v="28812"/>
    <n v="233.05856410000001"/>
  </r>
  <r>
    <x v="0"/>
    <x v="4"/>
    <x v="5"/>
    <x v="5"/>
    <n v="542145982.79999995"/>
    <n v="19770005.870000001"/>
    <n v="10468188"/>
    <n v="51.789859210000003"/>
  </r>
  <r>
    <x v="0"/>
    <x v="2"/>
    <x v="9"/>
    <x v="9"/>
    <n v="291788.56"/>
    <n v="12094.22"/>
    <n v="11270"/>
    <n v="25.890732920000001"/>
  </r>
  <r>
    <x v="2"/>
    <x v="1"/>
    <x v="3"/>
    <x v="8"/>
    <n v="14044176.68"/>
    <n v="443091.9"/>
    <n v="262879"/>
    <n v="53.424490659999996"/>
  </r>
  <r>
    <x v="3"/>
    <x v="6"/>
    <x v="2"/>
    <x v="8"/>
    <n v="9971835.7400000002"/>
    <n v="297211.51"/>
    <n v="128934"/>
    <n v="77.340621870000007"/>
  </r>
  <r>
    <x v="1"/>
    <x v="1"/>
    <x v="0"/>
    <x v="4"/>
    <n v="384215.48"/>
    <n v="11873.28"/>
    <n v="2086"/>
    <n v="184.18767020000001"/>
  </r>
  <r>
    <x v="1"/>
    <x v="2"/>
    <x v="8"/>
    <x v="8"/>
    <n v="58030372.170000002"/>
    <n v="2262353.61"/>
    <n v="1402997"/>
    <n v="41.361722210000003"/>
  </r>
  <r>
    <x v="0"/>
    <x v="1"/>
    <x v="7"/>
    <x v="2"/>
    <n v="8599808.2300000004"/>
    <n v="293341.90999999997"/>
    <n v="57126"/>
    <n v="150.5410536"/>
  </r>
  <r>
    <x v="3"/>
    <x v="7"/>
    <x v="7"/>
    <x v="8"/>
    <n v="6853455.9699999997"/>
    <n v="275196.64"/>
    <n v="183809"/>
    <n v="37.285747540000003"/>
  </r>
  <r>
    <x v="3"/>
    <x v="2"/>
    <x v="5"/>
    <x v="0"/>
    <n v="991155.15"/>
    <n v="36949.93"/>
    <n v="18918"/>
    <n v="52.39217412"/>
  </r>
  <r>
    <x v="3"/>
    <x v="4"/>
    <x v="0"/>
    <x v="7"/>
    <n v="9215.35"/>
    <n v="763.88"/>
    <n v="1355"/>
    <n v="6.8009963100000004"/>
  </r>
  <r>
    <x v="1"/>
    <x v="5"/>
    <x v="2"/>
    <x v="8"/>
    <n v="4888077.82"/>
    <n v="190147.94"/>
    <n v="145091"/>
    <n v="33.689738300000002"/>
  </r>
  <r>
    <x v="2"/>
    <x v="5"/>
    <x v="6"/>
    <x v="1"/>
    <n v="107529.78"/>
    <n v="3149.71"/>
    <n v="2922"/>
    <n v="36.800061599999999"/>
  </r>
  <r>
    <x v="0"/>
    <x v="0"/>
    <x v="8"/>
    <x v="9"/>
    <n v="203682.24"/>
    <n v="0"/>
    <n v="2225"/>
    <n v="91.542579779999997"/>
  </r>
  <r>
    <x v="3"/>
    <x v="0"/>
    <x v="0"/>
    <x v="5"/>
    <n v="969.52"/>
    <n v="24.47"/>
    <n v="12"/>
    <n v="80.793333329999996"/>
  </r>
  <r>
    <x v="1"/>
    <x v="6"/>
    <x v="0"/>
    <x v="2"/>
    <n v="27351.279999999999"/>
    <n v="909.41"/>
    <n v="1119"/>
    <n v="24.442609470000001"/>
  </r>
  <r>
    <x v="2"/>
    <x v="1"/>
    <x v="8"/>
    <x v="2"/>
    <n v="69976655.090000004"/>
    <n v="1655635.74"/>
    <n v="99414"/>
    <n v="703.89135420000002"/>
  </r>
  <r>
    <x v="1"/>
    <x v="8"/>
    <x v="9"/>
    <x v="5"/>
    <n v="21088.34"/>
    <n v="1017.5"/>
    <n v="684"/>
    <n v="30.830906429999999"/>
  </r>
  <r>
    <x v="2"/>
    <x v="2"/>
    <x v="5"/>
    <x v="8"/>
    <n v="28211397.48"/>
    <n v="1230990.1299999999"/>
    <n v="960720"/>
    <n v="29.364848739999999"/>
  </r>
  <r>
    <x v="0"/>
    <x v="3"/>
    <x v="7"/>
    <x v="5"/>
    <n v="653274897.5"/>
    <n v="26798317.960000001"/>
    <n v="15478091"/>
    <n v="42.206425680000002"/>
  </r>
  <r>
    <x v="0"/>
    <x v="2"/>
    <x v="5"/>
    <x v="5"/>
    <n v="339147582.80000001"/>
    <n v="15749832.6"/>
    <n v="14914040"/>
    <n v="22.740155099999999"/>
  </r>
  <r>
    <x v="0"/>
    <x v="5"/>
    <x v="0"/>
    <x v="1"/>
    <n v="559.02"/>
    <n v="6.99"/>
    <n v="104"/>
    <n v="5.3751923079999999"/>
  </r>
  <r>
    <x v="0"/>
    <x v="1"/>
    <x v="6"/>
    <x v="5"/>
    <n v="433142715.19999999"/>
    <n v="12377734.91"/>
    <n v="8082493"/>
    <n v="53.590236969999999"/>
  </r>
  <r>
    <x v="0"/>
    <x v="2"/>
    <x v="2"/>
    <x v="8"/>
    <n v="93523581.180000007"/>
    <n v="3286294.19"/>
    <n v="1639978"/>
    <n v="57.027338890000003"/>
  </r>
  <r>
    <x v="0"/>
    <x v="7"/>
    <x v="4"/>
    <x v="9"/>
    <n v="870812.19"/>
    <n v="30032.240000000002"/>
    <n v="12488"/>
    <n v="69.731917839999994"/>
  </r>
  <r>
    <x v="3"/>
    <x v="1"/>
    <x v="2"/>
    <x v="0"/>
    <n v="67317467.109999999"/>
    <n v="1467034.19"/>
    <n v="837563"/>
    <n v="80.373019240000005"/>
  </r>
  <r>
    <x v="0"/>
    <x v="6"/>
    <x v="9"/>
    <x v="7"/>
    <n v="995500.62"/>
    <n v="27939.03"/>
    <n v="18143"/>
    <n v="54.869680870000003"/>
  </r>
  <r>
    <x v="1"/>
    <x v="0"/>
    <x v="9"/>
    <x v="4"/>
    <n v="26"/>
    <n v="1.05"/>
    <n v="1"/>
    <n v="26"/>
  </r>
  <r>
    <x v="2"/>
    <x v="2"/>
    <x v="1"/>
    <x v="3"/>
    <n v="4808.33"/>
    <n v="223.58"/>
    <n v="336"/>
    <n v="14.31050595"/>
  </r>
  <r>
    <x v="1"/>
    <x v="6"/>
    <x v="0"/>
    <x v="1"/>
    <n v="0"/>
    <n v="0"/>
    <n v="8"/>
    <n v="0"/>
  </r>
  <r>
    <x v="1"/>
    <x v="3"/>
    <x v="0"/>
    <x v="0"/>
    <n v="16831.990000000002"/>
    <n v="587.55999999999995"/>
    <n v="3444"/>
    <n v="4.8873373979999997"/>
  </r>
  <r>
    <x v="0"/>
    <x v="3"/>
    <x v="0"/>
    <x v="8"/>
    <n v="719717840.79999995"/>
    <n v="23374107.420000002"/>
    <n v="7455960"/>
    <n v="96.529198230000006"/>
  </r>
  <r>
    <x v="2"/>
    <x v="6"/>
    <x v="5"/>
    <x v="5"/>
    <n v="17228687.059999999"/>
    <n v="716407.2"/>
    <n v="533846"/>
    <n v="32.27276604"/>
  </r>
  <r>
    <x v="0"/>
    <x v="4"/>
    <x v="7"/>
    <x v="6"/>
    <n v="20535590.879999999"/>
    <n v="719363.91"/>
    <n v="69413"/>
    <n v="295.84646800000002"/>
  </r>
  <r>
    <x v="0"/>
    <x v="7"/>
    <x v="0"/>
    <x v="8"/>
    <n v="210333.38"/>
    <n v="9144.44"/>
    <n v="17581"/>
    <n v="11.96367556"/>
  </r>
  <r>
    <x v="0"/>
    <x v="5"/>
    <x v="8"/>
    <x v="1"/>
    <n v="397179.34"/>
    <n v="5222.93"/>
    <n v="188333"/>
    <n v="2.1089205820000001"/>
  </r>
  <r>
    <x v="3"/>
    <x v="1"/>
    <x v="5"/>
    <x v="6"/>
    <n v="466165.64"/>
    <n v="11870.27"/>
    <n v="900"/>
    <n v="517.96182220000003"/>
  </r>
  <r>
    <x v="1"/>
    <x v="8"/>
    <x v="9"/>
    <x v="6"/>
    <n v="6405.06"/>
    <n v="104.2"/>
    <n v="22"/>
    <n v="291.13909089999999"/>
  </r>
  <r>
    <x v="3"/>
    <x v="9"/>
    <x v="4"/>
    <x v="2"/>
    <n v="47323.24"/>
    <n v="1121.72"/>
    <n v="362"/>
    <n v="130.72718230000001"/>
  </r>
  <r>
    <x v="1"/>
    <x v="1"/>
    <x v="5"/>
    <x v="5"/>
    <n v="147309311.40000001"/>
    <n v="4271446.72"/>
    <n v="2376882"/>
    <n v="61.97586226"/>
  </r>
  <r>
    <x v="3"/>
    <x v="2"/>
    <x v="8"/>
    <x v="10"/>
    <n v="30299665.379999999"/>
    <n v="152598.39000000001"/>
    <n v="484963"/>
    <n v="62.478303250000003"/>
  </r>
  <r>
    <x v="1"/>
    <x v="5"/>
    <x v="4"/>
    <x v="2"/>
    <n v="4298742.3499999996"/>
    <n v="150752.26"/>
    <n v="60040"/>
    <n v="71.597973850000002"/>
  </r>
  <r>
    <x v="3"/>
    <x v="9"/>
    <x v="4"/>
    <x v="5"/>
    <n v="107659.97"/>
    <n v="3067.68"/>
    <n v="1350"/>
    <n v="79.74812593"/>
  </r>
  <r>
    <x v="0"/>
    <x v="8"/>
    <x v="0"/>
    <x v="2"/>
    <n v="38522.730000000003"/>
    <n v="395.35"/>
    <n v="631"/>
    <n v="61.050285260000003"/>
  </r>
  <r>
    <x v="2"/>
    <x v="9"/>
    <x v="2"/>
    <x v="2"/>
    <n v="74634.039999999994"/>
    <n v="975.66"/>
    <n v="391"/>
    <n v="190.87989769999999"/>
  </r>
  <r>
    <x v="0"/>
    <x v="6"/>
    <x v="9"/>
    <x v="2"/>
    <n v="10054854.82"/>
    <n v="252333.96"/>
    <n v="40570"/>
    <n v="247.8396554"/>
  </r>
  <r>
    <x v="3"/>
    <x v="1"/>
    <x v="9"/>
    <x v="7"/>
    <n v="13419096.9"/>
    <n v="413729.69"/>
    <n v="344222"/>
    <n v="38.983844439999999"/>
  </r>
  <r>
    <x v="3"/>
    <x v="7"/>
    <x v="1"/>
    <x v="5"/>
    <n v="385408555.39999998"/>
    <n v="14316181.43"/>
    <n v="6195347"/>
    <n v="62.209357349999998"/>
  </r>
  <r>
    <x v="0"/>
    <x v="8"/>
    <x v="4"/>
    <x v="4"/>
    <n v="10841.36"/>
    <n v="836.29"/>
    <n v="40"/>
    <n v="271.03399999999999"/>
  </r>
  <r>
    <x v="1"/>
    <x v="8"/>
    <x v="3"/>
    <x v="6"/>
    <n v="24733.67"/>
    <n v="46.63"/>
    <n v="26"/>
    <n v="951.29499999999996"/>
  </r>
  <r>
    <x v="2"/>
    <x v="2"/>
    <x v="4"/>
    <x v="8"/>
    <n v="103747421.09999999"/>
    <n v="3967934.57"/>
    <n v="2438237"/>
    <n v="42.550179110000002"/>
  </r>
  <r>
    <x v="1"/>
    <x v="1"/>
    <x v="7"/>
    <x v="1"/>
    <n v="107196.43"/>
    <n v="2824.85"/>
    <n v="2061"/>
    <n v="52.011853469999998"/>
  </r>
  <r>
    <x v="0"/>
    <x v="2"/>
    <x v="0"/>
    <x v="4"/>
    <n v="59671834.32"/>
    <n v="1887864.31"/>
    <n v="219059"/>
    <n v="272.40074279999999"/>
  </r>
  <r>
    <x v="0"/>
    <x v="0"/>
    <x v="8"/>
    <x v="2"/>
    <n v="5539.61"/>
    <n v="94.59"/>
    <n v="79"/>
    <n v="70.121645569999998"/>
  </r>
  <r>
    <x v="2"/>
    <x v="7"/>
    <x v="0"/>
    <x v="6"/>
    <n v="9743299.5299999993"/>
    <n v="310417.40000000002"/>
    <n v="39318"/>
    <n v="247.80760799999999"/>
  </r>
  <r>
    <x v="2"/>
    <x v="1"/>
    <x v="2"/>
    <x v="6"/>
    <n v="1942192.84"/>
    <n v="52470.01"/>
    <n v="4599"/>
    <n v="422.3076408"/>
  </r>
  <r>
    <x v="1"/>
    <x v="1"/>
    <x v="0"/>
    <x v="2"/>
    <n v="11720.42"/>
    <n v="487.64"/>
    <n v="1074"/>
    <n v="10.912867779999999"/>
  </r>
  <r>
    <x v="0"/>
    <x v="1"/>
    <x v="0"/>
    <x v="1"/>
    <n v="11308.6"/>
    <n v="304.45999999999998"/>
    <n v="24775"/>
    <n v="0.45645206859999998"/>
  </r>
  <r>
    <x v="1"/>
    <x v="6"/>
    <x v="4"/>
    <x v="1"/>
    <n v="34109.9"/>
    <n v="1367.38"/>
    <n v="956"/>
    <n v="35.679811719999996"/>
  </r>
  <r>
    <x v="1"/>
    <x v="4"/>
    <x v="7"/>
    <x v="2"/>
    <n v="28118127"/>
    <n v="1019449.95"/>
    <n v="166712"/>
    <n v="168.6628857"/>
  </r>
  <r>
    <x v="0"/>
    <x v="5"/>
    <x v="1"/>
    <x v="8"/>
    <n v="4721043.18"/>
    <n v="184395.17"/>
    <n v="141479"/>
    <n v="33.369215079999996"/>
  </r>
  <r>
    <x v="1"/>
    <x v="5"/>
    <x v="8"/>
    <x v="6"/>
    <n v="1242823.8"/>
    <n v="40539.29"/>
    <n v="11211"/>
    <n v="110.8575328"/>
  </r>
  <r>
    <x v="0"/>
    <x v="8"/>
    <x v="0"/>
    <x v="6"/>
    <n v="530"/>
    <n v="20.18"/>
    <n v="61"/>
    <n v="8.6885245900000001"/>
  </r>
  <r>
    <x v="0"/>
    <x v="1"/>
    <x v="0"/>
    <x v="7"/>
    <n v="4841223477"/>
    <n v="122003436.90000001"/>
    <n v="39973880"/>
    <n v="121.1096715"/>
  </r>
  <r>
    <x v="1"/>
    <x v="4"/>
    <x v="1"/>
    <x v="6"/>
    <n v="7600889.8399999999"/>
    <n v="276544.21999999997"/>
    <n v="21757"/>
    <n v="349.35376380000002"/>
  </r>
  <r>
    <x v="0"/>
    <x v="6"/>
    <x v="0"/>
    <x v="7"/>
    <n v="654.55999999999995"/>
    <n v="32.11"/>
    <n v="159"/>
    <n v="4.1167295599999996"/>
  </r>
  <r>
    <x v="0"/>
    <x v="5"/>
    <x v="7"/>
    <x v="0"/>
    <n v="860465.97"/>
    <n v="39503.379999999997"/>
    <n v="41161"/>
    <n v="20.90488496"/>
  </r>
  <r>
    <x v="0"/>
    <x v="4"/>
    <x v="0"/>
    <x v="11"/>
    <n v="1452186391"/>
    <n v="39783631.009999998"/>
    <n v="3350565"/>
    <n v="433.4153766"/>
  </r>
  <r>
    <x v="2"/>
    <x v="8"/>
    <x v="3"/>
    <x v="6"/>
    <n v="4471.07"/>
    <n v="227.17"/>
    <n v="17"/>
    <n v="263.00411759999997"/>
  </r>
  <r>
    <x v="2"/>
    <x v="2"/>
    <x v="1"/>
    <x v="2"/>
    <n v="28192593.030000001"/>
    <n v="886507.94"/>
    <n v="202216"/>
    <n v="139.41821139999999"/>
  </r>
  <r>
    <x v="3"/>
    <x v="6"/>
    <x v="5"/>
    <x v="0"/>
    <n v="1110241.48"/>
    <n v="23617.95"/>
    <n v="14385"/>
    <n v="77.180499130000001"/>
  </r>
  <r>
    <x v="0"/>
    <x v="6"/>
    <x v="9"/>
    <x v="9"/>
    <n v="35752.78"/>
    <n v="1411.65"/>
    <n v="1314"/>
    <n v="27.209117200000001"/>
  </r>
  <r>
    <x v="1"/>
    <x v="4"/>
    <x v="8"/>
    <x v="8"/>
    <n v="167671932.80000001"/>
    <n v="5848551.8899999997"/>
    <n v="2305193"/>
    <n v="72.73661371"/>
  </r>
  <r>
    <x v="0"/>
    <x v="0"/>
    <x v="9"/>
    <x v="0"/>
    <n v="535"/>
    <n v="18.21"/>
    <n v="7"/>
    <n v="76.428571430000005"/>
  </r>
  <r>
    <x v="1"/>
    <x v="9"/>
    <x v="4"/>
    <x v="8"/>
    <n v="1415.65"/>
    <n v="96.1"/>
    <n v="93"/>
    <n v="15.22204301"/>
  </r>
  <r>
    <x v="2"/>
    <x v="4"/>
    <x v="7"/>
    <x v="2"/>
    <n v="29338229.579999998"/>
    <n v="1032552.91"/>
    <n v="172648"/>
    <n v="169.93089739999999"/>
  </r>
  <r>
    <x v="1"/>
    <x v="1"/>
    <x v="8"/>
    <x v="8"/>
    <n v="153241348.80000001"/>
    <n v="4501130.54"/>
    <n v="1726716"/>
    <n v="88.747280259999997"/>
  </r>
  <r>
    <x v="1"/>
    <x v="5"/>
    <x v="9"/>
    <x v="5"/>
    <n v="8091582.0999999996"/>
    <n v="308873.13"/>
    <n v="197638"/>
    <n v="40.941428770000002"/>
  </r>
  <r>
    <x v="2"/>
    <x v="4"/>
    <x v="9"/>
    <x v="0"/>
    <n v="100433775.90000001"/>
    <n v="3197898.44"/>
    <n v="1808351"/>
    <n v="55.538872619999999"/>
  </r>
  <r>
    <x v="2"/>
    <x v="1"/>
    <x v="8"/>
    <x v="5"/>
    <n v="255868128.09999999"/>
    <n v="6457412.6600000001"/>
    <n v="2806443"/>
    <n v="91.171681770000006"/>
  </r>
  <r>
    <x v="1"/>
    <x v="9"/>
    <x v="4"/>
    <x v="1"/>
    <n v="2325.66"/>
    <n v="0"/>
    <n v="7"/>
    <n v="332.23714289999998"/>
  </r>
  <r>
    <x v="1"/>
    <x v="8"/>
    <x v="6"/>
    <x v="1"/>
    <n v="0"/>
    <n v="0"/>
    <n v="5"/>
    <n v="0"/>
  </r>
  <r>
    <x v="1"/>
    <x v="3"/>
    <x v="4"/>
    <x v="7"/>
    <n v="5963930.0599999996"/>
    <n v="224921.54"/>
    <n v="123607"/>
    <n v="48.249128769999999"/>
  </r>
  <r>
    <x v="2"/>
    <x v="2"/>
    <x v="6"/>
    <x v="7"/>
    <n v="1660662.4"/>
    <n v="64249.66"/>
    <n v="39621"/>
    <n v="41.913692230000002"/>
  </r>
  <r>
    <x v="2"/>
    <x v="2"/>
    <x v="6"/>
    <x v="6"/>
    <n v="12849447.810000001"/>
    <n v="446055.52"/>
    <n v="93228"/>
    <n v="137.82820409999999"/>
  </r>
  <r>
    <x v="2"/>
    <x v="8"/>
    <x v="8"/>
    <x v="8"/>
    <n v="10260.25"/>
    <n v="338.67"/>
    <n v="1757"/>
    <n v="5.8396414339999998"/>
  </r>
  <r>
    <x v="0"/>
    <x v="0"/>
    <x v="1"/>
    <x v="5"/>
    <n v="2661.07"/>
    <n v="116.17"/>
    <n v="122"/>
    <n v="21.812049179999999"/>
  </r>
  <r>
    <x v="0"/>
    <x v="7"/>
    <x v="3"/>
    <x v="1"/>
    <n v="1317585.33"/>
    <n v="29798.22"/>
    <n v="14623"/>
    <n v="90.103626480000003"/>
  </r>
  <r>
    <x v="2"/>
    <x v="4"/>
    <x v="7"/>
    <x v="1"/>
    <n v="1973173.57"/>
    <n v="64629.61"/>
    <n v="46279"/>
    <n v="42.636478099999998"/>
  </r>
  <r>
    <x v="2"/>
    <x v="5"/>
    <x v="1"/>
    <x v="2"/>
    <n v="2930897.23"/>
    <n v="90942.58"/>
    <n v="39937"/>
    <n v="73.388016879999995"/>
  </r>
  <r>
    <x v="0"/>
    <x v="7"/>
    <x v="0"/>
    <x v="5"/>
    <n v="944357.4"/>
    <n v="24585.64"/>
    <n v="39583"/>
    <n v="23.857651010000001"/>
  </r>
  <r>
    <x v="0"/>
    <x v="2"/>
    <x v="5"/>
    <x v="6"/>
    <n v="6074358.1200000001"/>
    <n v="229470.89"/>
    <n v="66234"/>
    <n v="91.710573420000003"/>
  </r>
  <r>
    <x v="1"/>
    <x v="1"/>
    <x v="0"/>
    <x v="6"/>
    <n v="11763.39"/>
    <n v="120.99"/>
    <n v="55"/>
    <n v="213.87981819999999"/>
  </r>
  <r>
    <x v="2"/>
    <x v="6"/>
    <x v="4"/>
    <x v="0"/>
    <n v="9552391.1799999997"/>
    <n v="245741.24"/>
    <n v="163415"/>
    <n v="58.454800229999996"/>
  </r>
  <r>
    <x v="2"/>
    <x v="3"/>
    <x v="8"/>
    <x v="6"/>
    <n v="80599983.790000007"/>
    <n v="2503721.16"/>
    <n v="165356"/>
    <n v="487.43307650000003"/>
  </r>
  <r>
    <x v="0"/>
    <x v="2"/>
    <x v="6"/>
    <x v="4"/>
    <n v="23826918.739999998"/>
    <n v="853420.42"/>
    <n v="181526"/>
    <n v="131.2589863"/>
  </r>
  <r>
    <x v="0"/>
    <x v="8"/>
    <x v="6"/>
    <x v="5"/>
    <n v="26996"/>
    <n v="1003.7"/>
    <n v="635"/>
    <n v="42.513385829999997"/>
  </r>
  <r>
    <x v="3"/>
    <x v="6"/>
    <x v="7"/>
    <x v="0"/>
    <n v="2435590.31"/>
    <n v="51323.54"/>
    <n v="32802"/>
    <n v="74.251274620000004"/>
  </r>
  <r>
    <x v="0"/>
    <x v="3"/>
    <x v="9"/>
    <x v="4"/>
    <n v="58331467.700000003"/>
    <n v="2051416.94"/>
    <n v="225348"/>
    <n v="258.85061189999999"/>
  </r>
  <r>
    <x v="0"/>
    <x v="0"/>
    <x v="6"/>
    <x v="4"/>
    <n v="45"/>
    <n v="2.5099999999999998"/>
    <n v="4"/>
    <n v="11.25"/>
  </r>
  <r>
    <x v="2"/>
    <x v="4"/>
    <x v="6"/>
    <x v="7"/>
    <n v="29277241.120000001"/>
    <n v="959786.24"/>
    <n v="544337"/>
    <n v="53.785138840000002"/>
  </r>
  <r>
    <x v="0"/>
    <x v="9"/>
    <x v="9"/>
    <x v="5"/>
    <n v="40166.32"/>
    <n v="1426.48"/>
    <n v="539"/>
    <n v="74.520074210000004"/>
  </r>
  <r>
    <x v="2"/>
    <x v="6"/>
    <x v="9"/>
    <x v="1"/>
    <n v="135620.13"/>
    <n v="4505.07"/>
    <n v="3630"/>
    <n v="37.360917360000002"/>
  </r>
  <r>
    <x v="2"/>
    <x v="6"/>
    <x v="7"/>
    <x v="1"/>
    <n v="120790.6"/>
    <n v="4361.32"/>
    <n v="3516"/>
    <n v="34.354550629999999"/>
  </r>
  <r>
    <x v="0"/>
    <x v="9"/>
    <x v="8"/>
    <x v="1"/>
    <n v="5029.3999999999996"/>
    <n v="12.33"/>
    <n v="40"/>
    <n v="125.735"/>
  </r>
  <r>
    <x v="1"/>
    <x v="3"/>
    <x v="8"/>
    <x v="6"/>
    <n v="67259672.980000004"/>
    <n v="2084813.48"/>
    <n v="136954"/>
    <n v="491.11141679999997"/>
  </r>
  <r>
    <x v="1"/>
    <x v="9"/>
    <x v="7"/>
    <x v="8"/>
    <n v="306.75"/>
    <n v="36.979999999999997"/>
    <n v="52"/>
    <n v="5.899038462"/>
  </r>
  <r>
    <x v="1"/>
    <x v="6"/>
    <x v="1"/>
    <x v="0"/>
    <n v="2775125.82"/>
    <n v="76087.3"/>
    <n v="38468"/>
    <n v="72.141151609999994"/>
  </r>
  <r>
    <x v="3"/>
    <x v="7"/>
    <x v="5"/>
    <x v="1"/>
    <n v="136312.76"/>
    <n v="4016.95"/>
    <n v="1898"/>
    <n v="71.819157009999998"/>
  </r>
  <r>
    <x v="1"/>
    <x v="6"/>
    <x v="2"/>
    <x v="0"/>
    <n v="3956164.97"/>
    <n v="99604.29"/>
    <n v="49823"/>
    <n v="79.404390939999999"/>
  </r>
  <r>
    <x v="2"/>
    <x v="5"/>
    <x v="2"/>
    <x v="2"/>
    <n v="3526636.43"/>
    <n v="103982.98"/>
    <n v="40653"/>
    <n v="86.749721550000004"/>
  </r>
  <r>
    <x v="3"/>
    <x v="3"/>
    <x v="4"/>
    <x v="7"/>
    <n v="3349541.6"/>
    <n v="125192.05"/>
    <n v="68632"/>
    <n v="48.804371140000001"/>
  </r>
  <r>
    <x v="1"/>
    <x v="7"/>
    <x v="8"/>
    <x v="4"/>
    <n v="68414829.640000001"/>
    <n v="1977533.79"/>
    <n v="267628"/>
    <n v="255.63405040000001"/>
  </r>
  <r>
    <x v="1"/>
    <x v="7"/>
    <x v="2"/>
    <x v="2"/>
    <n v="133971675.8"/>
    <n v="3777393.06"/>
    <n v="836508"/>
    <n v="160.15588120000001"/>
  </r>
  <r>
    <x v="2"/>
    <x v="9"/>
    <x v="7"/>
    <x v="2"/>
    <n v="24914.13"/>
    <n v="444.18"/>
    <n v="232"/>
    <n v="107.38849140000001"/>
  </r>
  <r>
    <x v="3"/>
    <x v="1"/>
    <x v="2"/>
    <x v="2"/>
    <n v="3041424.18"/>
    <n v="90995.28"/>
    <n v="15300"/>
    <n v="198.78589410000001"/>
  </r>
  <r>
    <x v="0"/>
    <x v="2"/>
    <x v="1"/>
    <x v="9"/>
    <n v="106491.94"/>
    <n v="4750.38"/>
    <n v="5288"/>
    <n v="20.13841528"/>
  </r>
  <r>
    <x v="3"/>
    <x v="5"/>
    <x v="1"/>
    <x v="4"/>
    <n v="1224597.25"/>
    <n v="43575.34"/>
    <n v="11293"/>
    <n v="108.4386124"/>
  </r>
  <r>
    <x v="2"/>
    <x v="8"/>
    <x v="0"/>
    <x v="8"/>
    <n v="5098.4799999999996"/>
    <n v="487.78"/>
    <n v="3434"/>
    <n v="1.4847058820000001"/>
  </r>
  <r>
    <x v="3"/>
    <x v="8"/>
    <x v="1"/>
    <x v="4"/>
    <n v="22931.47"/>
    <n v="652.14"/>
    <n v="173"/>
    <n v="132.55184969999999"/>
  </r>
  <r>
    <x v="1"/>
    <x v="6"/>
    <x v="8"/>
    <x v="2"/>
    <n v="29545349.109999999"/>
    <n v="707044.36"/>
    <n v="72889"/>
    <n v="405.34715949999998"/>
  </r>
  <r>
    <x v="0"/>
    <x v="3"/>
    <x v="9"/>
    <x v="9"/>
    <n v="956042.56"/>
    <n v="35734.18"/>
    <n v="23388"/>
    <n v="40.877482469999997"/>
  </r>
  <r>
    <x v="0"/>
    <x v="9"/>
    <x v="7"/>
    <x v="8"/>
    <n v="420.94"/>
    <n v="65.13"/>
    <n v="60"/>
    <n v="7.0156666669999996"/>
  </r>
  <r>
    <x v="2"/>
    <x v="6"/>
    <x v="4"/>
    <x v="5"/>
    <n v="22005454.32"/>
    <n v="859780.41"/>
    <n v="526233"/>
    <n v="41.816941010000001"/>
  </r>
  <r>
    <x v="1"/>
    <x v="5"/>
    <x v="0"/>
    <x v="4"/>
    <n v="2608612.0099999998"/>
    <n v="85383.69"/>
    <n v="21598"/>
    <n v="120.7802579"/>
  </r>
  <r>
    <x v="1"/>
    <x v="2"/>
    <x v="3"/>
    <x v="1"/>
    <n v="14956.94"/>
    <n v="545.42999999999995"/>
    <n v="326"/>
    <n v="45.880184049999997"/>
  </r>
  <r>
    <x v="0"/>
    <x v="0"/>
    <x v="6"/>
    <x v="8"/>
    <n v="2222.5500000000002"/>
    <n v="100.31"/>
    <n v="41"/>
    <n v="54.208536590000001"/>
  </r>
  <r>
    <x v="3"/>
    <x v="1"/>
    <x v="3"/>
    <x v="3"/>
    <n v="599525.35"/>
    <n v="18633.150000000001"/>
    <n v="37384"/>
    <n v="16.036950300000001"/>
  </r>
  <r>
    <x v="3"/>
    <x v="2"/>
    <x v="5"/>
    <x v="3"/>
    <n v="5722.63"/>
    <n v="231.08"/>
    <n v="516"/>
    <n v="11.09036822"/>
  </r>
  <r>
    <x v="3"/>
    <x v="1"/>
    <x v="0"/>
    <x v="7"/>
    <n v="743812484.20000005"/>
    <n v="18564304.23"/>
    <n v="7251723"/>
    <n v="102.570449"/>
  </r>
  <r>
    <x v="0"/>
    <x v="6"/>
    <x v="4"/>
    <x v="8"/>
    <n v="16385230.810000001"/>
    <n v="572672.87"/>
    <n v="284256"/>
    <n v="57.642515230000001"/>
  </r>
  <r>
    <x v="1"/>
    <x v="5"/>
    <x v="0"/>
    <x v="6"/>
    <n v="1997274.45"/>
    <n v="65079.11"/>
    <n v="15560"/>
    <n v="128.35954050000001"/>
  </r>
  <r>
    <x v="3"/>
    <x v="8"/>
    <x v="0"/>
    <x v="6"/>
    <n v="3287.64"/>
    <n v="121.42"/>
    <n v="61"/>
    <n v="53.895737699999998"/>
  </r>
  <r>
    <x v="2"/>
    <x v="7"/>
    <x v="0"/>
    <x v="2"/>
    <n v="1280082.3700000001"/>
    <n v="20425.509999999998"/>
    <n v="37339"/>
    <n v="34.282716999999998"/>
  </r>
  <r>
    <x v="0"/>
    <x v="5"/>
    <x v="1"/>
    <x v="2"/>
    <n v="3209997.22"/>
    <n v="97720.28"/>
    <n v="57358"/>
    <n v="55.96424596"/>
  </r>
  <r>
    <x v="0"/>
    <x v="2"/>
    <x v="7"/>
    <x v="2"/>
    <n v="44621289.259999998"/>
    <n v="1272184.43"/>
    <n v="479055"/>
    <n v="93.144397319999996"/>
  </r>
  <r>
    <x v="2"/>
    <x v="8"/>
    <x v="4"/>
    <x v="5"/>
    <n v="30432.85"/>
    <n v="1179.3599999999999"/>
    <n v="682"/>
    <n v="44.62294721"/>
  </r>
  <r>
    <x v="3"/>
    <x v="6"/>
    <x v="9"/>
    <x v="8"/>
    <n v="13535464.73"/>
    <n v="416568.91"/>
    <n v="203007"/>
    <n v="66.674867019999994"/>
  </r>
  <r>
    <x v="0"/>
    <x v="9"/>
    <x v="1"/>
    <x v="8"/>
    <n v="5061.01"/>
    <n v="359.76"/>
    <n v="315"/>
    <n v="16.066698410000001"/>
  </r>
  <r>
    <x v="1"/>
    <x v="2"/>
    <x v="3"/>
    <x v="7"/>
    <n v="155001.9"/>
    <n v="6066.75"/>
    <n v="3804"/>
    <n v="40.747082020000001"/>
  </r>
  <r>
    <x v="2"/>
    <x v="2"/>
    <x v="5"/>
    <x v="5"/>
    <n v="325637951.10000002"/>
    <n v="14995842.529999999"/>
    <n v="14061491"/>
    <n v="23.158138149999999"/>
  </r>
  <r>
    <x v="3"/>
    <x v="6"/>
    <x v="8"/>
    <x v="1"/>
    <n v="14579.6"/>
    <n v="438.97"/>
    <n v="136"/>
    <n v="107.2029412"/>
  </r>
  <r>
    <x v="2"/>
    <x v="4"/>
    <x v="5"/>
    <x v="1"/>
    <n v="1144560.01"/>
    <n v="37383.93"/>
    <n v="26454"/>
    <n v="43.266047100000002"/>
  </r>
  <r>
    <x v="2"/>
    <x v="7"/>
    <x v="3"/>
    <x v="4"/>
    <n v="14075533.689999999"/>
    <n v="439659.79"/>
    <n v="59774"/>
    <n v="235.4791998"/>
  </r>
  <r>
    <x v="1"/>
    <x v="5"/>
    <x v="0"/>
    <x v="8"/>
    <n v="24374556.800000001"/>
    <n v="890221.47"/>
    <n v="566766"/>
    <n v="43.006385000000002"/>
  </r>
  <r>
    <x v="2"/>
    <x v="6"/>
    <x v="0"/>
    <x v="4"/>
    <n v="4389877.13"/>
    <n v="137539.91"/>
    <n v="12950"/>
    <n v="338.98665099999999"/>
  </r>
  <r>
    <x v="0"/>
    <x v="3"/>
    <x v="6"/>
    <x v="6"/>
    <n v="31130966.960000001"/>
    <n v="1116335.79"/>
    <n v="136656"/>
    <n v="227.80534309999999"/>
  </r>
  <r>
    <x v="3"/>
    <x v="3"/>
    <x v="5"/>
    <x v="6"/>
    <n v="6518015.9500000002"/>
    <n v="240432.07"/>
    <n v="40966"/>
    <n v="159.10794200000001"/>
  </r>
  <r>
    <x v="0"/>
    <x v="6"/>
    <x v="8"/>
    <x v="9"/>
    <n v="62543.31"/>
    <n v="947.84"/>
    <n v="767"/>
    <n v="81.542777049999998"/>
  </r>
  <r>
    <x v="3"/>
    <x v="1"/>
    <x v="2"/>
    <x v="1"/>
    <n v="4296.5600000000004"/>
    <n v="106.99"/>
    <n v="82"/>
    <n v="52.397073169999999"/>
  </r>
  <r>
    <x v="1"/>
    <x v="7"/>
    <x v="0"/>
    <x v="4"/>
    <n v="191674.62"/>
    <n v="6151.02"/>
    <n v="3361"/>
    <n v="57.029044929999998"/>
  </r>
  <r>
    <x v="1"/>
    <x v="5"/>
    <x v="2"/>
    <x v="5"/>
    <n v="3518285.84"/>
    <n v="127579.81"/>
    <n v="69741"/>
    <n v="50.447883449999999"/>
  </r>
  <r>
    <x v="0"/>
    <x v="5"/>
    <x v="1"/>
    <x v="6"/>
    <n v="970715.98"/>
    <n v="32975.160000000003"/>
    <n v="9069"/>
    <n v="107.03671629999999"/>
  </r>
  <r>
    <x v="3"/>
    <x v="6"/>
    <x v="3"/>
    <x v="6"/>
    <n v="1064423.04"/>
    <n v="32092.33"/>
    <n v="2789"/>
    <n v="381.65042670000003"/>
  </r>
  <r>
    <x v="2"/>
    <x v="7"/>
    <x v="0"/>
    <x v="8"/>
    <n v="96932958.319999993"/>
    <n v="3391188.9"/>
    <n v="1342527"/>
    <n v="72.2018688"/>
  </r>
  <r>
    <x v="2"/>
    <x v="3"/>
    <x v="1"/>
    <x v="7"/>
    <n v="2878328.5"/>
    <n v="111018.26"/>
    <n v="55992"/>
    <n v="51.406066940000002"/>
  </r>
  <r>
    <x v="2"/>
    <x v="4"/>
    <x v="8"/>
    <x v="3"/>
    <n v="1216148.06"/>
    <n v="46456.91"/>
    <n v="64109"/>
    <n v="18.970005149999999"/>
  </r>
  <r>
    <x v="0"/>
    <x v="5"/>
    <x v="9"/>
    <x v="5"/>
    <n v="6035298.5300000003"/>
    <n v="230408.47"/>
    <n v="146871"/>
    <n v="41.092513359999998"/>
  </r>
  <r>
    <x v="3"/>
    <x v="0"/>
    <x v="9"/>
    <x v="5"/>
    <n v="13220.84"/>
    <n v="404.57"/>
    <n v="127"/>
    <n v="104.1011024"/>
  </r>
  <r>
    <x v="1"/>
    <x v="2"/>
    <x v="3"/>
    <x v="0"/>
    <n v="1079337.71"/>
    <n v="40389.379999999997"/>
    <n v="19439"/>
    <n v="55.524343330000001"/>
  </r>
  <r>
    <x v="1"/>
    <x v="9"/>
    <x v="3"/>
    <x v="1"/>
    <n v="488.89"/>
    <n v="4.91"/>
    <n v="5"/>
    <n v="97.778000000000006"/>
  </r>
  <r>
    <x v="2"/>
    <x v="2"/>
    <x v="8"/>
    <x v="8"/>
    <n v="63897473.450000003"/>
    <n v="2453274.9500000002"/>
    <n v="1507706"/>
    <n v="42.380592399999998"/>
  </r>
  <r>
    <x v="0"/>
    <x v="5"/>
    <x v="5"/>
    <x v="4"/>
    <n v="426826.63"/>
    <n v="16231.07"/>
    <n v="7523"/>
    <n v="56.736226240000001"/>
  </r>
  <r>
    <x v="1"/>
    <x v="1"/>
    <x v="2"/>
    <x v="6"/>
    <n v="1404708.91"/>
    <n v="40708.269999999997"/>
    <n v="3341"/>
    <n v="420.44564800000001"/>
  </r>
  <r>
    <x v="3"/>
    <x v="2"/>
    <x v="2"/>
    <x v="3"/>
    <n v="16587.41"/>
    <n v="537.33000000000004"/>
    <n v="1220"/>
    <n v="13.5962377"/>
  </r>
  <r>
    <x v="2"/>
    <x v="6"/>
    <x v="1"/>
    <x v="8"/>
    <n v="14175325.76"/>
    <n v="490704.46"/>
    <n v="215514"/>
    <n v="65.774500770000003"/>
  </r>
  <r>
    <x v="2"/>
    <x v="7"/>
    <x v="0"/>
    <x v="11"/>
    <n v="880.36"/>
    <n v="31.53"/>
    <n v="14"/>
    <n v="62.882857139999999"/>
  </r>
  <r>
    <x v="3"/>
    <x v="0"/>
    <x v="7"/>
    <x v="6"/>
    <n v="137.80000000000001"/>
    <n v="9.1999999999999993"/>
    <n v="1"/>
    <n v="137.80000000000001"/>
  </r>
  <r>
    <x v="2"/>
    <x v="7"/>
    <x v="0"/>
    <x v="4"/>
    <n v="295014.15000000002"/>
    <n v="6075.74"/>
    <n v="3236"/>
    <n v="91.166300989999996"/>
  </r>
  <r>
    <x v="3"/>
    <x v="3"/>
    <x v="6"/>
    <x v="5"/>
    <n v="684668374.29999995"/>
    <n v="26947382.289999999"/>
    <n v="14066698"/>
    <n v="48.672998759999999"/>
  </r>
  <r>
    <x v="0"/>
    <x v="7"/>
    <x v="5"/>
    <x v="1"/>
    <n v="16023386.41"/>
    <n v="497440.96"/>
    <n v="354420"/>
    <n v="45.210164239999997"/>
  </r>
  <r>
    <x v="3"/>
    <x v="0"/>
    <x v="4"/>
    <x v="1"/>
    <n v="486"/>
    <n v="0"/>
    <n v="1"/>
    <n v="486"/>
  </r>
  <r>
    <x v="3"/>
    <x v="6"/>
    <x v="9"/>
    <x v="5"/>
    <n v="23776113.359999999"/>
    <n v="899833.21"/>
    <n v="432055"/>
    <n v="55.030293270000001"/>
  </r>
  <r>
    <x v="2"/>
    <x v="8"/>
    <x v="3"/>
    <x v="5"/>
    <n v="18008.27"/>
    <n v="140.07"/>
    <n v="82"/>
    <n v="219.6130488"/>
  </r>
  <r>
    <x v="3"/>
    <x v="6"/>
    <x v="1"/>
    <x v="2"/>
    <n v="6107960.3399999999"/>
    <n v="190646.29"/>
    <n v="52514"/>
    <n v="116.3110854"/>
  </r>
  <r>
    <x v="3"/>
    <x v="8"/>
    <x v="0"/>
    <x v="5"/>
    <n v="11348.47"/>
    <n v="298.41000000000003"/>
    <n v="132"/>
    <n v="85.973257579999995"/>
  </r>
  <r>
    <x v="3"/>
    <x v="8"/>
    <x v="3"/>
    <x v="2"/>
    <n v="20324.09"/>
    <n v="366.7"/>
    <n v="251"/>
    <n v="80.972470119999997"/>
  </r>
  <r>
    <x v="0"/>
    <x v="8"/>
    <x v="7"/>
    <x v="9"/>
    <n v="7.98"/>
    <n v="6.95"/>
    <n v="5"/>
    <n v="1.5960000000000001"/>
  </r>
  <r>
    <x v="1"/>
    <x v="7"/>
    <x v="1"/>
    <x v="2"/>
    <n v="104211815.7"/>
    <n v="3182650.35"/>
    <n v="816252"/>
    <n v="127.6711306"/>
  </r>
  <r>
    <x v="3"/>
    <x v="1"/>
    <x v="8"/>
    <x v="5"/>
    <n v="188065336"/>
    <n v="4822082.54"/>
    <n v="1744560"/>
    <n v="107.8010134"/>
  </r>
  <r>
    <x v="0"/>
    <x v="6"/>
    <x v="6"/>
    <x v="3"/>
    <n v="3248.94"/>
    <n v="212.25"/>
    <n v="365"/>
    <n v="8.9012054789999997"/>
  </r>
  <r>
    <x v="1"/>
    <x v="3"/>
    <x v="0"/>
    <x v="2"/>
    <n v="11746.49"/>
    <n v="268.19"/>
    <n v="6185"/>
    <n v="1.8991899759999999"/>
  </r>
  <r>
    <x v="2"/>
    <x v="8"/>
    <x v="9"/>
    <x v="4"/>
    <n v="12717.33"/>
    <n v="197.51"/>
    <n v="67"/>
    <n v="189.81089549999999"/>
  </r>
  <r>
    <x v="0"/>
    <x v="8"/>
    <x v="2"/>
    <x v="1"/>
    <n v="147.53"/>
    <n v="5.05"/>
    <n v="35"/>
    <n v="4.215142857"/>
  </r>
  <r>
    <x v="3"/>
    <x v="2"/>
    <x v="6"/>
    <x v="1"/>
    <n v="80947.839999999997"/>
    <n v="2764.9"/>
    <n v="1338"/>
    <n v="60.499133030000003"/>
  </r>
  <r>
    <x v="1"/>
    <x v="7"/>
    <x v="6"/>
    <x v="4"/>
    <n v="33561485.539999999"/>
    <n v="1070538.5900000001"/>
    <n v="213416"/>
    <n v="157.2585258"/>
  </r>
  <r>
    <x v="3"/>
    <x v="7"/>
    <x v="2"/>
    <x v="1"/>
    <n v="151057.17000000001"/>
    <n v="3379.59"/>
    <n v="1654"/>
    <n v="91.328397820000006"/>
  </r>
  <r>
    <x v="2"/>
    <x v="3"/>
    <x v="7"/>
    <x v="2"/>
    <n v="73721686.519999996"/>
    <n v="2441491.98"/>
    <n v="436362"/>
    <n v="168.9461652"/>
  </r>
  <r>
    <x v="1"/>
    <x v="5"/>
    <x v="4"/>
    <x v="1"/>
    <n v="22784.02"/>
    <n v="801.28"/>
    <n v="550"/>
    <n v="41.425490910000001"/>
  </r>
  <r>
    <x v="1"/>
    <x v="7"/>
    <x v="0"/>
    <x v="5"/>
    <n v="1594346.41"/>
    <n v="46865.09"/>
    <n v="57376"/>
    <n v="27.787688410000001"/>
  </r>
  <r>
    <x v="1"/>
    <x v="1"/>
    <x v="5"/>
    <x v="7"/>
    <n v="7036024.8399999999"/>
    <n v="209495.63"/>
    <n v="141540"/>
    <n v="49.710504729999997"/>
  </r>
  <r>
    <x v="3"/>
    <x v="3"/>
    <x v="3"/>
    <x v="1"/>
    <n v="3825.49"/>
    <n v="122.08"/>
    <n v="48"/>
    <n v="79.697708329999998"/>
  </r>
  <r>
    <x v="1"/>
    <x v="3"/>
    <x v="6"/>
    <x v="4"/>
    <n v="38496728.82"/>
    <n v="1387113.61"/>
    <n v="210618"/>
    <n v="182.77986129999999"/>
  </r>
  <r>
    <x v="3"/>
    <x v="7"/>
    <x v="8"/>
    <x v="2"/>
    <n v="403549220.10000002"/>
    <n v="9853214.1500000004"/>
    <n v="2903447"/>
    <n v="138.98969740000001"/>
  </r>
  <r>
    <x v="2"/>
    <x v="2"/>
    <x v="4"/>
    <x v="4"/>
    <n v="24025552.489999998"/>
    <n v="833973.35"/>
    <n v="160619"/>
    <n v="149.58101149999999"/>
  </r>
  <r>
    <x v="0"/>
    <x v="4"/>
    <x v="1"/>
    <x v="7"/>
    <n v="12726483.199999999"/>
    <n v="448028.39"/>
    <n v="203400"/>
    <n v="62.568747299999998"/>
  </r>
  <r>
    <x v="1"/>
    <x v="1"/>
    <x v="8"/>
    <x v="3"/>
    <n v="56158343.240000002"/>
    <n v="1606473.4"/>
    <n v="2424968"/>
    <n v="23.158385280000001"/>
  </r>
  <r>
    <x v="3"/>
    <x v="0"/>
    <x v="8"/>
    <x v="2"/>
    <n v="122079.21"/>
    <n v="345.27"/>
    <n v="1341"/>
    <n v="91.035950779999993"/>
  </r>
  <r>
    <x v="2"/>
    <x v="5"/>
    <x v="7"/>
    <x v="2"/>
    <n v="2350378.7400000002"/>
    <n v="74990.92"/>
    <n v="39444"/>
    <n v="59.58773806"/>
  </r>
  <r>
    <x v="2"/>
    <x v="8"/>
    <x v="1"/>
    <x v="7"/>
    <n v="208.7"/>
    <n v="10.16"/>
    <n v="25"/>
    <n v="8.3480000000000008"/>
  </r>
  <r>
    <x v="3"/>
    <x v="8"/>
    <x v="3"/>
    <x v="8"/>
    <n v="3037.04"/>
    <n v="160.03"/>
    <n v="289"/>
    <n v="10.50878893"/>
  </r>
  <r>
    <x v="0"/>
    <x v="1"/>
    <x v="4"/>
    <x v="5"/>
    <n v="411980404.30000001"/>
    <n v="11736946.619999999"/>
    <n v="7383035"/>
    <n v="55.80095506"/>
  </r>
  <r>
    <x v="3"/>
    <x v="7"/>
    <x v="1"/>
    <x v="6"/>
    <n v="6106594.8099999996"/>
    <n v="202247.08"/>
    <n v="27408"/>
    <n v="222.80337159999999"/>
  </r>
  <r>
    <x v="3"/>
    <x v="5"/>
    <x v="5"/>
    <x v="4"/>
    <n v="242639.88"/>
    <n v="9249"/>
    <n v="4827"/>
    <n v="50.267221880000001"/>
  </r>
  <r>
    <x v="0"/>
    <x v="1"/>
    <x v="9"/>
    <x v="7"/>
    <n v="86736766.599999994"/>
    <n v="2507185.37"/>
    <n v="1553313"/>
    <n v="55.839851080000003"/>
  </r>
  <r>
    <x v="0"/>
    <x v="2"/>
    <x v="8"/>
    <x v="0"/>
    <n v="11566107.789999999"/>
    <n v="465893.49"/>
    <n v="316412"/>
    <n v="36.553947989999998"/>
  </r>
  <r>
    <x v="1"/>
    <x v="4"/>
    <x v="7"/>
    <x v="7"/>
    <n v="10971348.310000001"/>
    <n v="359985.63"/>
    <n v="193492"/>
    <n v="56.701818729999999"/>
  </r>
  <r>
    <x v="3"/>
    <x v="2"/>
    <x v="6"/>
    <x v="2"/>
    <n v="45102395.490000002"/>
    <n v="1563730.28"/>
    <n v="441534"/>
    <n v="102.1493146"/>
  </r>
  <r>
    <x v="0"/>
    <x v="9"/>
    <x v="2"/>
    <x v="7"/>
    <n v="315.82"/>
    <n v="17.77"/>
    <n v="24"/>
    <n v="13.159166669999999"/>
  </r>
  <r>
    <x v="0"/>
    <x v="6"/>
    <x v="9"/>
    <x v="1"/>
    <n v="425838.61"/>
    <n v="12916.19"/>
    <n v="9686"/>
    <n v="43.964341320000003"/>
  </r>
  <r>
    <x v="2"/>
    <x v="7"/>
    <x v="4"/>
    <x v="6"/>
    <n v="16931664.530000001"/>
    <n v="552955.21"/>
    <n v="86443"/>
    <n v="195.87085740000001"/>
  </r>
  <r>
    <x v="0"/>
    <x v="6"/>
    <x v="0"/>
    <x v="4"/>
    <n v="17911.04"/>
    <n v="230.83"/>
    <n v="170"/>
    <n v="105.3590588"/>
  </r>
  <r>
    <x v="1"/>
    <x v="6"/>
    <x v="2"/>
    <x v="5"/>
    <n v="12345499.220000001"/>
    <n v="462354.29"/>
    <n v="198589"/>
    <n v="62.166077780000002"/>
  </r>
  <r>
    <x v="2"/>
    <x v="7"/>
    <x v="2"/>
    <x v="4"/>
    <n v="35415594.009999998"/>
    <n v="1147670.71"/>
    <n v="157009"/>
    <n v="225.56410149999999"/>
  </r>
  <r>
    <x v="0"/>
    <x v="9"/>
    <x v="0"/>
    <x v="1"/>
    <n v="294"/>
    <n v="0.59"/>
    <n v="6"/>
    <n v="49"/>
  </r>
  <r>
    <x v="1"/>
    <x v="4"/>
    <x v="4"/>
    <x v="0"/>
    <n v="69117747.439999998"/>
    <n v="2166257"/>
    <n v="1283946"/>
    <n v="53.832285349999999"/>
  </r>
  <r>
    <x v="3"/>
    <x v="4"/>
    <x v="2"/>
    <x v="5"/>
    <n v="295628328.10000002"/>
    <n v="9618750.0099999998"/>
    <n v="3558790"/>
    <n v="83.069899629999995"/>
  </r>
  <r>
    <x v="3"/>
    <x v="1"/>
    <x v="9"/>
    <x v="4"/>
    <n v="5879267.5099999998"/>
    <n v="165840.26"/>
    <n v="21850"/>
    <n v="269.07402789999998"/>
  </r>
  <r>
    <x v="3"/>
    <x v="2"/>
    <x v="0"/>
    <x v="8"/>
    <n v="305043392.19999999"/>
    <n v="10451599.470000001"/>
    <n v="4149467"/>
    <n v="73.513873509999996"/>
  </r>
  <r>
    <x v="3"/>
    <x v="5"/>
    <x v="1"/>
    <x v="7"/>
    <n v="22655.86"/>
    <n v="907.5"/>
    <n v="917"/>
    <n v="24.706499449999999"/>
  </r>
  <r>
    <x v="0"/>
    <x v="9"/>
    <x v="4"/>
    <x v="5"/>
    <n v="50441.5"/>
    <n v="1828.37"/>
    <n v="667"/>
    <n v="75.624437779999994"/>
  </r>
  <r>
    <x v="0"/>
    <x v="1"/>
    <x v="9"/>
    <x v="1"/>
    <n v="6372907.71"/>
    <n v="204554.96"/>
    <n v="618834"/>
    <n v="10.29825076"/>
  </r>
  <r>
    <x v="0"/>
    <x v="6"/>
    <x v="1"/>
    <x v="7"/>
    <n v="267177.12"/>
    <n v="8646.64"/>
    <n v="5111"/>
    <n v="52.274920760000001"/>
  </r>
  <r>
    <x v="2"/>
    <x v="7"/>
    <x v="5"/>
    <x v="2"/>
    <n v="96545212.900000006"/>
    <n v="2933255.95"/>
    <n v="1085850"/>
    <n v="88.91210839"/>
  </r>
  <r>
    <x v="2"/>
    <x v="2"/>
    <x v="3"/>
    <x v="0"/>
    <n v="1584743.07"/>
    <n v="59157.59"/>
    <n v="28171"/>
    <n v="56.254413049999997"/>
  </r>
  <r>
    <x v="1"/>
    <x v="2"/>
    <x v="9"/>
    <x v="5"/>
    <n v="214766066.40000001"/>
    <n v="9023558.4499999993"/>
    <n v="6686268"/>
    <n v="32.12046935"/>
  </r>
  <r>
    <x v="0"/>
    <x v="7"/>
    <x v="3"/>
    <x v="6"/>
    <n v="5242368.5999999996"/>
    <n v="164671.07999999999"/>
    <n v="19555"/>
    <n v="268.08328299999999"/>
  </r>
  <r>
    <x v="3"/>
    <x v="2"/>
    <x v="5"/>
    <x v="7"/>
    <n v="285320.06"/>
    <n v="11188.46"/>
    <n v="6553"/>
    <n v="43.540372349999998"/>
  </r>
  <r>
    <x v="1"/>
    <x v="3"/>
    <x v="8"/>
    <x v="2"/>
    <n v="427470303.5"/>
    <n v="11721982.77"/>
    <n v="1053121"/>
    <n v="405.90806140000001"/>
  </r>
  <r>
    <x v="0"/>
    <x v="3"/>
    <x v="4"/>
    <x v="1"/>
    <n v="13637899.560000001"/>
    <n v="472996.46"/>
    <n v="340491"/>
    <n v="40.053627140000003"/>
  </r>
  <r>
    <x v="1"/>
    <x v="1"/>
    <x v="7"/>
    <x v="4"/>
    <n v="5234584.9400000004"/>
    <n v="156583.72"/>
    <n v="16303"/>
    <n v="321.08108570000002"/>
  </r>
  <r>
    <x v="0"/>
    <x v="3"/>
    <x v="1"/>
    <x v="3"/>
    <n v="26070.5"/>
    <n v="1021.3"/>
    <n v="1310"/>
    <n v="19.901145039999999"/>
  </r>
  <r>
    <x v="2"/>
    <x v="1"/>
    <x v="0"/>
    <x v="0"/>
    <n v="106741.47"/>
    <n v="3069.77"/>
    <n v="68727"/>
    <n v="1.55312279"/>
  </r>
  <r>
    <x v="3"/>
    <x v="6"/>
    <x v="5"/>
    <x v="8"/>
    <n v="1613264.15"/>
    <n v="58293.599999999999"/>
    <n v="36095"/>
    <n v="44.694948050000001"/>
  </r>
  <r>
    <x v="2"/>
    <x v="9"/>
    <x v="1"/>
    <x v="5"/>
    <n v="22642.68"/>
    <n v="715.99"/>
    <n v="272"/>
    <n v="83.245147059999994"/>
  </r>
  <r>
    <x v="2"/>
    <x v="1"/>
    <x v="5"/>
    <x v="4"/>
    <n v="3509078.27"/>
    <n v="104289.5"/>
    <n v="13132"/>
    <n v="267.2158293"/>
  </r>
  <r>
    <x v="0"/>
    <x v="0"/>
    <x v="0"/>
    <x v="5"/>
    <n v="1588.53"/>
    <n v="46.63"/>
    <n v="34"/>
    <n v="46.721470590000003"/>
  </r>
  <r>
    <x v="1"/>
    <x v="8"/>
    <x v="3"/>
    <x v="4"/>
    <n v="29.4"/>
    <n v="90.52"/>
    <n v="40"/>
    <n v="0.73499999999999999"/>
  </r>
  <r>
    <x v="3"/>
    <x v="3"/>
    <x v="7"/>
    <x v="4"/>
    <n v="26196790.390000001"/>
    <n v="938518.48"/>
    <n v="159364"/>
    <n v="164.38336380000001"/>
  </r>
  <r>
    <x v="1"/>
    <x v="1"/>
    <x v="2"/>
    <x v="4"/>
    <n v="3770554.64"/>
    <n v="116445.06"/>
    <n v="12330"/>
    <n v="305.80329599999999"/>
  </r>
  <r>
    <x v="1"/>
    <x v="8"/>
    <x v="3"/>
    <x v="2"/>
    <n v="9322.77"/>
    <n v="311.86"/>
    <n v="333"/>
    <n v="27.996306310000001"/>
  </r>
  <r>
    <x v="2"/>
    <x v="3"/>
    <x v="8"/>
    <x v="3"/>
    <n v="159020.17000000001"/>
    <n v="6329.92"/>
    <n v="8784"/>
    <n v="18.103389119999999"/>
  </r>
  <r>
    <x v="0"/>
    <x v="1"/>
    <x v="7"/>
    <x v="3"/>
    <n v="57483374.210000001"/>
    <n v="1695706.07"/>
    <n v="4235945"/>
    <n v="13.57037785"/>
  </r>
  <r>
    <x v="2"/>
    <x v="8"/>
    <x v="8"/>
    <x v="7"/>
    <n v="1.22"/>
    <n v="0.53"/>
    <n v="203"/>
    <n v="6.009852217E-3"/>
  </r>
  <r>
    <x v="2"/>
    <x v="2"/>
    <x v="9"/>
    <x v="0"/>
    <n v="10802186.289999999"/>
    <n v="407532.97"/>
    <n v="214509"/>
    <n v="50.357729929999998"/>
  </r>
  <r>
    <x v="1"/>
    <x v="2"/>
    <x v="2"/>
    <x v="6"/>
    <n v="14780447.73"/>
    <n v="476350.38"/>
    <n v="57437"/>
    <n v="257.33321260000002"/>
  </r>
  <r>
    <x v="3"/>
    <x v="8"/>
    <x v="3"/>
    <x v="5"/>
    <n v="6794.53"/>
    <n v="342.13"/>
    <n v="158"/>
    <n v="43.003354430000002"/>
  </r>
  <r>
    <x v="0"/>
    <x v="1"/>
    <x v="0"/>
    <x v="0"/>
    <n v="154538.43"/>
    <n v="5259.7"/>
    <n v="106994"/>
    <n v="1.444365385"/>
  </r>
  <r>
    <x v="3"/>
    <x v="7"/>
    <x v="7"/>
    <x v="4"/>
    <n v="18975494.210000001"/>
    <n v="609212.56999999995"/>
    <n v="143161"/>
    <n v="132.54653300000001"/>
  </r>
  <r>
    <x v="3"/>
    <x v="5"/>
    <x v="1"/>
    <x v="8"/>
    <n v="4710988.53"/>
    <n v="194650.08"/>
    <n v="153061"/>
    <n v="30.778503539999999"/>
  </r>
  <r>
    <x v="3"/>
    <x v="3"/>
    <x v="1"/>
    <x v="7"/>
    <n v="1542557.1"/>
    <n v="59470.43"/>
    <n v="28117"/>
    <n v="54.862079880000003"/>
  </r>
  <r>
    <x v="2"/>
    <x v="2"/>
    <x v="5"/>
    <x v="2"/>
    <n v="24528234.960000001"/>
    <n v="863031.45"/>
    <n v="415288"/>
    <n v="59.063192190000002"/>
  </r>
  <r>
    <x v="0"/>
    <x v="5"/>
    <x v="0"/>
    <x v="7"/>
    <n v="2339171.67"/>
    <n v="90526.81"/>
    <n v="101829"/>
    <n v="22.97156674"/>
  </r>
  <r>
    <x v="1"/>
    <x v="1"/>
    <x v="0"/>
    <x v="3"/>
    <n v="1882.28"/>
    <n v="42.98"/>
    <n v="170"/>
    <n v="11.07223529"/>
  </r>
  <r>
    <x v="3"/>
    <x v="4"/>
    <x v="9"/>
    <x v="3"/>
    <n v="1349483.28"/>
    <n v="42373.62"/>
    <n v="93562"/>
    <n v="14.423412069999999"/>
  </r>
  <r>
    <x v="0"/>
    <x v="3"/>
    <x v="7"/>
    <x v="0"/>
    <n v="25239030"/>
    <n v="945657"/>
    <n v="484972"/>
    <n v="52.042241609999998"/>
  </r>
  <r>
    <x v="0"/>
    <x v="9"/>
    <x v="5"/>
    <x v="7"/>
    <n v="515.63"/>
    <n v="16.46"/>
    <n v="5"/>
    <n v="103.126"/>
  </r>
  <r>
    <x v="0"/>
    <x v="4"/>
    <x v="4"/>
    <x v="0"/>
    <n v="147577176.90000001"/>
    <n v="4845192.82"/>
    <n v="2828376"/>
    <n v="52.177354379999997"/>
  </r>
  <r>
    <x v="1"/>
    <x v="4"/>
    <x v="5"/>
    <x v="6"/>
    <n v="7526056.2199999997"/>
    <n v="265495.39"/>
    <n v="28472"/>
    <n v="264.33184249999999"/>
  </r>
  <r>
    <x v="2"/>
    <x v="8"/>
    <x v="5"/>
    <x v="8"/>
    <n v="1932.83"/>
    <n v="80.400000000000006"/>
    <n v="152"/>
    <n v="12.715986839999999"/>
  </r>
  <r>
    <x v="0"/>
    <x v="5"/>
    <x v="9"/>
    <x v="7"/>
    <n v="78278.47"/>
    <n v="3311.48"/>
    <n v="3060"/>
    <n v="25.581199349999999"/>
  </r>
  <r>
    <x v="3"/>
    <x v="0"/>
    <x v="8"/>
    <x v="1"/>
    <n v="40"/>
    <n v="0"/>
    <n v="1"/>
    <n v="40"/>
  </r>
  <r>
    <x v="0"/>
    <x v="2"/>
    <x v="9"/>
    <x v="3"/>
    <n v="15956.56"/>
    <n v="617.47"/>
    <n v="990"/>
    <n v="16.11773737"/>
  </r>
  <r>
    <x v="1"/>
    <x v="1"/>
    <x v="2"/>
    <x v="2"/>
    <n v="3902115.81"/>
    <n v="124447.33"/>
    <n v="20801"/>
    <n v="187.59270280000001"/>
  </r>
  <r>
    <x v="1"/>
    <x v="3"/>
    <x v="3"/>
    <x v="0"/>
    <n v="2692033.76"/>
    <n v="97915.51"/>
    <n v="42399"/>
    <n v="63.49285974"/>
  </r>
  <r>
    <x v="1"/>
    <x v="3"/>
    <x v="6"/>
    <x v="5"/>
    <n v="720185742.10000002"/>
    <n v="28895430.760000002"/>
    <n v="14903286"/>
    <n v="48.323956350000003"/>
  </r>
  <r>
    <x v="3"/>
    <x v="0"/>
    <x v="6"/>
    <x v="2"/>
    <n v="8016.24"/>
    <n v="106"/>
    <n v="106"/>
    <n v="75.624905659999996"/>
  </r>
  <r>
    <x v="1"/>
    <x v="1"/>
    <x v="0"/>
    <x v="1"/>
    <n v="181.46"/>
    <n v="4.34"/>
    <n v="56"/>
    <n v="3.2403571430000002"/>
  </r>
  <r>
    <x v="0"/>
    <x v="3"/>
    <x v="6"/>
    <x v="9"/>
    <n v="1744114.51"/>
    <n v="66475.67"/>
    <n v="45598"/>
    <n v="38.249802840000001"/>
  </r>
  <r>
    <x v="1"/>
    <x v="4"/>
    <x v="2"/>
    <x v="6"/>
    <n v="8870245.6099999994"/>
    <n v="293850.27"/>
    <n v="23765"/>
    <n v="373.24828989999997"/>
  </r>
  <r>
    <x v="0"/>
    <x v="6"/>
    <x v="4"/>
    <x v="5"/>
    <n v="16328021.24"/>
    <n v="641829.69999999995"/>
    <n v="399136"/>
    <n v="40.90841528"/>
  </r>
  <r>
    <x v="0"/>
    <x v="9"/>
    <x v="7"/>
    <x v="5"/>
    <n v="35629.29"/>
    <n v="1329.08"/>
    <n v="666"/>
    <n v="53.497432430000003"/>
  </r>
  <r>
    <x v="2"/>
    <x v="2"/>
    <x v="3"/>
    <x v="2"/>
    <n v="11532944.800000001"/>
    <n v="343236.33"/>
    <n v="63945"/>
    <n v="180.357257"/>
  </r>
  <r>
    <x v="2"/>
    <x v="5"/>
    <x v="0"/>
    <x v="5"/>
    <n v="1010165.78"/>
    <n v="37478.81"/>
    <n v="23910"/>
    <n v="42.248673359999998"/>
  </r>
  <r>
    <x v="1"/>
    <x v="0"/>
    <x v="5"/>
    <x v="2"/>
    <n v="1279.56"/>
    <n v="18.100000000000001"/>
    <n v="28"/>
    <n v="45.698571430000001"/>
  </r>
  <r>
    <x v="0"/>
    <x v="4"/>
    <x v="0"/>
    <x v="4"/>
    <n v="105181.06"/>
    <n v="1593.18"/>
    <n v="606"/>
    <n v="173.56610559999999"/>
  </r>
  <r>
    <x v="2"/>
    <x v="8"/>
    <x v="3"/>
    <x v="2"/>
    <n v="17027.37"/>
    <n v="147.37"/>
    <n v="382"/>
    <n v="44.574267020000001"/>
  </r>
  <r>
    <x v="0"/>
    <x v="1"/>
    <x v="5"/>
    <x v="5"/>
    <n v="239796903.30000001"/>
    <n v="6967218.5499999998"/>
    <n v="4957159"/>
    <n v="48.373857540000003"/>
  </r>
  <r>
    <x v="0"/>
    <x v="7"/>
    <x v="0"/>
    <x v="2"/>
    <n v="2154247.21"/>
    <n v="27860.27"/>
    <n v="41493"/>
    <n v="51.918328629999998"/>
  </r>
  <r>
    <x v="1"/>
    <x v="0"/>
    <x v="7"/>
    <x v="2"/>
    <n v="5998.99"/>
    <n v="112.41"/>
    <n v="36"/>
    <n v="166.63861109999999"/>
  </r>
  <r>
    <x v="3"/>
    <x v="5"/>
    <x v="0"/>
    <x v="8"/>
    <n v="22689112.949999999"/>
    <n v="839141.24"/>
    <n v="544789"/>
    <n v="41.647523999999997"/>
  </r>
  <r>
    <x v="0"/>
    <x v="7"/>
    <x v="1"/>
    <x v="8"/>
    <n v="26720203.039999999"/>
    <n v="1013451.8"/>
    <n v="520252"/>
    <n v="51.36011594"/>
  </r>
  <r>
    <x v="1"/>
    <x v="1"/>
    <x v="5"/>
    <x v="6"/>
    <n v="1120872.42"/>
    <n v="34147.980000000003"/>
    <n v="2906"/>
    <n v="385.7097109"/>
  </r>
  <r>
    <x v="1"/>
    <x v="1"/>
    <x v="7"/>
    <x v="0"/>
    <n v="172914183.5"/>
    <n v="3832385.79"/>
    <n v="2412002"/>
    <n v="71.68907136"/>
  </r>
  <r>
    <x v="2"/>
    <x v="4"/>
    <x v="4"/>
    <x v="8"/>
    <n v="200363951.59999999"/>
    <n v="7307730.1600000001"/>
    <n v="3815466"/>
    <n v="52.513625220000002"/>
  </r>
  <r>
    <x v="3"/>
    <x v="0"/>
    <x v="9"/>
    <x v="4"/>
    <n v="203.06"/>
    <n v="2.76"/>
    <n v="3"/>
    <n v="67.686666669999994"/>
  </r>
  <r>
    <x v="1"/>
    <x v="5"/>
    <x v="6"/>
    <x v="8"/>
    <n v="3673786.3"/>
    <n v="155744.49"/>
    <n v="142260"/>
    <n v="25.824450299999999"/>
  </r>
  <r>
    <x v="1"/>
    <x v="8"/>
    <x v="5"/>
    <x v="6"/>
    <n v="26.69"/>
    <n v="1.07"/>
    <n v="1"/>
    <n v="26.69"/>
  </r>
  <r>
    <x v="3"/>
    <x v="2"/>
    <x v="5"/>
    <x v="5"/>
    <n v="322887145.30000001"/>
    <n v="14433877.74"/>
    <n v="12513196"/>
    <n v="25.80373114"/>
  </r>
  <r>
    <x v="0"/>
    <x v="5"/>
    <x v="9"/>
    <x v="1"/>
    <n v="356002.22"/>
    <n v="8905.81"/>
    <n v="7678"/>
    <n v="46.366530349999998"/>
  </r>
  <r>
    <x v="1"/>
    <x v="5"/>
    <x v="0"/>
    <x v="11"/>
    <n v="2809123.65"/>
    <n v="98117.17"/>
    <n v="36789"/>
    <n v="76.357706109999995"/>
  </r>
  <r>
    <x v="0"/>
    <x v="8"/>
    <x v="3"/>
    <x v="1"/>
    <n v="57.99"/>
    <n v="2.59"/>
    <n v="14"/>
    <n v="4.1421428569999996"/>
  </r>
  <r>
    <x v="1"/>
    <x v="3"/>
    <x v="8"/>
    <x v="0"/>
    <n v="11260699.23"/>
    <n v="403412.82"/>
    <n v="170925"/>
    <n v="65.880937430000003"/>
  </r>
  <r>
    <x v="2"/>
    <x v="9"/>
    <x v="8"/>
    <x v="8"/>
    <n v="2100.6799999999998"/>
    <n v="159.69"/>
    <n v="138"/>
    <n v="15.22231884"/>
  </r>
  <r>
    <x v="0"/>
    <x v="3"/>
    <x v="0"/>
    <x v="8"/>
    <n v="450319.73"/>
    <n v="14732.35"/>
    <n v="70475"/>
    <n v="6.3897797799999996"/>
  </r>
  <r>
    <x v="0"/>
    <x v="4"/>
    <x v="3"/>
    <x v="8"/>
    <n v="33742996.109999999"/>
    <n v="1151433.8799999999"/>
    <n v="453709"/>
    <n v="74.371449780000006"/>
  </r>
  <r>
    <x v="1"/>
    <x v="3"/>
    <x v="4"/>
    <x v="4"/>
    <n v="40524712.880000003"/>
    <n v="1424496.29"/>
    <n v="200193"/>
    <n v="202.4282212"/>
  </r>
  <r>
    <x v="1"/>
    <x v="6"/>
    <x v="2"/>
    <x v="8"/>
    <n v="11777399.060000001"/>
    <n v="402888.89"/>
    <n v="187099"/>
    <n v="62.94741853"/>
  </r>
  <r>
    <x v="2"/>
    <x v="3"/>
    <x v="3"/>
    <x v="6"/>
    <n v="7821205.3200000003"/>
    <n v="252842.71"/>
    <n v="23549"/>
    <n v="332.12473230000001"/>
  </r>
  <r>
    <x v="0"/>
    <x v="4"/>
    <x v="6"/>
    <x v="9"/>
    <n v="2279082.2400000002"/>
    <n v="79661.84"/>
    <n v="57001"/>
    <n v="39.983197490000002"/>
  </r>
  <r>
    <x v="0"/>
    <x v="3"/>
    <x v="1"/>
    <x v="9"/>
    <n v="323026.38"/>
    <n v="12794.72"/>
    <n v="10537"/>
    <n v="30.656389860000001"/>
  </r>
  <r>
    <x v="2"/>
    <x v="2"/>
    <x v="4"/>
    <x v="2"/>
    <n v="57389712.200000003"/>
    <n v="1800933.85"/>
    <n v="445776"/>
    <n v="128.74114399999999"/>
  </r>
  <r>
    <x v="0"/>
    <x v="3"/>
    <x v="7"/>
    <x v="2"/>
    <n v="91117857.670000002"/>
    <n v="2718986.79"/>
    <n v="495738"/>
    <n v="183.80244740000001"/>
  </r>
  <r>
    <x v="3"/>
    <x v="6"/>
    <x v="9"/>
    <x v="0"/>
    <n v="7363441.4800000004"/>
    <n v="156717.54"/>
    <n v="96382"/>
    <n v="76.398512999999994"/>
  </r>
  <r>
    <x v="2"/>
    <x v="2"/>
    <x v="6"/>
    <x v="5"/>
    <n v="290985850.39999998"/>
    <n v="12854210.27"/>
    <n v="11131483"/>
    <n v="26.14079817"/>
  </r>
  <r>
    <x v="3"/>
    <x v="2"/>
    <x v="1"/>
    <x v="7"/>
    <n v="493953.98"/>
    <n v="19393.349999999999"/>
    <n v="10788"/>
    <n v="45.787354469999997"/>
  </r>
  <r>
    <x v="0"/>
    <x v="9"/>
    <x v="4"/>
    <x v="2"/>
    <n v="139830.03"/>
    <n v="1950.71"/>
    <n v="627"/>
    <n v="223.0144019"/>
  </r>
  <r>
    <x v="1"/>
    <x v="2"/>
    <x v="0"/>
    <x v="2"/>
    <n v="155342.84"/>
    <n v="4029.39"/>
    <n v="6473"/>
    <n v="23.99858489"/>
  </r>
  <r>
    <x v="3"/>
    <x v="3"/>
    <x v="8"/>
    <x v="10"/>
    <n v="107909252.5"/>
    <n v="107907.44"/>
    <n v="323591"/>
    <n v="333.4742081"/>
  </r>
  <r>
    <x v="0"/>
    <x v="9"/>
    <x v="9"/>
    <x v="2"/>
    <n v="109565.84"/>
    <n v="1310.1500000000001"/>
    <n v="745"/>
    <n v="147.06824159999999"/>
  </r>
  <r>
    <x v="3"/>
    <x v="0"/>
    <x v="6"/>
    <x v="8"/>
    <n v="278.37"/>
    <n v="12.94"/>
    <n v="13"/>
    <n v="21.413076920000002"/>
  </r>
  <r>
    <x v="2"/>
    <x v="2"/>
    <x v="7"/>
    <x v="1"/>
    <n v="1567236.51"/>
    <n v="58620.4"/>
    <n v="59724"/>
    <n v="26.241318570000001"/>
  </r>
  <r>
    <x v="1"/>
    <x v="9"/>
    <x v="3"/>
    <x v="8"/>
    <n v="2603.9299999999998"/>
    <n v="142.24"/>
    <n v="53"/>
    <n v="49.130754719999999"/>
  </r>
  <r>
    <x v="2"/>
    <x v="5"/>
    <x v="7"/>
    <x v="6"/>
    <n v="364786"/>
    <n v="13521.32"/>
    <n v="4870"/>
    <n v="74.904722789999994"/>
  </r>
  <r>
    <x v="2"/>
    <x v="3"/>
    <x v="0"/>
    <x v="4"/>
    <n v="22497917.129999999"/>
    <n v="727927.2"/>
    <n v="69901"/>
    <n v="321.85400970000001"/>
  </r>
  <r>
    <x v="1"/>
    <x v="3"/>
    <x v="9"/>
    <x v="3"/>
    <n v="256017.17"/>
    <n v="7348.89"/>
    <n v="14060"/>
    <n v="18.208902559999999"/>
  </r>
  <r>
    <x v="3"/>
    <x v="4"/>
    <x v="9"/>
    <x v="0"/>
    <n v="36913945.689999998"/>
    <n v="1110010.6200000001"/>
    <n v="615277"/>
    <n v="59.995653490000002"/>
  </r>
  <r>
    <x v="0"/>
    <x v="5"/>
    <x v="7"/>
    <x v="1"/>
    <n v="341787.05"/>
    <n v="10748.78"/>
    <n v="10867"/>
    <n v="31.45183123"/>
  </r>
  <r>
    <x v="0"/>
    <x v="3"/>
    <x v="1"/>
    <x v="7"/>
    <n v="3510908.43"/>
    <n v="136245.96"/>
    <n v="67418"/>
    <n v="52.076721800000001"/>
  </r>
  <r>
    <x v="1"/>
    <x v="5"/>
    <x v="5"/>
    <x v="4"/>
    <n v="266356.98"/>
    <n v="10462.73"/>
    <n v="7195"/>
    <n v="37.01973315"/>
  </r>
  <r>
    <x v="3"/>
    <x v="6"/>
    <x v="2"/>
    <x v="7"/>
    <n v="209930.61"/>
    <n v="6646.89"/>
    <n v="3301"/>
    <n v="63.596064830000003"/>
  </r>
  <r>
    <x v="1"/>
    <x v="4"/>
    <x v="4"/>
    <x v="2"/>
    <n v="37701802.789999999"/>
    <n v="1318089.33"/>
    <n v="208281"/>
    <n v="181.0141241"/>
  </r>
  <r>
    <x v="2"/>
    <x v="4"/>
    <x v="9"/>
    <x v="6"/>
    <n v="19210958.050000001"/>
    <n v="656763.69999999995"/>
    <n v="61057"/>
    <n v="314.63973090000002"/>
  </r>
  <r>
    <x v="3"/>
    <x v="0"/>
    <x v="2"/>
    <x v="4"/>
    <n v="359"/>
    <n v="11.01"/>
    <n v="2"/>
    <n v="179.5"/>
  </r>
  <r>
    <x v="3"/>
    <x v="3"/>
    <x v="4"/>
    <x v="3"/>
    <n v="222612.72"/>
    <n v="6673.75"/>
    <n v="12106"/>
    <n v="18.38862713"/>
  </r>
  <r>
    <x v="2"/>
    <x v="7"/>
    <x v="8"/>
    <x v="2"/>
    <n v="484410253.10000002"/>
    <n v="11388254.859999999"/>
    <n v="3293529"/>
    <n v="147.0793951"/>
  </r>
  <r>
    <x v="1"/>
    <x v="9"/>
    <x v="5"/>
    <x v="5"/>
    <n v="48740.52"/>
    <n v="1448.65"/>
    <n v="985"/>
    <n v="49.482761420000003"/>
  </r>
  <r>
    <x v="1"/>
    <x v="2"/>
    <x v="2"/>
    <x v="8"/>
    <n v="66875405.119999997"/>
    <n v="2431506.81"/>
    <n v="1242477"/>
    <n v="53.824260019999997"/>
  </r>
  <r>
    <x v="0"/>
    <x v="5"/>
    <x v="0"/>
    <x v="2"/>
    <n v="10742.91"/>
    <n v="349.37"/>
    <n v="3301"/>
    <n v="3.2544410780000002"/>
  </r>
  <r>
    <x v="2"/>
    <x v="8"/>
    <x v="0"/>
    <x v="6"/>
    <n v="1101.68"/>
    <n v="36.17"/>
    <n v="43"/>
    <n v="25.620465119999999"/>
  </r>
  <r>
    <x v="0"/>
    <x v="8"/>
    <x v="6"/>
    <x v="8"/>
    <n v="8000.61"/>
    <n v="494.44"/>
    <n v="912"/>
    <n v="8.7725986840000001"/>
  </r>
  <r>
    <x v="3"/>
    <x v="9"/>
    <x v="8"/>
    <x v="10"/>
    <n v="125913.71"/>
    <n v="842.38"/>
    <n v="4006"/>
    <n v="31.431280579999999"/>
  </r>
  <r>
    <x v="3"/>
    <x v="3"/>
    <x v="6"/>
    <x v="2"/>
    <n v="84628775.25"/>
    <n v="2754181.09"/>
    <n v="433487"/>
    <n v="195.22794279999999"/>
  </r>
  <r>
    <x v="2"/>
    <x v="5"/>
    <x v="2"/>
    <x v="3"/>
    <n v="188.24"/>
    <n v="10.68"/>
    <n v="22"/>
    <n v="8.5563636360000004"/>
  </r>
  <r>
    <x v="1"/>
    <x v="1"/>
    <x v="0"/>
    <x v="5"/>
    <n v="42614558.899999999"/>
    <n v="1125787.8400000001"/>
    <n v="425533"/>
    <n v="100.143958"/>
  </r>
  <r>
    <x v="0"/>
    <x v="5"/>
    <x v="2"/>
    <x v="1"/>
    <n v="126935.13"/>
    <n v="2853.83"/>
    <n v="2393"/>
    <n v="53.044350190000003"/>
  </r>
  <r>
    <x v="2"/>
    <x v="4"/>
    <x v="6"/>
    <x v="6"/>
    <n v="20382942.890000001"/>
    <n v="692162.9"/>
    <n v="69638"/>
    <n v="292.69856820000001"/>
  </r>
  <r>
    <x v="3"/>
    <x v="8"/>
    <x v="2"/>
    <x v="6"/>
    <n v="5944.99"/>
    <n v="168.28"/>
    <n v="19"/>
    <n v="312.89421049999999"/>
  </r>
  <r>
    <x v="2"/>
    <x v="3"/>
    <x v="0"/>
    <x v="3"/>
    <n v="136.74"/>
    <n v="7.44"/>
    <n v="219"/>
    <n v="0.62438356159999997"/>
  </r>
  <r>
    <x v="3"/>
    <x v="6"/>
    <x v="5"/>
    <x v="4"/>
    <n v="621587.86"/>
    <n v="20817.13"/>
    <n v="3948"/>
    <n v="157.44373350000001"/>
  </r>
  <r>
    <x v="0"/>
    <x v="5"/>
    <x v="8"/>
    <x v="5"/>
    <n v="7777815.2699999996"/>
    <n v="276692.39"/>
    <n v="213038"/>
    <n v="36.509051300000003"/>
  </r>
  <r>
    <x v="2"/>
    <x v="1"/>
    <x v="0"/>
    <x v="11"/>
    <n v="636683940"/>
    <n v="15749809.02"/>
    <n v="946289"/>
    <n v="672.82187569999996"/>
  </r>
  <r>
    <x v="3"/>
    <x v="0"/>
    <x v="8"/>
    <x v="6"/>
    <n v="850"/>
    <n v="26.47"/>
    <n v="6"/>
    <n v="141.66666670000001"/>
  </r>
  <r>
    <x v="2"/>
    <x v="4"/>
    <x v="7"/>
    <x v="6"/>
    <n v="15639199.880000001"/>
    <n v="548946.73"/>
    <n v="54859"/>
    <n v="285.07992999999999"/>
  </r>
  <r>
    <x v="3"/>
    <x v="4"/>
    <x v="5"/>
    <x v="3"/>
    <n v="423558.7"/>
    <n v="16333.81"/>
    <n v="24919"/>
    <n v="16.99741964"/>
  </r>
  <r>
    <x v="2"/>
    <x v="6"/>
    <x v="2"/>
    <x v="4"/>
    <n v="4017593.56"/>
    <n v="122575.54"/>
    <n v="9079"/>
    <n v="442.51498620000001"/>
  </r>
  <r>
    <x v="0"/>
    <x v="2"/>
    <x v="0"/>
    <x v="9"/>
    <n v="2853.21"/>
    <n v="108.65"/>
    <n v="137"/>
    <n v="20.826350359999999"/>
  </r>
  <r>
    <x v="2"/>
    <x v="7"/>
    <x v="5"/>
    <x v="5"/>
    <n v="557606102.29999995"/>
    <n v="21811912.920000002"/>
    <n v="12932685"/>
    <n v="43.116035240000002"/>
  </r>
  <r>
    <x v="2"/>
    <x v="0"/>
    <x v="9"/>
    <x v="4"/>
    <n v="470"/>
    <n v="13.93"/>
    <n v="1"/>
    <n v="470"/>
  </r>
  <r>
    <x v="2"/>
    <x v="1"/>
    <x v="8"/>
    <x v="10"/>
    <n v="275303221"/>
    <n v="56606.27"/>
    <n v="622807"/>
    <n v="442.03617009999999"/>
  </r>
  <r>
    <x v="0"/>
    <x v="4"/>
    <x v="8"/>
    <x v="3"/>
    <n v="1323533.6100000001"/>
    <n v="55251.040000000001"/>
    <n v="75179"/>
    <n v="17.605097300000001"/>
  </r>
  <r>
    <x v="2"/>
    <x v="0"/>
    <x v="6"/>
    <x v="8"/>
    <n v="441.08"/>
    <n v="21.21"/>
    <n v="13"/>
    <n v="33.929230769999997"/>
  </r>
  <r>
    <x v="0"/>
    <x v="3"/>
    <x v="3"/>
    <x v="8"/>
    <n v="42770966.079999998"/>
    <n v="1475362.57"/>
    <n v="549774"/>
    <n v="77.797360519999998"/>
  </r>
  <r>
    <x v="0"/>
    <x v="3"/>
    <x v="6"/>
    <x v="7"/>
    <n v="11229700.24"/>
    <n v="411075.97"/>
    <n v="235089"/>
    <n v="47.76786766"/>
  </r>
  <r>
    <x v="3"/>
    <x v="4"/>
    <x v="9"/>
    <x v="1"/>
    <n v="37135.019999999997"/>
    <n v="1124.93"/>
    <n v="640"/>
    <n v="58.023468749999999"/>
  </r>
  <r>
    <x v="3"/>
    <x v="4"/>
    <x v="6"/>
    <x v="4"/>
    <n v="26707427.260000002"/>
    <n v="878186.26"/>
    <n v="122402"/>
    <n v="218.1943699"/>
  </r>
  <r>
    <x v="0"/>
    <x v="3"/>
    <x v="2"/>
    <x v="3"/>
    <n v="78657.460000000006"/>
    <n v="2559.4899999999998"/>
    <n v="4405"/>
    <n v="17.856404090000002"/>
  </r>
  <r>
    <x v="2"/>
    <x v="1"/>
    <x v="9"/>
    <x v="6"/>
    <n v="3732653.67"/>
    <n v="108901.01"/>
    <n v="8951"/>
    <n v="417.00968269999998"/>
  </r>
  <r>
    <x v="1"/>
    <x v="7"/>
    <x v="0"/>
    <x v="8"/>
    <n v="62215645.270000003"/>
    <n v="2202486.09"/>
    <n v="938033"/>
    <n v="66.325646610000007"/>
  </r>
  <r>
    <x v="0"/>
    <x v="4"/>
    <x v="4"/>
    <x v="8"/>
    <n v="249124363.90000001"/>
    <n v="8991901.5399999991"/>
    <n v="4426367"/>
    <n v="56.28190429"/>
  </r>
  <r>
    <x v="3"/>
    <x v="9"/>
    <x v="0"/>
    <x v="8"/>
    <n v="1054.56"/>
    <n v="55.39"/>
    <n v="43"/>
    <n v="24.524651160000001"/>
  </r>
  <r>
    <x v="2"/>
    <x v="0"/>
    <x v="4"/>
    <x v="2"/>
    <n v="2169.21"/>
    <n v="54.55"/>
    <n v="15"/>
    <n v="144.614"/>
  </r>
  <r>
    <x v="2"/>
    <x v="1"/>
    <x v="8"/>
    <x v="0"/>
    <n v="328905681.60000002"/>
    <n v="7306520.6799999997"/>
    <n v="3931652"/>
    <n v="83.655847870000002"/>
  </r>
  <r>
    <x v="1"/>
    <x v="4"/>
    <x v="5"/>
    <x v="8"/>
    <n v="50692285.469999999"/>
    <n v="1918090.76"/>
    <n v="1035698"/>
    <n v="48.945045239999999"/>
  </r>
  <r>
    <x v="0"/>
    <x v="8"/>
    <x v="0"/>
    <x v="5"/>
    <n v="2275.62"/>
    <n v="117.83"/>
    <n v="101"/>
    <n v="22.530891090000001"/>
  </r>
  <r>
    <x v="3"/>
    <x v="3"/>
    <x v="5"/>
    <x v="8"/>
    <n v="30837313.260000002"/>
    <n v="1236925.32"/>
    <n v="706170"/>
    <n v="43.668398910000001"/>
  </r>
  <r>
    <x v="1"/>
    <x v="6"/>
    <x v="7"/>
    <x v="3"/>
    <n v="638.54999999999995"/>
    <n v="15.95"/>
    <n v="55"/>
    <n v="11.61"/>
  </r>
  <r>
    <x v="3"/>
    <x v="6"/>
    <x v="1"/>
    <x v="6"/>
    <n v="2760960.64"/>
    <n v="86499.02"/>
    <n v="7270"/>
    <n v="379.77450340000001"/>
  </r>
  <r>
    <x v="1"/>
    <x v="2"/>
    <x v="0"/>
    <x v="6"/>
    <n v="26769324.140000001"/>
    <n v="842721.74"/>
    <n v="94871"/>
    <n v="282.16551040000002"/>
  </r>
  <r>
    <x v="2"/>
    <x v="5"/>
    <x v="6"/>
    <x v="4"/>
    <n v="989623.42"/>
    <n v="34894.550000000003"/>
    <n v="11426"/>
    <n v="86.611536849999993"/>
  </r>
  <r>
    <x v="1"/>
    <x v="2"/>
    <x v="1"/>
    <x v="8"/>
    <n v="66156097.340000004"/>
    <n v="2521791.21"/>
    <n v="1263919"/>
    <n v="52.342038799999997"/>
  </r>
  <r>
    <x v="2"/>
    <x v="4"/>
    <x v="8"/>
    <x v="5"/>
    <n v="538605488.79999995"/>
    <n v="16717620.210000001"/>
    <n v="5516017"/>
    <n v="97.643913859999998"/>
  </r>
  <r>
    <x v="0"/>
    <x v="4"/>
    <x v="5"/>
    <x v="3"/>
    <n v="652161.75"/>
    <n v="27102.560000000001"/>
    <n v="41827"/>
    <n v="15.59188443"/>
  </r>
  <r>
    <x v="2"/>
    <x v="6"/>
    <x v="5"/>
    <x v="1"/>
    <n v="58169.71"/>
    <n v="2179.04"/>
    <n v="5122"/>
    <n v="11.356835220000001"/>
  </r>
  <r>
    <x v="3"/>
    <x v="1"/>
    <x v="8"/>
    <x v="10"/>
    <n v="99496096.5"/>
    <n v="23550.27"/>
    <n v="210930"/>
    <n v="471.70196979999997"/>
  </r>
  <r>
    <x v="3"/>
    <x v="1"/>
    <x v="3"/>
    <x v="8"/>
    <n v="9394521.7400000002"/>
    <n v="278189.42"/>
    <n v="140580"/>
    <n v="66.826872530000003"/>
  </r>
  <r>
    <x v="1"/>
    <x v="8"/>
    <x v="5"/>
    <x v="2"/>
    <n v="-3368.2"/>
    <n v="87.09"/>
    <n v="235"/>
    <n v="-14.33276596"/>
  </r>
  <r>
    <x v="1"/>
    <x v="0"/>
    <x v="4"/>
    <x v="8"/>
    <n v="291.07"/>
    <n v="11.62"/>
    <n v="11"/>
    <n v="26.460909090000001"/>
  </r>
  <r>
    <x v="0"/>
    <x v="2"/>
    <x v="1"/>
    <x v="7"/>
    <n v="788228.83"/>
    <n v="32106.12"/>
    <n v="17933"/>
    <n v="43.954097470000001"/>
  </r>
  <r>
    <x v="2"/>
    <x v="7"/>
    <x v="9"/>
    <x v="5"/>
    <n v="525622343.10000002"/>
    <n v="18715660.75"/>
    <n v="7341950"/>
    <n v="71.591653870000002"/>
  </r>
  <r>
    <x v="1"/>
    <x v="3"/>
    <x v="7"/>
    <x v="5"/>
    <n v="619739904.89999998"/>
    <n v="25239932.550000001"/>
    <n v="13374358"/>
    <n v="46.337918049999999"/>
  </r>
  <r>
    <x v="1"/>
    <x v="7"/>
    <x v="2"/>
    <x v="1"/>
    <n v="520982.88"/>
    <n v="14555.69"/>
    <n v="5861"/>
    <n v="88.889759429999998"/>
  </r>
  <r>
    <x v="0"/>
    <x v="6"/>
    <x v="8"/>
    <x v="5"/>
    <n v="17385900.620000001"/>
    <n v="607120.4"/>
    <n v="253193"/>
    <n v="68.66659276"/>
  </r>
  <r>
    <x v="1"/>
    <x v="8"/>
    <x v="2"/>
    <x v="1"/>
    <n v="579"/>
    <n v="22.34"/>
    <n v="7"/>
    <n v="82.714285709999999"/>
  </r>
  <r>
    <x v="2"/>
    <x v="9"/>
    <x v="7"/>
    <x v="8"/>
    <n v="1127.42"/>
    <n v="54.39"/>
    <n v="46"/>
    <n v="24.509130429999999"/>
  </r>
  <r>
    <x v="0"/>
    <x v="2"/>
    <x v="5"/>
    <x v="8"/>
    <n v="35669414.640000001"/>
    <n v="1547037.83"/>
    <n v="1172357"/>
    <n v="30.425386329999998"/>
  </r>
  <r>
    <x v="2"/>
    <x v="4"/>
    <x v="5"/>
    <x v="4"/>
    <n v="19145313.239999998"/>
    <n v="647349.67000000004"/>
    <n v="91917"/>
    <n v="208.2891439"/>
  </r>
  <r>
    <x v="0"/>
    <x v="5"/>
    <x v="0"/>
    <x v="7"/>
    <n v="131.46"/>
    <n v="11.07"/>
    <n v="110"/>
    <n v="1.1950909089999999"/>
  </r>
  <r>
    <x v="3"/>
    <x v="5"/>
    <x v="1"/>
    <x v="6"/>
    <n v="799210.57"/>
    <n v="26950.11"/>
    <n v="6579"/>
    <n v="121.47903479999999"/>
  </r>
  <r>
    <x v="0"/>
    <x v="8"/>
    <x v="7"/>
    <x v="4"/>
    <n v="1027.1500000000001"/>
    <n v="130.84"/>
    <n v="25"/>
    <n v="41.085999999999999"/>
  </r>
  <r>
    <x v="0"/>
    <x v="8"/>
    <x v="9"/>
    <x v="6"/>
    <n v="1203.82"/>
    <n v="39.49"/>
    <n v="27"/>
    <n v="44.585925930000002"/>
  </r>
  <r>
    <x v="3"/>
    <x v="2"/>
    <x v="9"/>
    <x v="5"/>
    <n v="226340148.69999999"/>
    <n v="9399160.6899999995"/>
    <n v="6783232"/>
    <n v="33.367596560000003"/>
  </r>
  <r>
    <x v="3"/>
    <x v="0"/>
    <x v="3"/>
    <x v="8"/>
    <n v="310.69"/>
    <n v="16.82"/>
    <n v="4"/>
    <n v="77.672499999999999"/>
  </r>
  <r>
    <x v="3"/>
    <x v="6"/>
    <x v="9"/>
    <x v="1"/>
    <n v="5579.58"/>
    <n v="177.43"/>
    <n v="103"/>
    <n v="54.170679610000001"/>
  </r>
  <r>
    <x v="2"/>
    <x v="1"/>
    <x v="8"/>
    <x v="1"/>
    <n v="594944.03"/>
    <n v="17074.78"/>
    <n v="47950"/>
    <n v="12.407591869999999"/>
  </r>
  <r>
    <x v="1"/>
    <x v="2"/>
    <x v="8"/>
    <x v="3"/>
    <n v="9924.9"/>
    <n v="284.83"/>
    <n v="523"/>
    <n v="18.976864240000001"/>
  </r>
  <r>
    <x v="3"/>
    <x v="4"/>
    <x v="2"/>
    <x v="2"/>
    <n v="14630056.199999999"/>
    <n v="487106.29"/>
    <n v="79762"/>
    <n v="183.42138109999999"/>
  </r>
  <r>
    <x v="1"/>
    <x v="4"/>
    <x v="7"/>
    <x v="8"/>
    <n v="86660703.069999993"/>
    <n v="3245546.4"/>
    <n v="1748120"/>
    <n v="49.573658029999997"/>
  </r>
  <r>
    <x v="3"/>
    <x v="3"/>
    <x v="7"/>
    <x v="8"/>
    <n v="50949995.409999996"/>
    <n v="2011211.22"/>
    <n v="1075453"/>
    <n v="47.375380800000002"/>
  </r>
  <r>
    <x v="0"/>
    <x v="6"/>
    <x v="5"/>
    <x v="8"/>
    <n v="2898366.7"/>
    <n v="113025.54"/>
    <n v="69545"/>
    <n v="41.676133440000001"/>
  </r>
  <r>
    <x v="3"/>
    <x v="7"/>
    <x v="9"/>
    <x v="2"/>
    <n v="236675628.90000001"/>
    <n v="6323186.96"/>
    <n v="1579056"/>
    <n v="149.88425290000001"/>
  </r>
  <r>
    <x v="2"/>
    <x v="1"/>
    <x v="2"/>
    <x v="0"/>
    <n v="209330003.69999999"/>
    <n v="4456350.5199999996"/>
    <n v="2870630"/>
    <n v="72.921276410000004"/>
  </r>
  <r>
    <x v="0"/>
    <x v="5"/>
    <x v="6"/>
    <x v="3"/>
    <n v="550.64"/>
    <n v="22.26"/>
    <n v="41"/>
    <n v="13.430243900000001"/>
  </r>
  <r>
    <x v="0"/>
    <x v="7"/>
    <x v="8"/>
    <x v="7"/>
    <n v="311.98"/>
    <n v="11.98"/>
    <n v="11"/>
    <n v="28.36181818"/>
  </r>
  <r>
    <x v="2"/>
    <x v="3"/>
    <x v="4"/>
    <x v="3"/>
    <n v="268780.64"/>
    <n v="7783.85"/>
    <n v="14950"/>
    <n v="17.97863813"/>
  </r>
  <r>
    <x v="2"/>
    <x v="7"/>
    <x v="7"/>
    <x v="2"/>
    <n v="182663423.59999999"/>
    <n v="5055075.1399999997"/>
    <n v="1635736"/>
    <n v="111.67047959999999"/>
  </r>
  <r>
    <x v="2"/>
    <x v="1"/>
    <x v="1"/>
    <x v="2"/>
    <n v="2815438.19"/>
    <n v="104581.43"/>
    <n v="25459"/>
    <n v="110.58714759999999"/>
  </r>
  <r>
    <x v="1"/>
    <x v="4"/>
    <x v="1"/>
    <x v="4"/>
    <n v="13171260.66"/>
    <n v="491363.97"/>
    <n v="61077"/>
    <n v="215.65009190000001"/>
  </r>
  <r>
    <x v="0"/>
    <x v="2"/>
    <x v="7"/>
    <x v="1"/>
    <n v="7734120.9800000004"/>
    <n v="297687.98"/>
    <n v="318480"/>
    <n v="24.284479340000001"/>
  </r>
  <r>
    <x v="1"/>
    <x v="5"/>
    <x v="1"/>
    <x v="4"/>
    <n v="1367163.47"/>
    <n v="47712.639999999999"/>
    <n v="12116"/>
    <n v="112.83950729999999"/>
  </r>
  <r>
    <x v="1"/>
    <x v="2"/>
    <x v="8"/>
    <x v="2"/>
    <n v="159335067.90000001"/>
    <n v="5089373.63"/>
    <n v="990427"/>
    <n v="160.8751255"/>
  </r>
  <r>
    <x v="0"/>
    <x v="2"/>
    <x v="0"/>
    <x v="8"/>
    <n v="547356684.10000002"/>
    <n v="17896062.670000002"/>
    <n v="7142439"/>
    <n v="76.634421950000004"/>
  </r>
  <r>
    <x v="0"/>
    <x v="7"/>
    <x v="1"/>
    <x v="7"/>
    <n v="406.1"/>
    <n v="19.09"/>
    <n v="24"/>
    <n v="16.920833330000001"/>
  </r>
  <r>
    <x v="3"/>
    <x v="8"/>
    <x v="3"/>
    <x v="1"/>
    <n v="200"/>
    <n v="6.1"/>
    <n v="1"/>
    <n v="200"/>
  </r>
  <r>
    <x v="1"/>
    <x v="0"/>
    <x v="2"/>
    <x v="4"/>
    <n v="194"/>
    <n v="5.93"/>
    <n v="1"/>
    <n v="194"/>
  </r>
  <r>
    <x v="2"/>
    <x v="2"/>
    <x v="3"/>
    <x v="4"/>
    <n v="10665958.279999999"/>
    <n v="339319.32"/>
    <n v="36063"/>
    <n v="295.75904059999999"/>
  </r>
  <r>
    <x v="1"/>
    <x v="9"/>
    <x v="6"/>
    <x v="5"/>
    <n v="77577.98"/>
    <n v="2189.9899999999998"/>
    <n v="1137"/>
    <n v="68.230413369999994"/>
  </r>
  <r>
    <x v="0"/>
    <x v="6"/>
    <x v="6"/>
    <x v="6"/>
    <n v="2423093.73"/>
    <n v="78874"/>
    <n v="8239"/>
    <n v="294.10046490000002"/>
  </r>
  <r>
    <x v="2"/>
    <x v="9"/>
    <x v="7"/>
    <x v="1"/>
    <n v="521"/>
    <n v="0.88"/>
    <n v="7"/>
    <n v="74.428571430000005"/>
  </r>
  <r>
    <x v="1"/>
    <x v="3"/>
    <x v="8"/>
    <x v="3"/>
    <n v="174477.81"/>
    <n v="7626.8"/>
    <n v="10921"/>
    <n v="15.97635839"/>
  </r>
  <r>
    <x v="0"/>
    <x v="4"/>
    <x v="2"/>
    <x v="5"/>
    <n v="271169439.89999998"/>
    <n v="9361702.0500000007"/>
    <n v="3795526"/>
    <n v="71.444495410000002"/>
  </r>
  <r>
    <x v="1"/>
    <x v="2"/>
    <x v="7"/>
    <x v="8"/>
    <n v="34248703.359999999"/>
    <n v="1425202.76"/>
    <n v="991792"/>
    <n v="34.532143189999999"/>
  </r>
  <r>
    <x v="3"/>
    <x v="6"/>
    <x v="7"/>
    <x v="1"/>
    <n v="6791.07"/>
    <n v="224.02"/>
    <n v="95"/>
    <n v="71.48494737"/>
  </r>
  <r>
    <x v="2"/>
    <x v="8"/>
    <x v="4"/>
    <x v="1"/>
    <n v="55.68"/>
    <n v="2.2200000000000002"/>
    <n v="14"/>
    <n v="3.977142857"/>
  </r>
  <r>
    <x v="0"/>
    <x v="7"/>
    <x v="4"/>
    <x v="8"/>
    <n v="38628089.100000001"/>
    <n v="1493851.97"/>
    <n v="835170"/>
    <n v="46.25176802"/>
  </r>
  <r>
    <x v="0"/>
    <x v="2"/>
    <x v="1"/>
    <x v="5"/>
    <n v="81467087.530000001"/>
    <n v="3717986.11"/>
    <n v="3275378"/>
    <n v="24.872575789999999"/>
  </r>
  <r>
    <x v="2"/>
    <x v="5"/>
    <x v="0"/>
    <x v="2"/>
    <n v="2154.69"/>
    <n v="79.319999999999993"/>
    <n v="1824"/>
    <n v="1.181299342"/>
  </r>
  <r>
    <x v="1"/>
    <x v="6"/>
    <x v="4"/>
    <x v="0"/>
    <n v="8042101.75"/>
    <n v="200078.03"/>
    <n v="108383"/>
    <n v="74.200767189999993"/>
  </r>
  <r>
    <x v="3"/>
    <x v="3"/>
    <x v="9"/>
    <x v="2"/>
    <n v="76649623.450000003"/>
    <n v="2429583.6"/>
    <n v="346244"/>
    <n v="221.3745897"/>
  </r>
  <r>
    <x v="1"/>
    <x v="2"/>
    <x v="0"/>
    <x v="7"/>
    <n v="1180.94"/>
    <n v="66.650000000000006"/>
    <n v="548"/>
    <n v="2.1549999999999998"/>
  </r>
  <r>
    <x v="3"/>
    <x v="1"/>
    <x v="2"/>
    <x v="7"/>
    <n v="5759966.8600000003"/>
    <n v="170467.55"/>
    <n v="134938"/>
    <n v="42.686025139999998"/>
  </r>
  <r>
    <x v="0"/>
    <x v="2"/>
    <x v="1"/>
    <x v="2"/>
    <n v="32336411.629999999"/>
    <n v="1024659.12"/>
    <n v="230623"/>
    <n v="140.21329890000001"/>
  </r>
  <r>
    <x v="3"/>
    <x v="1"/>
    <x v="9"/>
    <x v="8"/>
    <n v="101215572.2"/>
    <n v="3147105.31"/>
    <n v="1645132"/>
    <n v="61.524286330000002"/>
  </r>
  <r>
    <x v="3"/>
    <x v="2"/>
    <x v="1"/>
    <x v="3"/>
    <n v="10328.44"/>
    <n v="433.97"/>
    <n v="1052"/>
    <n v="9.8179087450000004"/>
  </r>
  <r>
    <x v="2"/>
    <x v="3"/>
    <x v="6"/>
    <x v="0"/>
    <n v="27392020.84"/>
    <n v="990730.12"/>
    <n v="504395"/>
    <n v="54.306685909999999"/>
  </r>
  <r>
    <x v="0"/>
    <x v="1"/>
    <x v="8"/>
    <x v="7"/>
    <n v="44053871.090000004"/>
    <n v="1214731.42"/>
    <n v="601895"/>
    <n v="73.191953900000001"/>
  </r>
  <r>
    <x v="1"/>
    <x v="3"/>
    <x v="1"/>
    <x v="0"/>
    <n v="9966579.6400000006"/>
    <n v="376949.27"/>
    <n v="165677"/>
    <n v="60.156688250000002"/>
  </r>
  <r>
    <x v="2"/>
    <x v="5"/>
    <x v="0"/>
    <x v="0"/>
    <n v="966550.19"/>
    <n v="35336.019999999997"/>
    <n v="23468"/>
    <n v="41.185878219999999"/>
  </r>
  <r>
    <x v="1"/>
    <x v="4"/>
    <x v="8"/>
    <x v="3"/>
    <n v="1942789.58"/>
    <n v="67974.8"/>
    <n v="100155"/>
    <n v="19.397829160000001"/>
  </r>
  <r>
    <x v="3"/>
    <x v="3"/>
    <x v="3"/>
    <x v="5"/>
    <n v="63806433.32"/>
    <n v="2282329.44"/>
    <n v="844331"/>
    <n v="75.570402270000002"/>
  </r>
  <r>
    <x v="0"/>
    <x v="0"/>
    <x v="7"/>
    <x v="8"/>
    <n v="2155.69"/>
    <n v="103.33"/>
    <n v="47"/>
    <n v="45.865744679999999"/>
  </r>
  <r>
    <x v="2"/>
    <x v="6"/>
    <x v="7"/>
    <x v="0"/>
    <n v="4173213.44"/>
    <n v="107023.76"/>
    <n v="71250"/>
    <n v="58.5714167"/>
  </r>
  <r>
    <x v="2"/>
    <x v="5"/>
    <x v="7"/>
    <x v="8"/>
    <n v="2555277.39"/>
    <n v="109419.24"/>
    <n v="102962"/>
    <n v="24.81767438"/>
  </r>
  <r>
    <x v="0"/>
    <x v="6"/>
    <x v="0"/>
    <x v="11"/>
    <n v="82439061.829999998"/>
    <n v="2436141.38"/>
    <n v="220153"/>
    <n v="374.46258660000001"/>
  </r>
  <r>
    <x v="0"/>
    <x v="2"/>
    <x v="6"/>
    <x v="0"/>
    <n v="15776303.619999999"/>
    <n v="633395.80000000005"/>
    <n v="419523"/>
    <n v="37.605336579999999"/>
  </r>
  <r>
    <x v="2"/>
    <x v="5"/>
    <x v="8"/>
    <x v="4"/>
    <n v="2132860.56"/>
    <n v="71868.67"/>
    <n v="19073"/>
    <n v="111.826171"/>
  </r>
  <r>
    <x v="0"/>
    <x v="3"/>
    <x v="3"/>
    <x v="4"/>
    <n v="12750164.130000001"/>
    <n v="428671.11"/>
    <n v="34493"/>
    <n v="369.64497519999998"/>
  </r>
  <r>
    <x v="3"/>
    <x v="6"/>
    <x v="7"/>
    <x v="3"/>
    <n v="66487.44"/>
    <n v="2460.65"/>
    <n v="3419"/>
    <n v="19.446458029999999"/>
  </r>
  <r>
    <x v="0"/>
    <x v="6"/>
    <x v="2"/>
    <x v="6"/>
    <n v="3927486.43"/>
    <n v="122670.38"/>
    <n v="9363"/>
    <n v="419.46880590000001"/>
  </r>
  <r>
    <x v="3"/>
    <x v="4"/>
    <x v="1"/>
    <x v="4"/>
    <n v="11969872.210000001"/>
    <n v="418633.99"/>
    <n v="62250"/>
    <n v="192.28710380000001"/>
  </r>
  <r>
    <x v="0"/>
    <x v="3"/>
    <x v="6"/>
    <x v="3"/>
    <n v="256724.46"/>
    <n v="9108.86"/>
    <n v="13111"/>
    <n v="19.58084509"/>
  </r>
  <r>
    <x v="0"/>
    <x v="6"/>
    <x v="4"/>
    <x v="6"/>
    <n v="3292337.81"/>
    <n v="104792.56"/>
    <n v="9820"/>
    <n v="335.26861609999997"/>
  </r>
  <r>
    <x v="0"/>
    <x v="5"/>
    <x v="2"/>
    <x v="8"/>
    <n v="6256446"/>
    <n v="234044.52"/>
    <n v="174568"/>
    <n v="35.839592590000002"/>
  </r>
  <r>
    <x v="3"/>
    <x v="4"/>
    <x v="8"/>
    <x v="0"/>
    <n v="20797806.350000001"/>
    <n v="617259.41"/>
    <n v="272661"/>
    <n v="76.277158630000002"/>
  </r>
  <r>
    <x v="0"/>
    <x v="0"/>
    <x v="1"/>
    <x v="2"/>
    <n v="3231"/>
    <n v="95.5"/>
    <n v="6"/>
    <n v="538.5"/>
  </r>
  <r>
    <x v="2"/>
    <x v="1"/>
    <x v="9"/>
    <x v="5"/>
    <n v="366000358.19999999"/>
    <n v="10082824.779999999"/>
    <n v="5772260"/>
    <n v="63.406769310000001"/>
  </r>
  <r>
    <x v="2"/>
    <x v="0"/>
    <x v="8"/>
    <x v="2"/>
    <n v="6546.25"/>
    <n v="146.94999999999999"/>
    <n v="95"/>
    <n v="68.907894740000003"/>
  </r>
  <r>
    <x v="0"/>
    <x v="5"/>
    <x v="3"/>
    <x v="3"/>
    <n v="0"/>
    <n v="0"/>
    <n v="3"/>
    <n v="0"/>
  </r>
  <r>
    <x v="3"/>
    <x v="5"/>
    <x v="4"/>
    <x v="0"/>
    <n v="183837.43"/>
    <n v="7121.23"/>
    <n v="5237"/>
    <n v="35.103576480000001"/>
  </r>
  <r>
    <x v="3"/>
    <x v="3"/>
    <x v="1"/>
    <x v="3"/>
    <n v="69116.509999999995"/>
    <n v="3006.34"/>
    <n v="6738"/>
    <n v="10.257718909999999"/>
  </r>
  <r>
    <x v="0"/>
    <x v="4"/>
    <x v="2"/>
    <x v="0"/>
    <n v="49335985.560000002"/>
    <n v="1693432.22"/>
    <n v="864000"/>
    <n v="57.101835139999999"/>
  </r>
  <r>
    <x v="2"/>
    <x v="8"/>
    <x v="6"/>
    <x v="5"/>
    <n v="26642.31"/>
    <n v="759.77"/>
    <n v="699"/>
    <n v="38.114892699999999"/>
  </r>
  <r>
    <x v="2"/>
    <x v="4"/>
    <x v="1"/>
    <x v="0"/>
    <n v="28343629.510000002"/>
    <n v="990869.23"/>
    <n v="574164"/>
    <n v="49.365041189999999"/>
  </r>
  <r>
    <x v="3"/>
    <x v="9"/>
    <x v="6"/>
    <x v="1"/>
    <n v="183"/>
    <n v="0"/>
    <n v="2"/>
    <n v="91.5"/>
  </r>
  <r>
    <x v="3"/>
    <x v="2"/>
    <x v="6"/>
    <x v="6"/>
    <n v="6950779.2300000004"/>
    <n v="242838.7"/>
    <n v="56511"/>
    <n v="122.99869459999999"/>
  </r>
  <r>
    <x v="2"/>
    <x v="0"/>
    <x v="1"/>
    <x v="4"/>
    <n v="643"/>
    <n v="23.01"/>
    <n v="3"/>
    <n v="214.33333329999999"/>
  </r>
  <r>
    <x v="1"/>
    <x v="5"/>
    <x v="4"/>
    <x v="7"/>
    <n v="47699.43"/>
    <n v="1971.72"/>
    <n v="1979"/>
    <n v="24.102794339999999"/>
  </r>
  <r>
    <x v="3"/>
    <x v="4"/>
    <x v="0"/>
    <x v="8"/>
    <n v="275688711.10000002"/>
    <n v="8560671.8000000007"/>
    <n v="3258222"/>
    <n v="84.613237240000004"/>
  </r>
  <r>
    <x v="0"/>
    <x v="5"/>
    <x v="2"/>
    <x v="9"/>
    <n v="3302.28"/>
    <n v="115.25"/>
    <n v="72"/>
    <n v="45.865000000000002"/>
  </r>
  <r>
    <x v="2"/>
    <x v="1"/>
    <x v="5"/>
    <x v="3"/>
    <n v="23691859.57"/>
    <n v="771460.15"/>
    <n v="1507751"/>
    <n v="15.71337679"/>
  </r>
  <r>
    <x v="1"/>
    <x v="7"/>
    <x v="2"/>
    <x v="5"/>
    <n v="268945182.10000002"/>
    <n v="9192062.3399999999"/>
    <n v="3034936"/>
    <n v="88.616426200000006"/>
  </r>
  <r>
    <x v="0"/>
    <x v="8"/>
    <x v="0"/>
    <x v="8"/>
    <n v="15089.83"/>
    <n v="1494.19"/>
    <n v="3657"/>
    <n v="4.1262865739999999"/>
  </r>
  <r>
    <x v="3"/>
    <x v="3"/>
    <x v="0"/>
    <x v="4"/>
    <n v="19019767.649999999"/>
    <n v="612526.75"/>
    <n v="62418"/>
    <n v="304.71606989999998"/>
  </r>
  <r>
    <x v="0"/>
    <x v="8"/>
    <x v="2"/>
    <x v="6"/>
    <n v="2027.86"/>
    <n v="64.58"/>
    <n v="24"/>
    <n v="84.494166669999998"/>
  </r>
  <r>
    <x v="3"/>
    <x v="2"/>
    <x v="4"/>
    <x v="8"/>
    <n v="61927984.789999999"/>
    <n v="2450499.64"/>
    <n v="1559020"/>
    <n v="39.722379949999997"/>
  </r>
  <r>
    <x v="3"/>
    <x v="3"/>
    <x v="0"/>
    <x v="7"/>
    <n v="4275.4799999999996"/>
    <n v="241.02"/>
    <n v="675"/>
    <n v="6.3340444439999999"/>
  </r>
  <r>
    <x v="0"/>
    <x v="5"/>
    <x v="4"/>
    <x v="5"/>
    <n v="7441432.5899999999"/>
    <n v="294043.5"/>
    <n v="207839"/>
    <n v="35.803831760000001"/>
  </r>
  <r>
    <x v="3"/>
    <x v="3"/>
    <x v="0"/>
    <x v="1"/>
    <n v="0"/>
    <n v="0"/>
    <n v="7"/>
    <n v="0"/>
  </r>
  <r>
    <x v="3"/>
    <x v="1"/>
    <x v="4"/>
    <x v="2"/>
    <n v="6510005.7400000002"/>
    <n v="201087.3"/>
    <n v="35776"/>
    <n v="181.9657239"/>
  </r>
  <r>
    <x v="2"/>
    <x v="2"/>
    <x v="7"/>
    <x v="6"/>
    <n v="7883528.7999999998"/>
    <n v="282102.96999999997"/>
    <n v="68135"/>
    <n v="115.7045395"/>
  </r>
  <r>
    <x v="0"/>
    <x v="3"/>
    <x v="0"/>
    <x v="4"/>
    <n v="202692.38"/>
    <n v="3010.06"/>
    <n v="1077"/>
    <n v="188.2009099"/>
  </r>
  <r>
    <x v="2"/>
    <x v="1"/>
    <x v="9"/>
    <x v="1"/>
    <n v="2334734.94"/>
    <n v="75265.41"/>
    <n v="276142"/>
    <n v="8.4548346139999992"/>
  </r>
  <r>
    <x v="2"/>
    <x v="7"/>
    <x v="5"/>
    <x v="4"/>
    <n v="19413593.75"/>
    <n v="689648.2"/>
    <n v="158197"/>
    <n v="122.7178376"/>
  </r>
  <r>
    <x v="1"/>
    <x v="1"/>
    <x v="2"/>
    <x v="0"/>
    <n v="142724207.40000001"/>
    <n v="3023193.59"/>
    <n v="1772332"/>
    <n v="80.529047239999997"/>
  </r>
  <r>
    <x v="3"/>
    <x v="6"/>
    <x v="0"/>
    <x v="11"/>
    <n v="90770292.829999998"/>
    <n v="2602244.84"/>
    <n v="206110"/>
    <n v="440.39732579999998"/>
  </r>
  <r>
    <x v="2"/>
    <x v="2"/>
    <x v="3"/>
    <x v="7"/>
    <n v="227146.55"/>
    <n v="8720.4699999999993"/>
    <n v="5028"/>
    <n v="45.176322589999998"/>
  </r>
  <r>
    <x v="1"/>
    <x v="1"/>
    <x v="0"/>
    <x v="3"/>
    <n v="575.64"/>
    <n v="195.52"/>
    <n v="35497"/>
    <n v="1.6216581680000001E-2"/>
  </r>
  <r>
    <x v="1"/>
    <x v="7"/>
    <x v="0"/>
    <x v="6"/>
    <n v="65912.5"/>
    <n v="1486.9"/>
    <n v="714"/>
    <n v="92.31442577"/>
  </r>
  <r>
    <x v="0"/>
    <x v="3"/>
    <x v="0"/>
    <x v="6"/>
    <n v="38448301.189999998"/>
    <n v="1228295.6100000001"/>
    <n v="115672"/>
    <n v="332.39073580000002"/>
  </r>
  <r>
    <x v="2"/>
    <x v="9"/>
    <x v="9"/>
    <x v="1"/>
    <n v="813.85"/>
    <n v="0.68"/>
    <n v="17"/>
    <n v="47.873529410000003"/>
  </r>
  <r>
    <x v="1"/>
    <x v="5"/>
    <x v="4"/>
    <x v="8"/>
    <n v="5106577.93"/>
    <n v="211895.07"/>
    <n v="186641"/>
    <n v="27.360429539999998"/>
  </r>
  <r>
    <x v="2"/>
    <x v="2"/>
    <x v="0"/>
    <x v="11"/>
    <n v="190915599.90000001"/>
    <n v="6208857.9500000002"/>
    <n v="1039537"/>
    <n v="183.6544537"/>
  </r>
  <r>
    <x v="2"/>
    <x v="8"/>
    <x v="9"/>
    <x v="2"/>
    <n v="45128.17"/>
    <n v="840.21"/>
    <n v="812"/>
    <n v="55.576564040000001"/>
  </r>
  <r>
    <x v="2"/>
    <x v="4"/>
    <x v="7"/>
    <x v="3"/>
    <n v="1072117.8899999999"/>
    <n v="36988.21"/>
    <n v="64899"/>
    <n v="16.5197906"/>
  </r>
  <r>
    <x v="1"/>
    <x v="3"/>
    <x v="7"/>
    <x v="0"/>
    <n v="10663529.07"/>
    <n v="383082.6"/>
    <n v="185191"/>
    <n v="57.581248930000001"/>
  </r>
  <r>
    <x v="0"/>
    <x v="8"/>
    <x v="5"/>
    <x v="0"/>
    <n v="195.53"/>
    <n v="39.89"/>
    <n v="70"/>
    <n v="2.793285714"/>
  </r>
  <r>
    <x v="1"/>
    <x v="2"/>
    <x v="5"/>
    <x v="7"/>
    <n v="402944.74"/>
    <n v="16048.13"/>
    <n v="10284"/>
    <n v="39.181713340000002"/>
  </r>
  <r>
    <x v="3"/>
    <x v="2"/>
    <x v="4"/>
    <x v="5"/>
    <n v="275777509.60000002"/>
    <n v="11741963.859999999"/>
    <n v="9079038"/>
    <n v="30.375190589999999"/>
  </r>
  <r>
    <x v="0"/>
    <x v="6"/>
    <x v="9"/>
    <x v="5"/>
    <n v="13472221.93"/>
    <n v="519828.61"/>
    <n v="298530"/>
    <n v="45.128536259999997"/>
  </r>
  <r>
    <x v="3"/>
    <x v="2"/>
    <x v="9"/>
    <x v="1"/>
    <n v="58733.440000000002"/>
    <n v="1956.56"/>
    <n v="856"/>
    <n v="68.613831779999998"/>
  </r>
  <r>
    <x v="1"/>
    <x v="5"/>
    <x v="0"/>
    <x v="7"/>
    <n v="4.8899999999999997"/>
    <n v="0.45"/>
    <n v="156"/>
    <n v="3.1346153850000003E-2"/>
  </r>
  <r>
    <x v="2"/>
    <x v="2"/>
    <x v="8"/>
    <x v="0"/>
    <n v="4064333.27"/>
    <n v="151332.01999999999"/>
    <n v="73643"/>
    <n v="55.189675459999997"/>
  </r>
  <r>
    <x v="0"/>
    <x v="6"/>
    <x v="8"/>
    <x v="10"/>
    <n v="15790947.33"/>
    <n v="16744.63"/>
    <n v="60321"/>
    <n v="261.7819222"/>
  </r>
  <r>
    <x v="3"/>
    <x v="1"/>
    <x v="4"/>
    <x v="6"/>
    <n v="951482.01"/>
    <n v="25701.14"/>
    <n v="2325"/>
    <n v="409.23957419999999"/>
  </r>
  <r>
    <x v="3"/>
    <x v="9"/>
    <x v="0"/>
    <x v="8"/>
    <n v="-47.4"/>
    <n v="0"/>
    <n v="2"/>
    <n v="-23.7"/>
  </r>
  <r>
    <x v="2"/>
    <x v="0"/>
    <x v="9"/>
    <x v="2"/>
    <n v="2647.62"/>
    <n v="52.1"/>
    <n v="17"/>
    <n v="155.74235289999999"/>
  </r>
  <r>
    <x v="2"/>
    <x v="8"/>
    <x v="5"/>
    <x v="4"/>
    <n v="411.94"/>
    <n v="15.12"/>
    <n v="8"/>
    <n v="51.4925"/>
  </r>
  <r>
    <x v="3"/>
    <x v="4"/>
    <x v="5"/>
    <x v="2"/>
    <n v="18003410.879999999"/>
    <n v="622049.93000000005"/>
    <n v="113423"/>
    <n v="158.72804350000001"/>
  </r>
  <r>
    <x v="0"/>
    <x v="1"/>
    <x v="0"/>
    <x v="11"/>
    <n v="826333158.20000005"/>
    <n v="20878543.34"/>
    <n v="1162939"/>
    <n v="710.55589169999996"/>
  </r>
  <r>
    <x v="0"/>
    <x v="4"/>
    <x v="5"/>
    <x v="1"/>
    <n v="7317433.9199999999"/>
    <n v="248679.34"/>
    <n v="181524"/>
    <n v="40.311109940000001"/>
  </r>
  <r>
    <x v="2"/>
    <x v="8"/>
    <x v="9"/>
    <x v="1"/>
    <n v="19"/>
    <n v="0"/>
    <n v="11"/>
    <n v="1.7272727269999999"/>
  </r>
  <r>
    <x v="2"/>
    <x v="4"/>
    <x v="6"/>
    <x v="4"/>
    <n v="33886572.299999997"/>
    <n v="1164581.19"/>
    <n v="150239"/>
    <n v="225.55110389999999"/>
  </r>
  <r>
    <x v="3"/>
    <x v="1"/>
    <x v="5"/>
    <x v="4"/>
    <n v="2078214.31"/>
    <n v="55760.67"/>
    <n v="7014"/>
    <n v="296.29516819999998"/>
  </r>
  <r>
    <x v="0"/>
    <x v="2"/>
    <x v="8"/>
    <x v="9"/>
    <n v="1027028.08"/>
    <n v="7659.11"/>
    <n v="12961"/>
    <n v="79.239879639999998"/>
  </r>
  <r>
    <x v="3"/>
    <x v="6"/>
    <x v="5"/>
    <x v="5"/>
    <n v="18629895.57"/>
    <n v="754760.23"/>
    <n v="513206"/>
    <n v="36.301008889999999"/>
  </r>
  <r>
    <x v="3"/>
    <x v="5"/>
    <x v="5"/>
    <x v="6"/>
    <n v="140687.85"/>
    <n v="5377.64"/>
    <n v="2447"/>
    <n v="57.494013080000002"/>
  </r>
  <r>
    <x v="0"/>
    <x v="1"/>
    <x v="5"/>
    <x v="8"/>
    <n v="85781720.510000005"/>
    <n v="3177439.61"/>
    <n v="2382044"/>
    <n v="36.01181192"/>
  </r>
  <r>
    <x v="3"/>
    <x v="5"/>
    <x v="9"/>
    <x v="2"/>
    <n v="4720291.53"/>
    <n v="164135"/>
    <n v="63051"/>
    <n v="74.864657660000006"/>
  </r>
  <r>
    <x v="1"/>
    <x v="5"/>
    <x v="0"/>
    <x v="5"/>
    <n v="840984.92"/>
    <n v="31266.15"/>
    <n v="19698"/>
    <n v="42.693924260000003"/>
  </r>
  <r>
    <x v="1"/>
    <x v="8"/>
    <x v="6"/>
    <x v="2"/>
    <n v="26959.119999999999"/>
    <n v="515.70000000000005"/>
    <n v="464"/>
    <n v="58.101551720000003"/>
  </r>
  <r>
    <x v="2"/>
    <x v="8"/>
    <x v="8"/>
    <x v="2"/>
    <n v="53019.76"/>
    <n v="1853.24"/>
    <n v="1888"/>
    <n v="28.0825"/>
  </r>
  <r>
    <x v="0"/>
    <x v="7"/>
    <x v="0"/>
    <x v="7"/>
    <n v="19.84"/>
    <n v="3.05"/>
    <n v="14"/>
    <n v="1.417142857"/>
  </r>
  <r>
    <x v="3"/>
    <x v="2"/>
    <x v="5"/>
    <x v="4"/>
    <n v="7710448.96"/>
    <n v="291115.84999999998"/>
    <n v="104362"/>
    <n v="73.881766929999998"/>
  </r>
  <r>
    <x v="2"/>
    <x v="6"/>
    <x v="8"/>
    <x v="10"/>
    <n v="10908170.130000001"/>
    <n v="10886.28"/>
    <n v="43668"/>
    <n v="249.79779540000001"/>
  </r>
  <r>
    <x v="3"/>
    <x v="4"/>
    <x v="3"/>
    <x v="5"/>
    <n v="80590065.549999997"/>
    <n v="2555101.7200000002"/>
    <n v="842654"/>
    <n v="95.638382480000004"/>
  </r>
  <r>
    <x v="2"/>
    <x v="2"/>
    <x v="0"/>
    <x v="5"/>
    <n v="341576.14"/>
    <n v="12927.31"/>
    <n v="32172"/>
    <n v="10.61718699"/>
  </r>
  <r>
    <x v="3"/>
    <x v="5"/>
    <x v="4"/>
    <x v="4"/>
    <n v="886177.61"/>
    <n v="30851.119999999999"/>
    <n v="10562"/>
    <n v="83.902443669999997"/>
  </r>
  <r>
    <x v="0"/>
    <x v="9"/>
    <x v="6"/>
    <x v="8"/>
    <n v="1399.7"/>
    <n v="124.04"/>
    <n v="120"/>
    <n v="11.66416667"/>
  </r>
  <r>
    <x v="2"/>
    <x v="7"/>
    <x v="0"/>
    <x v="1"/>
    <n v="256.58"/>
    <n v="8.0399999999999991"/>
    <n v="2"/>
    <n v="128.29"/>
  </r>
  <r>
    <x v="3"/>
    <x v="7"/>
    <x v="9"/>
    <x v="6"/>
    <n v="8961550.1899999995"/>
    <n v="278731.87"/>
    <n v="41669"/>
    <n v="215.0651609"/>
  </r>
  <r>
    <x v="0"/>
    <x v="2"/>
    <x v="4"/>
    <x v="3"/>
    <n v="18119.11"/>
    <n v="695.06"/>
    <n v="1207"/>
    <n v="15.011690140000001"/>
  </r>
  <r>
    <x v="1"/>
    <x v="6"/>
    <x v="0"/>
    <x v="6"/>
    <n v="5080682.4400000004"/>
    <n v="157009.09"/>
    <n v="15832"/>
    <n v="320.9122309"/>
  </r>
  <r>
    <x v="0"/>
    <x v="3"/>
    <x v="4"/>
    <x v="4"/>
    <n v="55609941.68"/>
    <n v="1994341.51"/>
    <n v="248041"/>
    <n v="224.1965711"/>
  </r>
  <r>
    <x v="3"/>
    <x v="7"/>
    <x v="2"/>
    <x v="2"/>
    <n v="113170652.90000001"/>
    <n v="3154544.74"/>
    <n v="702868"/>
    <n v="161.01266939999999"/>
  </r>
  <r>
    <x v="1"/>
    <x v="8"/>
    <x v="5"/>
    <x v="4"/>
    <n v="139.65"/>
    <n v="9.34"/>
    <n v="4"/>
    <n v="34.912500000000001"/>
  </r>
  <r>
    <x v="0"/>
    <x v="2"/>
    <x v="9"/>
    <x v="0"/>
    <n v="20358952.68"/>
    <n v="801834.99"/>
    <n v="519141"/>
    <n v="39.216614909999997"/>
  </r>
  <r>
    <x v="1"/>
    <x v="5"/>
    <x v="6"/>
    <x v="2"/>
    <n v="3511406.34"/>
    <n v="126670.49"/>
    <n v="54455"/>
    <n v="64.482716740000001"/>
  </r>
  <r>
    <x v="1"/>
    <x v="8"/>
    <x v="6"/>
    <x v="8"/>
    <n v="2736.73"/>
    <n v="280.76"/>
    <n v="593"/>
    <n v="4.6150590219999996"/>
  </r>
  <r>
    <x v="0"/>
    <x v="7"/>
    <x v="1"/>
    <x v="6"/>
    <n v="11372550.789999999"/>
    <n v="366934.68"/>
    <n v="53078"/>
    <n v="214.2611023"/>
  </r>
  <r>
    <x v="3"/>
    <x v="8"/>
    <x v="1"/>
    <x v="7"/>
    <n v="0"/>
    <n v="0"/>
    <n v="13"/>
    <n v="0"/>
  </r>
  <r>
    <x v="0"/>
    <x v="6"/>
    <x v="5"/>
    <x v="4"/>
    <n v="795210.81"/>
    <n v="28183.21"/>
    <n v="5530"/>
    <n v="143.79942310000001"/>
  </r>
  <r>
    <x v="3"/>
    <x v="6"/>
    <x v="7"/>
    <x v="8"/>
    <n v="3274007.26"/>
    <n v="111593.39"/>
    <n v="63386"/>
    <n v="51.651898840000001"/>
  </r>
  <r>
    <x v="0"/>
    <x v="0"/>
    <x v="6"/>
    <x v="2"/>
    <n v="5113.8100000000004"/>
    <n v="147.28"/>
    <n v="26"/>
    <n v="196.685"/>
  </r>
  <r>
    <x v="1"/>
    <x v="8"/>
    <x v="7"/>
    <x v="6"/>
    <n v="79.86"/>
    <n v="4.66"/>
    <n v="5"/>
    <n v="15.972"/>
  </r>
  <r>
    <x v="1"/>
    <x v="8"/>
    <x v="8"/>
    <x v="3"/>
    <n v="0"/>
    <n v="0"/>
    <n v="2"/>
    <n v="0"/>
  </r>
  <r>
    <x v="1"/>
    <x v="4"/>
    <x v="6"/>
    <x v="0"/>
    <n v="55986464.710000001"/>
    <n v="1775476.34"/>
    <n v="1063337"/>
    <n v="52.651666130000002"/>
  </r>
  <r>
    <x v="3"/>
    <x v="3"/>
    <x v="8"/>
    <x v="0"/>
    <n v="6885794.5700000003"/>
    <n v="239692.2"/>
    <n v="113825"/>
    <n v="60.494571229999998"/>
  </r>
  <r>
    <x v="2"/>
    <x v="2"/>
    <x v="0"/>
    <x v="7"/>
    <n v="3913.12"/>
    <n v="75.81"/>
    <n v="559"/>
    <n v="7.000214669"/>
  </r>
  <r>
    <x v="3"/>
    <x v="9"/>
    <x v="7"/>
    <x v="1"/>
    <n v="12"/>
    <n v="0"/>
    <n v="3"/>
    <n v="4"/>
  </r>
  <r>
    <x v="2"/>
    <x v="3"/>
    <x v="2"/>
    <x v="3"/>
    <n v="88338.19"/>
    <n v="2560.11"/>
    <n v="4561"/>
    <n v="19.368162680000001"/>
  </r>
  <r>
    <x v="3"/>
    <x v="3"/>
    <x v="0"/>
    <x v="3"/>
    <n v="26.21"/>
    <n v="0.65"/>
    <n v="1"/>
    <n v="26.21"/>
  </r>
  <r>
    <x v="1"/>
    <x v="3"/>
    <x v="5"/>
    <x v="0"/>
    <n v="5609830.5800000001"/>
    <n v="202739.43"/>
    <n v="95413"/>
    <n v="58.795243630000002"/>
  </r>
  <r>
    <x v="2"/>
    <x v="5"/>
    <x v="6"/>
    <x v="2"/>
    <n v="3883128.82"/>
    <n v="120304.97"/>
    <n v="57940"/>
    <n v="67.019827750000005"/>
  </r>
  <r>
    <x v="3"/>
    <x v="1"/>
    <x v="7"/>
    <x v="6"/>
    <n v="830941.55"/>
    <n v="22032.5"/>
    <n v="1646"/>
    <n v="504.82475699999998"/>
  </r>
  <r>
    <x v="0"/>
    <x v="4"/>
    <x v="1"/>
    <x v="1"/>
    <n v="3901443.28"/>
    <n v="134973.04"/>
    <n v="107569"/>
    <n v="36.269215850000002"/>
  </r>
  <r>
    <x v="2"/>
    <x v="5"/>
    <x v="9"/>
    <x v="5"/>
    <n v="6678488.25"/>
    <n v="254645.54"/>
    <n v="163682"/>
    <n v="40.801604640000001"/>
  </r>
  <r>
    <x v="2"/>
    <x v="2"/>
    <x v="8"/>
    <x v="3"/>
    <n v="8583.92"/>
    <n v="378.34"/>
    <n v="581"/>
    <n v="14.774388979999999"/>
  </r>
  <r>
    <x v="2"/>
    <x v="1"/>
    <x v="4"/>
    <x v="5"/>
    <n v="388591185.30000001"/>
    <n v="10785127.949999999"/>
    <n v="6601683"/>
    <n v="58.862442399999999"/>
  </r>
  <r>
    <x v="1"/>
    <x v="2"/>
    <x v="7"/>
    <x v="4"/>
    <n v="11435831.84"/>
    <n v="423434.09"/>
    <n v="117553"/>
    <n v="97.282347880000003"/>
  </r>
  <r>
    <x v="1"/>
    <x v="5"/>
    <x v="9"/>
    <x v="7"/>
    <n v="56862.62"/>
    <n v="2309.31"/>
    <n v="3284"/>
    <n v="17.31504872"/>
  </r>
  <r>
    <x v="3"/>
    <x v="6"/>
    <x v="0"/>
    <x v="0"/>
    <n v="1517633.06"/>
    <n v="51616.98"/>
    <n v="21325"/>
    <n v="71.166849240000005"/>
  </r>
  <r>
    <x v="1"/>
    <x v="2"/>
    <x v="6"/>
    <x v="8"/>
    <n v="58679616.240000002"/>
    <n v="2360992.4500000002"/>
    <n v="1545288"/>
    <n v="37.973255629999997"/>
  </r>
  <r>
    <x v="3"/>
    <x v="3"/>
    <x v="4"/>
    <x v="1"/>
    <n v="73547.95"/>
    <n v="2392.52"/>
    <n v="1119"/>
    <n v="65.726496870000005"/>
  </r>
  <r>
    <x v="1"/>
    <x v="9"/>
    <x v="5"/>
    <x v="1"/>
    <n v="168.5"/>
    <n v="0"/>
    <n v="2"/>
    <n v="84.25"/>
  </r>
  <r>
    <x v="1"/>
    <x v="9"/>
    <x v="5"/>
    <x v="8"/>
    <n v="174.58"/>
    <n v="25.32"/>
    <n v="32"/>
    <n v="5.4556250000000004"/>
  </r>
  <r>
    <x v="1"/>
    <x v="3"/>
    <x v="0"/>
    <x v="8"/>
    <n v="468072420.39999998"/>
    <n v="15784288.050000001"/>
    <n v="5054077"/>
    <n v="92.612839179999995"/>
  </r>
  <r>
    <x v="0"/>
    <x v="1"/>
    <x v="5"/>
    <x v="4"/>
    <n v="5582226.0199999996"/>
    <n v="167615.29999999999"/>
    <n v="20859"/>
    <n v="267.61714460000002"/>
  </r>
  <r>
    <x v="3"/>
    <x v="1"/>
    <x v="1"/>
    <x v="6"/>
    <n v="508351.72"/>
    <n v="16260.52"/>
    <n v="1019"/>
    <n v="498.8731305"/>
  </r>
  <r>
    <x v="2"/>
    <x v="1"/>
    <x v="4"/>
    <x v="2"/>
    <n v="7987492.3799999999"/>
    <n v="261154.87"/>
    <n v="54184"/>
    <n v="147.4142252"/>
  </r>
  <r>
    <x v="0"/>
    <x v="5"/>
    <x v="7"/>
    <x v="2"/>
    <n v="3152184.91"/>
    <n v="79939.47"/>
    <n v="48743"/>
    <n v="64.669489159999998"/>
  </r>
  <r>
    <x v="3"/>
    <x v="7"/>
    <x v="6"/>
    <x v="2"/>
    <n v="213279465.59999999"/>
    <n v="5946516.9199999999"/>
    <n v="1695884"/>
    <n v="125.7630036"/>
  </r>
  <r>
    <x v="3"/>
    <x v="1"/>
    <x v="7"/>
    <x v="4"/>
    <n v="3748378.59"/>
    <n v="104844.88"/>
    <n v="12435"/>
    <n v="301.43776359999998"/>
  </r>
  <r>
    <x v="2"/>
    <x v="1"/>
    <x v="7"/>
    <x v="2"/>
    <n v="6612338.6399999997"/>
    <n v="226447.25"/>
    <n v="47560"/>
    <n v="139.0315105"/>
  </r>
  <r>
    <x v="3"/>
    <x v="2"/>
    <x v="9"/>
    <x v="2"/>
    <n v="53335907.009999998"/>
    <n v="1789147.38"/>
    <n v="371416"/>
    <n v="143.60153310000001"/>
  </r>
  <r>
    <x v="1"/>
    <x v="6"/>
    <x v="2"/>
    <x v="6"/>
    <n v="2949899.13"/>
    <n v="89541.72"/>
    <n v="7412"/>
    <n v="397.98962899999998"/>
  </r>
  <r>
    <x v="0"/>
    <x v="8"/>
    <x v="0"/>
    <x v="5"/>
    <n v="1984.05"/>
    <n v="78.52"/>
    <n v="81"/>
    <n v="24.494444439999999"/>
  </r>
  <r>
    <x v="1"/>
    <x v="4"/>
    <x v="9"/>
    <x v="0"/>
    <n v="73618296.299999997"/>
    <n v="2319226.2999999998"/>
    <n v="1330994"/>
    <n v="55.31076496"/>
  </r>
  <r>
    <x v="1"/>
    <x v="6"/>
    <x v="6"/>
    <x v="5"/>
    <n v="32071140.91"/>
    <n v="1286208.99"/>
    <n v="748794"/>
    <n v="42.83039248"/>
  </r>
  <r>
    <x v="0"/>
    <x v="2"/>
    <x v="8"/>
    <x v="6"/>
    <n v="34711799.43"/>
    <n v="1149146.28"/>
    <n v="155915"/>
    <n v="222.6328412"/>
  </r>
  <r>
    <x v="1"/>
    <x v="4"/>
    <x v="0"/>
    <x v="3"/>
    <n v="1088.3599999999999"/>
    <n v="57.24"/>
    <n v="4404"/>
    <n v="0.24712988189999999"/>
  </r>
  <r>
    <x v="0"/>
    <x v="4"/>
    <x v="0"/>
    <x v="8"/>
    <n v="508780669.30000001"/>
    <n v="15732348.109999999"/>
    <n v="5392638"/>
    <n v="94.347269229999995"/>
  </r>
  <r>
    <x v="0"/>
    <x v="4"/>
    <x v="7"/>
    <x v="0"/>
    <n v="82330779.939999998"/>
    <n v="2734667.32"/>
    <n v="1728513"/>
    <n v="47.630986829999998"/>
  </r>
  <r>
    <x v="3"/>
    <x v="3"/>
    <x v="4"/>
    <x v="5"/>
    <n v="626640370.79999995"/>
    <n v="24379667.140000001"/>
    <n v="12241177"/>
    <n v="51.191186180000003"/>
  </r>
  <r>
    <x v="3"/>
    <x v="5"/>
    <x v="8"/>
    <x v="8"/>
    <n v="3284266.09"/>
    <n v="141020.49"/>
    <n v="185140"/>
    <n v="17.739365289999999"/>
  </r>
  <r>
    <x v="1"/>
    <x v="8"/>
    <x v="0"/>
    <x v="5"/>
    <n v="-1011.55"/>
    <n v="74.03"/>
    <n v="89"/>
    <n v="-11.365730340000001"/>
  </r>
  <r>
    <x v="2"/>
    <x v="3"/>
    <x v="3"/>
    <x v="7"/>
    <n v="835839.41"/>
    <n v="31579.599999999999"/>
    <n v="16296"/>
    <n v="51.29107818"/>
  </r>
  <r>
    <x v="1"/>
    <x v="2"/>
    <x v="5"/>
    <x v="1"/>
    <n v="211183.52"/>
    <n v="8197.14"/>
    <n v="7683"/>
    <n v="27.487117009999999"/>
  </r>
  <r>
    <x v="1"/>
    <x v="5"/>
    <x v="2"/>
    <x v="4"/>
    <n v="1281099.82"/>
    <n v="42978.42"/>
    <n v="11192"/>
    <n v="114.4656737"/>
  </r>
  <r>
    <x v="3"/>
    <x v="1"/>
    <x v="1"/>
    <x v="2"/>
    <n v="3251540.77"/>
    <n v="109833.16"/>
    <n v="23130"/>
    <n v="140.5767735"/>
  </r>
  <r>
    <x v="0"/>
    <x v="9"/>
    <x v="0"/>
    <x v="5"/>
    <n v="9719.3700000000008"/>
    <n v="264.60000000000002"/>
    <n v="71"/>
    <n v="136.8925352"/>
  </r>
  <r>
    <x v="0"/>
    <x v="9"/>
    <x v="2"/>
    <x v="1"/>
    <n v="663.34"/>
    <n v="14.58"/>
    <n v="19"/>
    <n v="34.912631580000003"/>
  </r>
  <r>
    <x v="1"/>
    <x v="4"/>
    <x v="0"/>
    <x v="6"/>
    <n v="5767693.1900000004"/>
    <n v="176944.18"/>
    <n v="16665"/>
    <n v="346.09620100000001"/>
  </r>
  <r>
    <x v="1"/>
    <x v="3"/>
    <x v="0"/>
    <x v="3"/>
    <n v="19.97"/>
    <n v="0.54"/>
    <n v="1"/>
    <n v="19.97"/>
  </r>
  <r>
    <x v="0"/>
    <x v="1"/>
    <x v="2"/>
    <x v="2"/>
    <n v="3601066.41"/>
    <n v="120549.57"/>
    <n v="21945"/>
    <n v="164.09507450000001"/>
  </r>
  <r>
    <x v="2"/>
    <x v="1"/>
    <x v="5"/>
    <x v="8"/>
    <n v="72024375.530000001"/>
    <n v="2759041.5"/>
    <n v="2322127"/>
    <n v="31.016553160000001"/>
  </r>
  <r>
    <x v="2"/>
    <x v="4"/>
    <x v="0"/>
    <x v="0"/>
    <n v="15237682.93"/>
    <n v="475280.14"/>
    <n v="210270"/>
    <n v="72.467222759999999"/>
  </r>
  <r>
    <x v="1"/>
    <x v="8"/>
    <x v="1"/>
    <x v="3"/>
    <n v="0"/>
    <n v="0"/>
    <n v="50"/>
    <n v="0"/>
  </r>
  <r>
    <x v="3"/>
    <x v="3"/>
    <x v="8"/>
    <x v="8"/>
    <n v="96514027.019999996"/>
    <n v="3619321.23"/>
    <n v="1655196"/>
    <n v="58.309727080000002"/>
  </r>
  <r>
    <x v="1"/>
    <x v="4"/>
    <x v="5"/>
    <x v="1"/>
    <n v="167470.14000000001"/>
    <n v="5460.27"/>
    <n v="3534"/>
    <n v="47.388268250000003"/>
  </r>
  <r>
    <x v="3"/>
    <x v="9"/>
    <x v="1"/>
    <x v="2"/>
    <n v="40598.730000000003"/>
    <n v="985.49"/>
    <n v="237"/>
    <n v="171.3026582"/>
  </r>
  <r>
    <x v="0"/>
    <x v="8"/>
    <x v="1"/>
    <x v="6"/>
    <n v="2907.26"/>
    <n v="140.19"/>
    <n v="31"/>
    <n v="93.78258065"/>
  </r>
  <r>
    <x v="0"/>
    <x v="0"/>
    <x v="8"/>
    <x v="10"/>
    <n v="6314.07"/>
    <n v="45.65"/>
    <n v="186"/>
    <n v="33.946612899999998"/>
  </r>
  <r>
    <x v="1"/>
    <x v="7"/>
    <x v="9"/>
    <x v="2"/>
    <n v="274498820.30000001"/>
    <n v="7369610.8600000003"/>
    <n v="1802733"/>
    <n v="152.2681508"/>
  </r>
  <r>
    <x v="0"/>
    <x v="5"/>
    <x v="5"/>
    <x v="6"/>
    <n v="223751.18"/>
    <n v="8489.33"/>
    <n v="3805"/>
    <n v="58.804515109999997"/>
  </r>
  <r>
    <x v="1"/>
    <x v="5"/>
    <x v="0"/>
    <x v="5"/>
    <n v="28187.89"/>
    <n v="901.08"/>
    <n v="1580"/>
    <n v="17.840436709999999"/>
  </r>
  <r>
    <x v="3"/>
    <x v="2"/>
    <x v="1"/>
    <x v="8"/>
    <n v="57670609.710000001"/>
    <n v="2243579.7400000002"/>
    <n v="1145358"/>
    <n v="50.351601600000002"/>
  </r>
  <r>
    <x v="2"/>
    <x v="0"/>
    <x v="7"/>
    <x v="8"/>
    <n v="589.41"/>
    <n v="29.92"/>
    <n v="19"/>
    <n v="31.021578949999999"/>
  </r>
  <r>
    <x v="2"/>
    <x v="1"/>
    <x v="6"/>
    <x v="5"/>
    <n v="378736395.60000002"/>
    <n v="10554648.99"/>
    <n v="6710329"/>
    <n v="56.44080872"/>
  </r>
  <r>
    <x v="2"/>
    <x v="4"/>
    <x v="5"/>
    <x v="3"/>
    <n v="610017.72"/>
    <n v="22537.61"/>
    <n v="34157"/>
    <n v="17.859230029999999"/>
  </r>
  <r>
    <x v="1"/>
    <x v="3"/>
    <x v="9"/>
    <x v="7"/>
    <n v="6381122.7800000003"/>
    <n v="240894.97"/>
    <n v="129231"/>
    <n v="49.377647619999998"/>
  </r>
  <r>
    <x v="2"/>
    <x v="1"/>
    <x v="8"/>
    <x v="3"/>
    <n v="64808101.460000001"/>
    <n v="1869453.15"/>
    <n v="3001356"/>
    <n v="21.592940479999999"/>
  </r>
  <r>
    <x v="0"/>
    <x v="2"/>
    <x v="8"/>
    <x v="4"/>
    <n v="47769021.43"/>
    <n v="1604118.28"/>
    <n v="219833"/>
    <n v="217.29686369999999"/>
  </r>
  <r>
    <x v="0"/>
    <x v="4"/>
    <x v="4"/>
    <x v="1"/>
    <n v="12591366.41"/>
    <n v="422714.12"/>
    <n v="296737"/>
    <n v="42.432748220000001"/>
  </r>
  <r>
    <x v="0"/>
    <x v="1"/>
    <x v="3"/>
    <x v="5"/>
    <n v="44926313.859999999"/>
    <n v="1230300.6100000001"/>
    <n v="545980"/>
    <n v="82.285640240000006"/>
  </r>
  <r>
    <x v="3"/>
    <x v="4"/>
    <x v="9"/>
    <x v="7"/>
    <n v="10238484.33"/>
    <n v="331353.23"/>
    <n v="169366"/>
    <n v="60.451828169999999"/>
  </r>
  <r>
    <x v="3"/>
    <x v="0"/>
    <x v="7"/>
    <x v="2"/>
    <n v="3871.66"/>
    <n v="35.07"/>
    <n v="49"/>
    <n v="79.013469389999997"/>
  </r>
  <r>
    <x v="1"/>
    <x v="3"/>
    <x v="0"/>
    <x v="4"/>
    <n v="165674.32999999999"/>
    <n v="2485.44"/>
    <n v="1328"/>
    <n v="124.7547666"/>
  </r>
  <r>
    <x v="2"/>
    <x v="8"/>
    <x v="7"/>
    <x v="6"/>
    <n v="2247.36"/>
    <n v="74.94"/>
    <n v="8"/>
    <n v="280.92"/>
  </r>
  <r>
    <x v="1"/>
    <x v="9"/>
    <x v="6"/>
    <x v="1"/>
    <n v="112.79"/>
    <n v="0"/>
    <n v="7"/>
    <n v="16.112857139999999"/>
  </r>
  <r>
    <x v="2"/>
    <x v="3"/>
    <x v="8"/>
    <x v="5"/>
    <n v="560136100.29999995"/>
    <n v="19874864.969999999"/>
    <n v="7653967"/>
    <n v="73.182455619999999"/>
  </r>
  <r>
    <x v="0"/>
    <x v="1"/>
    <x v="9"/>
    <x v="4"/>
    <n v="10255808.619999999"/>
    <n v="331583.96999999997"/>
    <n v="35807"/>
    <n v="286.4190974"/>
  </r>
  <r>
    <x v="2"/>
    <x v="2"/>
    <x v="0"/>
    <x v="0"/>
    <n v="16304.82"/>
    <n v="479.72"/>
    <n v="2313"/>
    <n v="7.0492088199999996"/>
  </r>
  <r>
    <x v="2"/>
    <x v="3"/>
    <x v="4"/>
    <x v="0"/>
    <n v="32756572.350000001"/>
    <n v="1181216.19"/>
    <n v="594243"/>
    <n v="55.123194300000002"/>
  </r>
  <r>
    <x v="3"/>
    <x v="4"/>
    <x v="9"/>
    <x v="5"/>
    <n v="661500444.70000005"/>
    <n v="21934338.870000001"/>
    <n v="8972010"/>
    <n v="73.729347680000004"/>
  </r>
  <r>
    <x v="3"/>
    <x v="3"/>
    <x v="3"/>
    <x v="6"/>
    <n v="3848095.4"/>
    <n v="123893.64"/>
    <n v="11325"/>
    <n v="339.78767329999999"/>
  </r>
  <r>
    <x v="0"/>
    <x v="0"/>
    <x v="3"/>
    <x v="8"/>
    <n v="310"/>
    <n v="9.89"/>
    <n v="3"/>
    <n v="103.33333330000001"/>
  </r>
  <r>
    <x v="0"/>
    <x v="0"/>
    <x v="5"/>
    <x v="0"/>
    <n v="95"/>
    <n v="3.06"/>
    <n v="1"/>
    <n v="95"/>
  </r>
  <r>
    <x v="2"/>
    <x v="2"/>
    <x v="0"/>
    <x v="0"/>
    <n v="11157791.949999999"/>
    <n v="387842.57"/>
    <n v="163050"/>
    <n v="68.43172002"/>
  </r>
  <r>
    <x v="1"/>
    <x v="8"/>
    <x v="1"/>
    <x v="4"/>
    <n v="4479.3999999999996"/>
    <n v="94"/>
    <n v="130"/>
    <n v="34.456923080000003"/>
  </r>
  <r>
    <x v="1"/>
    <x v="4"/>
    <x v="4"/>
    <x v="3"/>
    <n v="1892344.28"/>
    <n v="68255.759999999995"/>
    <n v="118978"/>
    <n v="15.904993190000001"/>
  </r>
  <r>
    <x v="0"/>
    <x v="6"/>
    <x v="7"/>
    <x v="8"/>
    <n v="5953816.7400000002"/>
    <n v="222368.98"/>
    <n v="125648"/>
    <n v="47.384890650000003"/>
  </r>
  <r>
    <x v="3"/>
    <x v="7"/>
    <x v="0"/>
    <x v="11"/>
    <n v="6704.95"/>
    <n v="198.66"/>
    <n v="20"/>
    <n v="335.2475"/>
  </r>
  <r>
    <x v="3"/>
    <x v="3"/>
    <x v="3"/>
    <x v="4"/>
    <n v="7457815.5800000001"/>
    <n v="236434.55"/>
    <n v="24280"/>
    <n v="307.15879649999999"/>
  </r>
  <r>
    <x v="1"/>
    <x v="6"/>
    <x v="9"/>
    <x v="3"/>
    <n v="1789.94"/>
    <n v="38.24"/>
    <n v="79"/>
    <n v="22.657468349999998"/>
  </r>
  <r>
    <x v="1"/>
    <x v="4"/>
    <x v="6"/>
    <x v="7"/>
    <n v="18330082.760000002"/>
    <n v="597683.87"/>
    <n v="321314"/>
    <n v="57.047258319999997"/>
  </r>
  <r>
    <x v="1"/>
    <x v="2"/>
    <x v="1"/>
    <x v="0"/>
    <n v="3712488.67"/>
    <n v="142002.16"/>
    <n v="66788"/>
    <n v="55.586163229999997"/>
  </r>
  <r>
    <x v="2"/>
    <x v="2"/>
    <x v="2"/>
    <x v="1"/>
    <n v="390774.91"/>
    <n v="13618.47"/>
    <n v="12016"/>
    <n v="32.521214209999997"/>
  </r>
  <r>
    <x v="0"/>
    <x v="4"/>
    <x v="8"/>
    <x v="10"/>
    <n v="409944035.60000002"/>
    <n v="132280.94"/>
    <n v="1229848"/>
    <n v="333.32902569999999"/>
  </r>
  <r>
    <x v="1"/>
    <x v="6"/>
    <x v="6"/>
    <x v="1"/>
    <n v="47054.09"/>
    <n v="1387.47"/>
    <n v="929"/>
    <n v="50.650258340000001"/>
  </r>
  <r>
    <x v="1"/>
    <x v="2"/>
    <x v="0"/>
    <x v="5"/>
    <n v="454331.23"/>
    <n v="16756.36"/>
    <n v="37602"/>
    <n v="12.0826347"/>
  </r>
  <r>
    <x v="0"/>
    <x v="4"/>
    <x v="8"/>
    <x v="8"/>
    <n v="219937856.30000001"/>
    <n v="7419647.2699999996"/>
    <n v="2785653"/>
    <n v="78.95378796"/>
  </r>
  <r>
    <x v="1"/>
    <x v="7"/>
    <x v="0"/>
    <x v="6"/>
    <n v="7555637.8899999997"/>
    <n v="242779.98"/>
    <n v="34131"/>
    <n v="221.3717116"/>
  </r>
  <r>
    <x v="3"/>
    <x v="2"/>
    <x v="8"/>
    <x v="5"/>
    <n v="246786740.19999999"/>
    <n v="9787519.1099999994"/>
    <n v="6650254"/>
    <n v="37.109370589999997"/>
  </r>
  <r>
    <x v="2"/>
    <x v="4"/>
    <x v="0"/>
    <x v="3"/>
    <n v="951.98"/>
    <n v="41.51"/>
    <n v="1732"/>
    <n v="0.54964203229999997"/>
  </r>
  <r>
    <x v="1"/>
    <x v="1"/>
    <x v="7"/>
    <x v="8"/>
    <n v="73463465.75"/>
    <n v="2468097.98"/>
    <n v="1616873"/>
    <n v="45.435520140000001"/>
  </r>
  <r>
    <x v="2"/>
    <x v="8"/>
    <x v="7"/>
    <x v="0"/>
    <n v="-11.57"/>
    <n v="2.0299999999999998"/>
    <n v="50"/>
    <n v="-0.23139999999999999"/>
  </r>
  <r>
    <x v="2"/>
    <x v="5"/>
    <x v="8"/>
    <x v="3"/>
    <n v="218.5"/>
    <n v="13.01"/>
    <n v="29350"/>
    <n v="7.4446337310000001E-3"/>
  </r>
  <r>
    <x v="0"/>
    <x v="5"/>
    <x v="7"/>
    <x v="8"/>
    <n v="3256169.03"/>
    <n v="138460.09"/>
    <n v="128066"/>
    <n v="25.425710410000001"/>
  </r>
  <r>
    <x v="1"/>
    <x v="3"/>
    <x v="1"/>
    <x v="4"/>
    <n v="24002303.469999999"/>
    <n v="856104.52"/>
    <n v="102213"/>
    <n v="234.82632810000001"/>
  </r>
  <r>
    <x v="3"/>
    <x v="8"/>
    <x v="9"/>
    <x v="5"/>
    <n v="32806.93"/>
    <n v="1109.1199999999999"/>
    <n v="604"/>
    <n v="54.316109269999998"/>
  </r>
  <r>
    <x v="3"/>
    <x v="0"/>
    <x v="1"/>
    <x v="2"/>
    <n v="2696.1"/>
    <n v="74.900000000000006"/>
    <n v="29"/>
    <n v="92.968965519999998"/>
  </r>
  <r>
    <x v="1"/>
    <x v="4"/>
    <x v="6"/>
    <x v="2"/>
    <n v="38799422.109999999"/>
    <n v="1381088.19"/>
    <n v="216920"/>
    <n v="178.8651213"/>
  </r>
  <r>
    <x v="0"/>
    <x v="8"/>
    <x v="0"/>
    <x v="1"/>
    <n v="0"/>
    <n v="0.3"/>
    <n v="5"/>
    <n v="0"/>
  </r>
  <r>
    <x v="1"/>
    <x v="5"/>
    <x v="7"/>
    <x v="5"/>
    <n v="8503267.3000000007"/>
    <n v="349954.95"/>
    <n v="284513"/>
    <n v="29.887095840000001"/>
  </r>
  <r>
    <x v="2"/>
    <x v="1"/>
    <x v="3"/>
    <x v="4"/>
    <n v="1192789.7"/>
    <n v="36137.17"/>
    <n v="2938"/>
    <n v="405.98696389999998"/>
  </r>
  <r>
    <x v="3"/>
    <x v="0"/>
    <x v="1"/>
    <x v="4"/>
    <n v="157"/>
    <n v="4.8499999999999996"/>
    <n v="1"/>
    <n v="157"/>
  </r>
  <r>
    <x v="1"/>
    <x v="2"/>
    <x v="0"/>
    <x v="0"/>
    <n v="6044.4"/>
    <n v="286.44"/>
    <n v="1762"/>
    <n v="3.4304199770000001"/>
  </r>
  <r>
    <x v="1"/>
    <x v="6"/>
    <x v="0"/>
    <x v="8"/>
    <n v="71743202.840000004"/>
    <n v="2345166.91"/>
    <n v="811210"/>
    <n v="88.439741670000004"/>
  </r>
  <r>
    <x v="0"/>
    <x v="4"/>
    <x v="6"/>
    <x v="1"/>
    <n v="14810322.32"/>
    <n v="500049.42"/>
    <n v="352540"/>
    <n v="42.010331649999998"/>
  </r>
  <r>
    <x v="1"/>
    <x v="5"/>
    <x v="8"/>
    <x v="2"/>
    <n v="11687999.51"/>
    <n v="395688.89"/>
    <n v="193792"/>
    <n v="60.312084659999996"/>
  </r>
  <r>
    <x v="3"/>
    <x v="5"/>
    <x v="8"/>
    <x v="5"/>
    <n v="8479263.0999999996"/>
    <n v="319911.34999999998"/>
    <n v="254262"/>
    <n v="33.348526720000002"/>
  </r>
  <r>
    <x v="1"/>
    <x v="8"/>
    <x v="0"/>
    <x v="0"/>
    <n v="-3.48"/>
    <n v="0"/>
    <n v="327685"/>
    <n v="-1.0619955139999999E-5"/>
  </r>
  <r>
    <x v="0"/>
    <x v="3"/>
    <x v="5"/>
    <x v="5"/>
    <n v="704140687.39999998"/>
    <n v="29449505.18"/>
    <n v="18200693"/>
    <n v="38.687575649999999"/>
  </r>
  <r>
    <x v="3"/>
    <x v="7"/>
    <x v="7"/>
    <x v="2"/>
    <n v="132990798.8"/>
    <n v="3961603.04"/>
    <n v="1222398"/>
    <n v="108.7950069"/>
  </r>
  <r>
    <x v="3"/>
    <x v="6"/>
    <x v="0"/>
    <x v="2"/>
    <n v="0"/>
    <n v="0"/>
    <n v="912"/>
    <n v="0"/>
  </r>
  <r>
    <x v="2"/>
    <x v="5"/>
    <x v="3"/>
    <x v="3"/>
    <n v="36.97"/>
    <n v="2.33"/>
    <n v="3"/>
    <n v="12.323333330000001"/>
  </r>
  <r>
    <x v="1"/>
    <x v="9"/>
    <x v="1"/>
    <x v="8"/>
    <n v="11644.49"/>
    <n v="620.04999999999995"/>
    <n v="286"/>
    <n v="40.715000000000003"/>
  </r>
  <r>
    <x v="3"/>
    <x v="2"/>
    <x v="7"/>
    <x v="6"/>
    <n v="4629757.8899999997"/>
    <n v="167843.53"/>
    <n v="44613"/>
    <n v="103.77598209999999"/>
  </r>
  <r>
    <x v="1"/>
    <x v="5"/>
    <x v="3"/>
    <x v="3"/>
    <n v="79.680000000000007"/>
    <n v="2.2200000000000002"/>
    <n v="9"/>
    <n v="8.8533333330000001"/>
  </r>
  <r>
    <x v="3"/>
    <x v="5"/>
    <x v="0"/>
    <x v="2"/>
    <n v="22501.119999999999"/>
    <n v="1030.94"/>
    <n v="1364"/>
    <n v="16.496422290000002"/>
  </r>
  <r>
    <x v="1"/>
    <x v="3"/>
    <x v="8"/>
    <x v="10"/>
    <n v="149794272"/>
    <n v="144148.57999999999"/>
    <n v="455544"/>
    <n v="328.82503559999998"/>
  </r>
  <r>
    <x v="3"/>
    <x v="5"/>
    <x v="4"/>
    <x v="2"/>
    <n v="4049501.16"/>
    <n v="142119.25"/>
    <n v="58811"/>
    <n v="68.856186089999994"/>
  </r>
  <r>
    <x v="3"/>
    <x v="4"/>
    <x v="6"/>
    <x v="3"/>
    <n v="1276128.83"/>
    <n v="43178.09"/>
    <n v="86306"/>
    <n v="14.786096329999999"/>
  </r>
  <r>
    <x v="3"/>
    <x v="9"/>
    <x v="2"/>
    <x v="2"/>
    <n v="49290.53"/>
    <n v="891.62"/>
    <n v="268"/>
    <n v="183.91988810000001"/>
  </r>
  <r>
    <x v="2"/>
    <x v="3"/>
    <x v="6"/>
    <x v="4"/>
    <n v="44654830.259999998"/>
    <n v="1599049.71"/>
    <n v="237815"/>
    <n v="187.77129389999999"/>
  </r>
  <r>
    <x v="1"/>
    <x v="1"/>
    <x v="3"/>
    <x v="5"/>
    <n v="44073163.149999999"/>
    <n v="1198695.3"/>
    <n v="439014"/>
    <n v="100.39124750000001"/>
  </r>
  <r>
    <x v="3"/>
    <x v="0"/>
    <x v="8"/>
    <x v="8"/>
    <n v="479.73"/>
    <n v="11.68"/>
    <n v="15"/>
    <n v="31.981999999999999"/>
  </r>
  <r>
    <x v="3"/>
    <x v="7"/>
    <x v="7"/>
    <x v="1"/>
    <n v="258858.38"/>
    <n v="7128.18"/>
    <n v="3603"/>
    <n v="71.845234529999999"/>
  </r>
  <r>
    <x v="0"/>
    <x v="5"/>
    <x v="3"/>
    <x v="1"/>
    <n v="31620.68"/>
    <n v="665.59"/>
    <n v="527"/>
    <n v="60.001290320000003"/>
  </r>
  <r>
    <x v="3"/>
    <x v="8"/>
    <x v="8"/>
    <x v="8"/>
    <n v="8937.19"/>
    <n v="328.04"/>
    <n v="1453"/>
    <n v="6.1508534069999996"/>
  </r>
  <r>
    <x v="3"/>
    <x v="6"/>
    <x v="1"/>
    <x v="1"/>
    <n v="9765.01"/>
    <n v="280.31"/>
    <n v="89"/>
    <n v="109.7192135"/>
  </r>
  <r>
    <x v="3"/>
    <x v="5"/>
    <x v="2"/>
    <x v="6"/>
    <n v="632604.13"/>
    <n v="20928.400000000001"/>
    <n v="5852"/>
    <n v="108.1005007"/>
  </r>
  <r>
    <x v="1"/>
    <x v="8"/>
    <x v="8"/>
    <x v="10"/>
    <n v="12255.56"/>
    <n v="101.25"/>
    <n v="678"/>
    <n v="18.076047200000001"/>
  </r>
  <r>
    <x v="3"/>
    <x v="4"/>
    <x v="3"/>
    <x v="0"/>
    <n v="3294646.21"/>
    <n v="101378.18"/>
    <n v="50041"/>
    <n v="65.838936270000005"/>
  </r>
  <r>
    <x v="0"/>
    <x v="4"/>
    <x v="9"/>
    <x v="4"/>
    <n v="34834939.840000004"/>
    <n v="1231097.1100000001"/>
    <n v="142926"/>
    <n v="243.72710240000001"/>
  </r>
  <r>
    <x v="3"/>
    <x v="8"/>
    <x v="3"/>
    <x v="6"/>
    <n v="1067"/>
    <n v="16.95"/>
    <n v="14"/>
    <n v="76.214285709999999"/>
  </r>
  <r>
    <x v="3"/>
    <x v="3"/>
    <x v="2"/>
    <x v="7"/>
    <n v="1577737.52"/>
    <n v="58925.91"/>
    <n v="30929"/>
    <n v="51.011591709999998"/>
  </r>
  <r>
    <x v="3"/>
    <x v="5"/>
    <x v="7"/>
    <x v="3"/>
    <n v="269.25"/>
    <n v="12.57"/>
    <n v="197"/>
    <n v="1.3667512690000001"/>
  </r>
  <r>
    <x v="3"/>
    <x v="7"/>
    <x v="8"/>
    <x v="4"/>
    <n v="56399073.439999998"/>
    <n v="1626898.72"/>
    <n v="231857"/>
    <n v="243.24938839999999"/>
  </r>
  <r>
    <x v="0"/>
    <x v="3"/>
    <x v="4"/>
    <x v="5"/>
    <n v="590853796.60000002"/>
    <n v="23666097.850000001"/>
    <n v="12912098"/>
    <n v="45.759705099999998"/>
  </r>
  <r>
    <x v="2"/>
    <x v="3"/>
    <x v="9"/>
    <x v="3"/>
    <n v="271817.56"/>
    <n v="7759.11"/>
    <n v="14104"/>
    <n v="19.27237379"/>
  </r>
  <r>
    <x v="0"/>
    <x v="1"/>
    <x v="9"/>
    <x v="2"/>
    <n v="7605207.3600000003"/>
    <n v="249749.98"/>
    <n v="49513"/>
    <n v="153.60021330000001"/>
  </r>
  <r>
    <x v="2"/>
    <x v="8"/>
    <x v="9"/>
    <x v="7"/>
    <n v="160.76"/>
    <n v="9.64"/>
    <n v="52"/>
    <n v="3.0915384619999999"/>
  </r>
  <r>
    <x v="0"/>
    <x v="3"/>
    <x v="4"/>
    <x v="0"/>
    <n v="46496750.630000003"/>
    <n v="1730170.04"/>
    <n v="872149"/>
    <n v="53.312852079999999"/>
  </r>
  <r>
    <x v="1"/>
    <x v="9"/>
    <x v="3"/>
    <x v="2"/>
    <n v="27076.33"/>
    <n v="442.2"/>
    <n v="105"/>
    <n v="257.86980949999997"/>
  </r>
  <r>
    <x v="0"/>
    <x v="7"/>
    <x v="5"/>
    <x v="4"/>
    <n v="23943059.969999999"/>
    <n v="875495.07"/>
    <n v="182637"/>
    <n v="131.09643700000001"/>
  </r>
  <r>
    <x v="1"/>
    <x v="6"/>
    <x v="0"/>
    <x v="0"/>
    <n v="1935813.56"/>
    <n v="63909.59"/>
    <n v="22745"/>
    <n v="85.109411300000005"/>
  </r>
  <r>
    <x v="1"/>
    <x v="3"/>
    <x v="9"/>
    <x v="5"/>
    <n v="561474997.20000005"/>
    <n v="21752480.300000001"/>
    <n v="10095310"/>
    <n v="55.61741018"/>
  </r>
  <r>
    <x v="0"/>
    <x v="1"/>
    <x v="6"/>
    <x v="1"/>
    <n v="7144678.5599999996"/>
    <n v="215876.9"/>
    <n v="405532"/>
    <n v="17.61803892"/>
  </r>
  <r>
    <x v="2"/>
    <x v="9"/>
    <x v="4"/>
    <x v="1"/>
    <n v="901.28"/>
    <n v="4.4000000000000004"/>
    <n v="18"/>
    <n v="50.071111109999997"/>
  </r>
  <r>
    <x v="3"/>
    <x v="1"/>
    <x v="2"/>
    <x v="8"/>
    <n v="41468089.549999997"/>
    <n v="1253241.8"/>
    <n v="628993"/>
    <n v="65.927744110000006"/>
  </r>
  <r>
    <x v="3"/>
    <x v="6"/>
    <x v="1"/>
    <x v="7"/>
    <n v="190475.22"/>
    <n v="6445.22"/>
    <n v="3160"/>
    <n v="60.276968349999997"/>
  </r>
  <r>
    <x v="3"/>
    <x v="2"/>
    <x v="9"/>
    <x v="7"/>
    <n v="921142.16"/>
    <n v="36201.18"/>
    <n v="24071"/>
    <n v="38.267714679999997"/>
  </r>
  <r>
    <x v="2"/>
    <x v="4"/>
    <x v="0"/>
    <x v="4"/>
    <n v="6006901.6900000004"/>
    <n v="190050.07"/>
    <n v="19520"/>
    <n v="307.73061940000002"/>
  </r>
  <r>
    <x v="0"/>
    <x v="7"/>
    <x v="2"/>
    <x v="1"/>
    <n v="7101091.4100000001"/>
    <n v="169676.18"/>
    <n v="85194"/>
    <n v="83.352013170000006"/>
  </r>
  <r>
    <x v="0"/>
    <x v="5"/>
    <x v="4"/>
    <x v="1"/>
    <n v="439957.95"/>
    <n v="11335.16"/>
    <n v="10817"/>
    <n v="40.672825179999997"/>
  </r>
  <r>
    <x v="1"/>
    <x v="8"/>
    <x v="8"/>
    <x v="2"/>
    <n v="74920.92"/>
    <n v="2108.5"/>
    <n v="2250"/>
    <n v="33.29818667"/>
  </r>
  <r>
    <x v="2"/>
    <x v="4"/>
    <x v="1"/>
    <x v="1"/>
    <n v="972703.29"/>
    <n v="32529.59"/>
    <n v="25521"/>
    <n v="38.11383919"/>
  </r>
  <r>
    <x v="0"/>
    <x v="8"/>
    <x v="1"/>
    <x v="7"/>
    <n v="343.78"/>
    <n v="18.27"/>
    <n v="28"/>
    <n v="12.27785714"/>
  </r>
  <r>
    <x v="0"/>
    <x v="3"/>
    <x v="9"/>
    <x v="6"/>
    <n v="37467097.460000001"/>
    <n v="1273720.3999999999"/>
    <n v="129546"/>
    <n v="289.21848189999997"/>
  </r>
  <r>
    <x v="0"/>
    <x v="5"/>
    <x v="2"/>
    <x v="6"/>
    <n v="1011689.44"/>
    <n v="34105.230000000003"/>
    <n v="9514"/>
    <n v="106.3369182"/>
  </r>
  <r>
    <x v="2"/>
    <x v="2"/>
    <x v="1"/>
    <x v="5"/>
    <n v="99884097.829999998"/>
    <n v="4487358.1399999997"/>
    <n v="3904317"/>
    <n v="25.582988740000001"/>
  </r>
  <r>
    <x v="2"/>
    <x v="5"/>
    <x v="7"/>
    <x v="0"/>
    <n v="207865.12"/>
    <n v="8499.2900000000009"/>
    <n v="7197"/>
    <n v="28.882189799999999"/>
  </r>
  <r>
    <x v="2"/>
    <x v="2"/>
    <x v="3"/>
    <x v="6"/>
    <n v="8403255.8699999992"/>
    <n v="263259.18"/>
    <n v="29972"/>
    <n v="280.37020790000003"/>
  </r>
  <r>
    <x v="1"/>
    <x v="1"/>
    <x v="3"/>
    <x v="1"/>
    <n v="9808.61"/>
    <n v="226.94"/>
    <n v="179"/>
    <n v="54.796703909999998"/>
  </r>
  <r>
    <x v="1"/>
    <x v="3"/>
    <x v="0"/>
    <x v="7"/>
    <n v="228458281.90000001"/>
    <n v="7219787.7699999996"/>
    <n v="3216719"/>
    <n v="71.022144580000003"/>
  </r>
  <r>
    <x v="1"/>
    <x v="6"/>
    <x v="3"/>
    <x v="2"/>
    <n v="1643365.88"/>
    <n v="49282.41"/>
    <n v="8106"/>
    <n v="202.7345028"/>
  </r>
  <r>
    <x v="1"/>
    <x v="0"/>
    <x v="9"/>
    <x v="5"/>
    <n v="7928.58"/>
    <n v="293.82"/>
    <n v="248"/>
    <n v="31.97008065"/>
  </r>
  <r>
    <x v="2"/>
    <x v="3"/>
    <x v="0"/>
    <x v="7"/>
    <n v="300072488.39999998"/>
    <n v="9297725.1199999992"/>
    <n v="4362928"/>
    <n v="68.777776849999995"/>
  </r>
  <r>
    <x v="2"/>
    <x v="5"/>
    <x v="8"/>
    <x v="10"/>
    <n v="6620305.2800000003"/>
    <n v="65959.83"/>
    <n v="450574"/>
    <n v="14.69304771"/>
  </r>
  <r>
    <x v="1"/>
    <x v="6"/>
    <x v="4"/>
    <x v="7"/>
    <n v="413629.16"/>
    <n v="14526.41"/>
    <n v="7356"/>
    <n v="56.230174009999999"/>
  </r>
  <r>
    <x v="1"/>
    <x v="0"/>
    <x v="8"/>
    <x v="2"/>
    <n v="98337.34"/>
    <n v="478.18"/>
    <n v="926"/>
    <n v="106.1958315"/>
  </r>
  <r>
    <x v="0"/>
    <x v="9"/>
    <x v="2"/>
    <x v="2"/>
    <n v="75926.87"/>
    <n v="1358.13"/>
    <n v="365"/>
    <n v="208.01882190000001"/>
  </r>
  <r>
    <x v="1"/>
    <x v="4"/>
    <x v="8"/>
    <x v="2"/>
    <n v="317851562.5"/>
    <n v="8175849.79"/>
    <n v="490362"/>
    <n v="648.19778550000001"/>
  </r>
  <r>
    <x v="1"/>
    <x v="4"/>
    <x v="3"/>
    <x v="8"/>
    <n v="25385189.93"/>
    <n v="868838.88"/>
    <n v="375378"/>
    <n v="67.625673129999996"/>
  </r>
  <r>
    <x v="2"/>
    <x v="4"/>
    <x v="6"/>
    <x v="8"/>
    <n v="168187998.09999999"/>
    <n v="6203822.2599999998"/>
    <n v="3339977"/>
    <n v="50.356034819999998"/>
  </r>
  <r>
    <x v="3"/>
    <x v="1"/>
    <x v="3"/>
    <x v="7"/>
    <n v="1220488.25"/>
    <n v="35510.449999999997"/>
    <n v="29025"/>
    <n v="42.04955211"/>
  </r>
  <r>
    <x v="2"/>
    <x v="0"/>
    <x v="2"/>
    <x v="4"/>
    <n v="3442.99"/>
    <n v="102.85"/>
    <n v="11"/>
    <n v="312.9990909"/>
  </r>
  <r>
    <x v="0"/>
    <x v="1"/>
    <x v="8"/>
    <x v="2"/>
    <n v="95720989.549999997"/>
    <n v="2065939.61"/>
    <n v="135397"/>
    <n v="706.96536519999995"/>
  </r>
  <r>
    <x v="2"/>
    <x v="1"/>
    <x v="0"/>
    <x v="4"/>
    <n v="616130.43999999994"/>
    <n v="16574.62"/>
    <n v="2647"/>
    <n v="232.76556099999999"/>
  </r>
  <r>
    <x v="1"/>
    <x v="3"/>
    <x v="4"/>
    <x v="8"/>
    <n v="142877528.09999999"/>
    <n v="5471474.9100000001"/>
    <n v="2707500"/>
    <n v="52.771016830000001"/>
  </r>
  <r>
    <x v="2"/>
    <x v="6"/>
    <x v="7"/>
    <x v="6"/>
    <n v="1095868.6299999999"/>
    <n v="34020.54"/>
    <n v="4054"/>
    <n v="270.31786629999999"/>
  </r>
  <r>
    <x v="0"/>
    <x v="8"/>
    <x v="9"/>
    <x v="0"/>
    <n v="1018.37"/>
    <n v="135.38999999999999"/>
    <n v="350"/>
    <n v="2.9096285709999998"/>
  </r>
  <r>
    <x v="1"/>
    <x v="6"/>
    <x v="1"/>
    <x v="3"/>
    <n v="579.66"/>
    <n v="12.48"/>
    <n v="28"/>
    <n v="20.702142859999999"/>
  </r>
  <r>
    <x v="0"/>
    <x v="6"/>
    <x v="4"/>
    <x v="7"/>
    <n v="1091735.03"/>
    <n v="30337.35"/>
    <n v="19028"/>
    <n v="57.375185520000002"/>
  </r>
  <r>
    <x v="0"/>
    <x v="2"/>
    <x v="8"/>
    <x v="5"/>
    <n v="220316039.19999999"/>
    <n v="8622856.6699999999"/>
    <n v="5880491"/>
    <n v="37.465585650000001"/>
  </r>
  <r>
    <x v="0"/>
    <x v="7"/>
    <x v="7"/>
    <x v="5"/>
    <n v="610415312"/>
    <n v="23262897.510000002"/>
    <n v="11414383"/>
    <n v="53.477731730000002"/>
  </r>
  <r>
    <x v="0"/>
    <x v="5"/>
    <x v="0"/>
    <x v="8"/>
    <n v="54736.69"/>
    <n v="1821.29"/>
    <n v="8930"/>
    <n v="6.1295285550000003"/>
  </r>
  <r>
    <x v="0"/>
    <x v="0"/>
    <x v="0"/>
    <x v="5"/>
    <n v="215.98"/>
    <n v="7.16"/>
    <n v="3"/>
    <n v="71.993333329999999"/>
  </r>
  <r>
    <x v="2"/>
    <x v="6"/>
    <x v="5"/>
    <x v="4"/>
    <n v="847826.19"/>
    <n v="27352.14"/>
    <n v="4698"/>
    <n v="180.4653448"/>
  </r>
  <r>
    <x v="3"/>
    <x v="3"/>
    <x v="3"/>
    <x v="0"/>
    <n v="1410532.29"/>
    <n v="49935.62"/>
    <n v="23129"/>
    <n v="60.985442089999999"/>
  </r>
  <r>
    <x v="0"/>
    <x v="7"/>
    <x v="8"/>
    <x v="9"/>
    <n v="8258027.21"/>
    <n v="18481.080000000002"/>
    <n v="106660"/>
    <n v="77.423844079999995"/>
  </r>
  <r>
    <x v="1"/>
    <x v="0"/>
    <x v="2"/>
    <x v="5"/>
    <n v="4834.95"/>
    <n v="155.28"/>
    <n v="93"/>
    <n v="51.988709679999999"/>
  </r>
  <r>
    <x v="2"/>
    <x v="7"/>
    <x v="6"/>
    <x v="1"/>
    <n v="7646992.1299999999"/>
    <n v="200155.79"/>
    <n v="120739"/>
    <n v="63.334897009999999"/>
  </r>
  <r>
    <x v="0"/>
    <x v="2"/>
    <x v="2"/>
    <x v="2"/>
    <n v="38413815.329999998"/>
    <n v="1137304.1499999999"/>
    <n v="211409"/>
    <n v="181.7037843"/>
  </r>
  <r>
    <x v="0"/>
    <x v="8"/>
    <x v="7"/>
    <x v="8"/>
    <n v="3617.15"/>
    <n v="245.82"/>
    <n v="481"/>
    <n v="7.5200623699999998"/>
  </r>
  <r>
    <x v="1"/>
    <x v="5"/>
    <x v="7"/>
    <x v="3"/>
    <n v="448.02"/>
    <n v="13.46"/>
    <n v="19"/>
    <n v="23.58"/>
  </r>
  <r>
    <x v="2"/>
    <x v="4"/>
    <x v="9"/>
    <x v="4"/>
    <n v="30119434.780000001"/>
    <n v="1038358.62"/>
    <n v="129829"/>
    <n v="231.99312"/>
  </r>
  <r>
    <x v="1"/>
    <x v="7"/>
    <x v="5"/>
    <x v="2"/>
    <n v="83474638.810000002"/>
    <n v="2713478.31"/>
    <n v="954333"/>
    <n v="87.469089729999993"/>
  </r>
  <r>
    <x v="0"/>
    <x v="5"/>
    <x v="1"/>
    <x v="5"/>
    <n v="2863078.96"/>
    <n v="118325.39"/>
    <n v="97920"/>
    <n v="29.23895997"/>
  </r>
  <r>
    <x v="2"/>
    <x v="4"/>
    <x v="7"/>
    <x v="7"/>
    <n v="17499271.379999999"/>
    <n v="573524.32999999996"/>
    <n v="330457"/>
    <n v="52.95476077"/>
  </r>
  <r>
    <x v="1"/>
    <x v="8"/>
    <x v="5"/>
    <x v="8"/>
    <n v="2164.73"/>
    <n v="82.6"/>
    <n v="138"/>
    <n v="15.68644928"/>
  </r>
  <r>
    <x v="0"/>
    <x v="3"/>
    <x v="8"/>
    <x v="9"/>
    <n v="1594102.82"/>
    <n v="23609.67"/>
    <n v="17368"/>
    <n v="91.783902580000003"/>
  </r>
  <r>
    <x v="0"/>
    <x v="3"/>
    <x v="6"/>
    <x v="8"/>
    <n v="186175965.40000001"/>
    <n v="7068346.2699999996"/>
    <n v="3471539"/>
    <n v="53.629230540000002"/>
  </r>
  <r>
    <x v="2"/>
    <x v="5"/>
    <x v="4"/>
    <x v="5"/>
    <n v="7919081.2400000002"/>
    <n v="312023.99"/>
    <n v="222680"/>
    <n v="35.562606610000003"/>
  </r>
  <r>
    <x v="2"/>
    <x v="9"/>
    <x v="6"/>
    <x v="5"/>
    <n v="31292.79"/>
    <n v="1198.68"/>
    <n v="512"/>
    <n v="61.118730470000003"/>
  </r>
  <r>
    <x v="2"/>
    <x v="5"/>
    <x v="3"/>
    <x v="2"/>
    <n v="1330761.58"/>
    <n v="37623.82"/>
    <n v="15285"/>
    <n v="87.06323716"/>
  </r>
  <r>
    <x v="0"/>
    <x v="6"/>
    <x v="7"/>
    <x v="4"/>
    <n v="1575683.61"/>
    <n v="54023.76"/>
    <n v="7122"/>
    <n v="221.2417313"/>
  </r>
  <r>
    <x v="2"/>
    <x v="0"/>
    <x v="2"/>
    <x v="5"/>
    <n v="3360.94"/>
    <n v="138.41"/>
    <n v="117"/>
    <n v="28.725982909999999"/>
  </r>
  <r>
    <x v="1"/>
    <x v="1"/>
    <x v="7"/>
    <x v="6"/>
    <n v="1778316.84"/>
    <n v="51516.94"/>
    <n v="4602"/>
    <n v="386.42260759999999"/>
  </r>
  <r>
    <x v="0"/>
    <x v="1"/>
    <x v="0"/>
    <x v="1"/>
    <n v="134.38999999999999"/>
    <n v="5.33"/>
    <n v="22"/>
    <n v="6.1086363639999997"/>
  </r>
  <r>
    <x v="1"/>
    <x v="5"/>
    <x v="3"/>
    <x v="4"/>
    <n v="709201.61"/>
    <n v="23324.03"/>
    <n v="5441"/>
    <n v="130.3439827"/>
  </r>
  <r>
    <x v="0"/>
    <x v="1"/>
    <x v="4"/>
    <x v="9"/>
    <n v="1535390.41"/>
    <n v="37511.879999999997"/>
    <n v="35228"/>
    <n v="43.584376349999999"/>
  </r>
  <r>
    <x v="3"/>
    <x v="5"/>
    <x v="2"/>
    <x v="2"/>
    <n v="2826209.4"/>
    <n v="97848.4"/>
    <n v="33553"/>
    <n v="84.231198399999997"/>
  </r>
  <r>
    <x v="2"/>
    <x v="7"/>
    <x v="7"/>
    <x v="5"/>
    <n v="591734725.79999995"/>
    <n v="22352934.370000001"/>
    <n v="11344768"/>
    <n v="52.159261950000001"/>
  </r>
  <r>
    <x v="2"/>
    <x v="9"/>
    <x v="3"/>
    <x v="2"/>
    <n v="24137.01"/>
    <n v="333.32"/>
    <n v="155"/>
    <n v="155.72264519999999"/>
  </r>
  <r>
    <x v="0"/>
    <x v="4"/>
    <x v="1"/>
    <x v="9"/>
    <n v="428070.33"/>
    <n v="14901.69"/>
    <n v="11228"/>
    <n v="38.12525205"/>
  </r>
  <r>
    <x v="2"/>
    <x v="3"/>
    <x v="7"/>
    <x v="7"/>
    <n v="4636524.93"/>
    <n v="173213.21"/>
    <n v="98626"/>
    <n v="47.011182949999998"/>
  </r>
  <r>
    <x v="0"/>
    <x v="4"/>
    <x v="3"/>
    <x v="0"/>
    <n v="9845923.4600000009"/>
    <n v="347968.69"/>
    <n v="170211"/>
    <n v="57.845400470000001"/>
  </r>
  <r>
    <x v="3"/>
    <x v="8"/>
    <x v="4"/>
    <x v="6"/>
    <n v="2724.95"/>
    <n v="44.16"/>
    <n v="17"/>
    <n v="160.29117650000001"/>
  </r>
  <r>
    <x v="3"/>
    <x v="4"/>
    <x v="6"/>
    <x v="7"/>
    <n v="8131046.9299999997"/>
    <n v="260898.76"/>
    <n v="138582"/>
    <n v="58.673182160000003"/>
  </r>
  <r>
    <x v="1"/>
    <x v="2"/>
    <x v="4"/>
    <x v="1"/>
    <n v="362347.04"/>
    <n v="13467.62"/>
    <n v="9492"/>
    <n v="38.173940160000001"/>
  </r>
  <r>
    <x v="0"/>
    <x v="9"/>
    <x v="3"/>
    <x v="7"/>
    <n v="373.51"/>
    <n v="13.84"/>
    <n v="10"/>
    <n v="37.350999999999999"/>
  </r>
  <r>
    <x v="3"/>
    <x v="5"/>
    <x v="1"/>
    <x v="3"/>
    <n v="109.14"/>
    <n v="12.23"/>
    <n v="694"/>
    <n v="0.1572622478"/>
  </r>
  <r>
    <x v="0"/>
    <x v="7"/>
    <x v="1"/>
    <x v="9"/>
    <n v="184557.05"/>
    <n v="6505.73"/>
    <n v="3467"/>
    <n v="53.232492069999999"/>
  </r>
  <r>
    <x v="2"/>
    <x v="3"/>
    <x v="5"/>
    <x v="2"/>
    <n v="50626898.009999998"/>
    <n v="1769086.68"/>
    <n v="398223"/>
    <n v="127.1320291"/>
  </r>
  <r>
    <x v="2"/>
    <x v="1"/>
    <x v="4"/>
    <x v="3"/>
    <n v="53297402.609999999"/>
    <n v="1659839.12"/>
    <n v="3810451"/>
    <n v="13.987163880000001"/>
  </r>
  <r>
    <x v="0"/>
    <x v="0"/>
    <x v="5"/>
    <x v="2"/>
    <n v="491.5"/>
    <n v="19.95"/>
    <n v="12"/>
    <n v="40.958333330000002"/>
  </r>
  <r>
    <x v="2"/>
    <x v="3"/>
    <x v="2"/>
    <x v="5"/>
    <n v="216764177"/>
    <n v="8154241.2300000004"/>
    <n v="3638891"/>
    <n v="59.568746900000001"/>
  </r>
  <r>
    <x v="0"/>
    <x v="3"/>
    <x v="0"/>
    <x v="6"/>
    <n v="138363.78"/>
    <n v="2455.4"/>
    <n v="650"/>
    <n v="212.86735379999999"/>
  </r>
  <r>
    <x v="1"/>
    <x v="8"/>
    <x v="5"/>
    <x v="0"/>
    <n v="33.08"/>
    <n v="3.08"/>
    <n v="9"/>
    <n v="3.6755555559999999"/>
  </r>
  <r>
    <x v="1"/>
    <x v="3"/>
    <x v="5"/>
    <x v="4"/>
    <n v="24077417.600000001"/>
    <n v="906523.11"/>
    <n v="159010"/>
    <n v="151.42077610000001"/>
  </r>
  <r>
    <x v="2"/>
    <x v="8"/>
    <x v="6"/>
    <x v="4"/>
    <n v="3742.56"/>
    <n v="64.760000000000005"/>
    <n v="31"/>
    <n v="120.7277419"/>
  </r>
  <r>
    <x v="2"/>
    <x v="4"/>
    <x v="2"/>
    <x v="4"/>
    <n v="15780902.82"/>
    <n v="537096.11"/>
    <n v="58021"/>
    <n v="271.98605370000001"/>
  </r>
  <r>
    <x v="3"/>
    <x v="5"/>
    <x v="0"/>
    <x v="4"/>
    <n v="13579.84"/>
    <n v="338.31"/>
    <n v="314"/>
    <n v="43.24789809"/>
  </r>
  <r>
    <x v="3"/>
    <x v="3"/>
    <x v="9"/>
    <x v="8"/>
    <n v="131531617.5"/>
    <n v="4960636.58"/>
    <n v="2408286"/>
    <n v="54.616277910000001"/>
  </r>
  <r>
    <x v="3"/>
    <x v="2"/>
    <x v="2"/>
    <x v="8"/>
    <n v="49709915.670000002"/>
    <n v="1853698.41"/>
    <n v="980762"/>
    <n v="50.684993579999997"/>
  </r>
  <r>
    <x v="1"/>
    <x v="1"/>
    <x v="4"/>
    <x v="8"/>
    <n v="129930047.3"/>
    <n v="4093764.34"/>
    <n v="2483793"/>
    <n v="52.311141599999999"/>
  </r>
  <r>
    <x v="3"/>
    <x v="5"/>
    <x v="3"/>
    <x v="0"/>
    <n v="43038.36"/>
    <n v="1632.16"/>
    <n v="1157"/>
    <n v="37.198236819999998"/>
  </r>
  <r>
    <x v="2"/>
    <x v="3"/>
    <x v="0"/>
    <x v="5"/>
    <n v="89149152.319999993"/>
    <n v="3296046.02"/>
    <n v="1692786"/>
    <n v="52.664159750000003"/>
  </r>
  <r>
    <x v="0"/>
    <x v="0"/>
    <x v="8"/>
    <x v="4"/>
    <n v="1082.8900000000001"/>
    <n v="32"/>
    <n v="2"/>
    <n v="541.44500000000005"/>
  </r>
  <r>
    <x v="0"/>
    <x v="2"/>
    <x v="6"/>
    <x v="5"/>
    <n v="275169659.30000001"/>
    <n v="12233545.470000001"/>
    <n v="10671575"/>
    <n v="25.785290289999999"/>
  </r>
  <r>
    <x v="3"/>
    <x v="5"/>
    <x v="4"/>
    <x v="7"/>
    <n v="29219.23"/>
    <n v="1226.05"/>
    <n v="1183"/>
    <n v="24.699264580000001"/>
  </r>
  <r>
    <x v="2"/>
    <x v="1"/>
    <x v="0"/>
    <x v="2"/>
    <n v="414.65"/>
    <n v="18.23"/>
    <n v="258"/>
    <n v="1.6071705430000001"/>
  </r>
  <r>
    <x v="3"/>
    <x v="5"/>
    <x v="1"/>
    <x v="2"/>
    <n v="3354804.13"/>
    <n v="118067.52"/>
    <n v="49119"/>
    <n v="68.299520139999998"/>
  </r>
  <r>
    <x v="3"/>
    <x v="8"/>
    <x v="1"/>
    <x v="0"/>
    <n v="0"/>
    <n v="15.78"/>
    <n v="53"/>
    <n v="0"/>
  </r>
  <r>
    <x v="2"/>
    <x v="3"/>
    <x v="6"/>
    <x v="6"/>
    <n v="24459406.609999999"/>
    <n v="865704.34"/>
    <n v="116516"/>
    <n v="209.92315740000001"/>
  </r>
  <r>
    <x v="2"/>
    <x v="1"/>
    <x v="3"/>
    <x v="7"/>
    <n v="4210399.34"/>
    <n v="123586.78"/>
    <n v="75492"/>
    <n v="55.772788370000001"/>
  </r>
  <r>
    <x v="3"/>
    <x v="7"/>
    <x v="5"/>
    <x v="6"/>
    <n v="3851400.25"/>
    <n v="130982.57"/>
    <n v="31674"/>
    <n v="121.5950069"/>
  </r>
  <r>
    <x v="3"/>
    <x v="1"/>
    <x v="7"/>
    <x v="0"/>
    <n v="73205787.939999998"/>
    <n v="1603960.38"/>
    <n v="913719"/>
    <n v="80.118491509999998"/>
  </r>
  <r>
    <x v="3"/>
    <x v="6"/>
    <x v="6"/>
    <x v="6"/>
    <n v="1094365.54"/>
    <n v="35103.42"/>
    <n v="4022"/>
    <n v="272.09486329999999"/>
  </r>
  <r>
    <x v="3"/>
    <x v="0"/>
    <x v="3"/>
    <x v="1"/>
    <n v="0"/>
    <n v="0"/>
    <n v="1"/>
    <n v="0"/>
  </r>
  <r>
    <x v="3"/>
    <x v="2"/>
    <x v="4"/>
    <x v="2"/>
    <n v="49709609.549999997"/>
    <n v="1683537.75"/>
    <n v="410789"/>
    <n v="121.0100795"/>
  </r>
  <r>
    <x v="0"/>
    <x v="7"/>
    <x v="2"/>
    <x v="4"/>
    <n v="40566008.479999997"/>
    <n v="1340412.8600000001"/>
    <n v="168242"/>
    <n v="241.11701289999999"/>
  </r>
  <r>
    <x v="2"/>
    <x v="3"/>
    <x v="4"/>
    <x v="6"/>
    <n v="27433235.530000001"/>
    <n v="952427.38"/>
    <n v="116294"/>
    <n v="235.89553660000001"/>
  </r>
  <r>
    <x v="3"/>
    <x v="6"/>
    <x v="0"/>
    <x v="8"/>
    <n v="75923034.530000001"/>
    <n v="2134553.16"/>
    <n v="742256"/>
    <n v="102.2868586"/>
  </r>
  <r>
    <x v="2"/>
    <x v="4"/>
    <x v="4"/>
    <x v="7"/>
    <n v="33797047.479999997"/>
    <n v="1105337.3799999999"/>
    <n v="614379"/>
    <n v="55.010095530000001"/>
  </r>
  <r>
    <x v="2"/>
    <x v="6"/>
    <x v="1"/>
    <x v="7"/>
    <n v="186890.6"/>
    <n v="6483.35"/>
    <n v="4255"/>
    <n v="43.922585189999999"/>
  </r>
  <r>
    <x v="0"/>
    <x v="3"/>
    <x v="6"/>
    <x v="2"/>
    <n v="120086923.09999999"/>
    <n v="3381177.74"/>
    <n v="560893"/>
    <n v="214.09952190000001"/>
  </r>
  <r>
    <x v="3"/>
    <x v="1"/>
    <x v="2"/>
    <x v="3"/>
    <n v="4664777.51"/>
    <n v="138157.60999999999"/>
    <n v="260952"/>
    <n v="17.87599831"/>
  </r>
  <r>
    <x v="3"/>
    <x v="5"/>
    <x v="0"/>
    <x v="7"/>
    <n v="68.25"/>
    <n v="4.62"/>
    <n v="30"/>
    <n v="2.2749999999999999"/>
  </r>
  <r>
    <x v="3"/>
    <x v="5"/>
    <x v="2"/>
    <x v="0"/>
    <n v="139885.57"/>
    <n v="5333.77"/>
    <n v="3575"/>
    <n v="39.12883077"/>
  </r>
  <r>
    <x v="2"/>
    <x v="6"/>
    <x v="9"/>
    <x v="8"/>
    <n v="19552028.43"/>
    <n v="679418.45"/>
    <n v="321410"/>
    <n v="60.832047629999998"/>
  </r>
  <r>
    <x v="2"/>
    <x v="3"/>
    <x v="6"/>
    <x v="7"/>
    <n v="7605365.8300000001"/>
    <n v="282530.44"/>
    <n v="158644"/>
    <n v="47.93982647"/>
  </r>
  <r>
    <x v="3"/>
    <x v="4"/>
    <x v="0"/>
    <x v="6"/>
    <n v="3172127.67"/>
    <n v="94967.55"/>
    <n v="9848"/>
    <n v="322.1088211"/>
  </r>
  <r>
    <x v="2"/>
    <x v="0"/>
    <x v="6"/>
    <x v="2"/>
    <n v="1519.91"/>
    <n v="23.03"/>
    <n v="24"/>
    <n v="63.329583329999998"/>
  </r>
  <r>
    <x v="3"/>
    <x v="8"/>
    <x v="7"/>
    <x v="0"/>
    <n v="10.9"/>
    <n v="0.62"/>
    <n v="11"/>
    <n v="0.99090909090000001"/>
  </r>
  <r>
    <x v="0"/>
    <x v="9"/>
    <x v="5"/>
    <x v="1"/>
    <n v="187.19"/>
    <n v="3.08"/>
    <n v="7"/>
    <n v="26.74142857"/>
  </r>
  <r>
    <x v="2"/>
    <x v="8"/>
    <x v="4"/>
    <x v="4"/>
    <n v="3175.19"/>
    <n v="122.78"/>
    <n v="49"/>
    <n v="64.799795919999994"/>
  </r>
  <r>
    <x v="1"/>
    <x v="1"/>
    <x v="3"/>
    <x v="0"/>
    <n v="24101300.739999998"/>
    <n v="528430.43000000005"/>
    <n v="309905"/>
    <n v="77.769964150000007"/>
  </r>
  <r>
    <x v="2"/>
    <x v="2"/>
    <x v="7"/>
    <x v="4"/>
    <n v="12528680.210000001"/>
    <n v="463646.05"/>
    <n v="129632"/>
    <n v="96.648051480000007"/>
  </r>
  <r>
    <x v="1"/>
    <x v="3"/>
    <x v="4"/>
    <x v="5"/>
    <n v="648938796.39999998"/>
    <n v="25677978.02"/>
    <n v="12758531"/>
    <n v="50.863128080000003"/>
  </r>
  <r>
    <x v="2"/>
    <x v="1"/>
    <x v="5"/>
    <x v="0"/>
    <n v="152056265.40000001"/>
    <n v="3393556.46"/>
    <n v="2469381"/>
    <n v="61.576672619999997"/>
  </r>
  <r>
    <x v="1"/>
    <x v="1"/>
    <x v="0"/>
    <x v="8"/>
    <n v="162584.76"/>
    <n v="4659.82"/>
    <n v="37321"/>
    <n v="4.3563880920000004"/>
  </r>
  <r>
    <x v="2"/>
    <x v="5"/>
    <x v="1"/>
    <x v="5"/>
    <n v="3303745.37"/>
    <n v="135717.14000000001"/>
    <n v="117078"/>
    <n v="28.2183277"/>
  </r>
  <r>
    <x v="0"/>
    <x v="0"/>
    <x v="6"/>
    <x v="0"/>
    <n v="721.75"/>
    <n v="24.95"/>
    <n v="11"/>
    <n v="65.613636360000001"/>
  </r>
  <r>
    <x v="2"/>
    <x v="1"/>
    <x v="8"/>
    <x v="6"/>
    <n v="16148064.43"/>
    <n v="409262.05"/>
    <n v="17054"/>
    <n v="946.87841149999997"/>
  </r>
  <r>
    <x v="1"/>
    <x v="7"/>
    <x v="9"/>
    <x v="8"/>
    <n v="25740227.420000002"/>
    <n v="987722.66"/>
    <n v="580095"/>
    <n v="44.372434550000001"/>
  </r>
  <r>
    <x v="3"/>
    <x v="6"/>
    <x v="8"/>
    <x v="3"/>
    <n v="76144.86"/>
    <n v="2756.07"/>
    <n v="3873"/>
    <n v="19.660433770000001"/>
  </r>
  <r>
    <x v="0"/>
    <x v="6"/>
    <x v="2"/>
    <x v="8"/>
    <n v="16472631.99"/>
    <n v="544655.81000000006"/>
    <n v="230772"/>
    <n v="71.380548719999993"/>
  </r>
  <r>
    <x v="2"/>
    <x v="2"/>
    <x v="0"/>
    <x v="6"/>
    <n v="25473056.890000001"/>
    <n v="797722.36"/>
    <n v="91744"/>
    <n v="277.65365459999998"/>
  </r>
  <r>
    <x v="0"/>
    <x v="7"/>
    <x v="7"/>
    <x v="7"/>
    <n v="161.87"/>
    <n v="8.74"/>
    <n v="8"/>
    <n v="20.233750000000001"/>
  </r>
  <r>
    <x v="3"/>
    <x v="1"/>
    <x v="6"/>
    <x v="6"/>
    <n v="1135366.56"/>
    <n v="31613.119999999999"/>
    <n v="2315"/>
    <n v="490.43911880000002"/>
  </r>
  <r>
    <x v="3"/>
    <x v="3"/>
    <x v="1"/>
    <x v="8"/>
    <n v="82304853.079999998"/>
    <n v="3208337.2"/>
    <n v="1354392"/>
    <n v="60.768856489999997"/>
  </r>
  <r>
    <x v="2"/>
    <x v="7"/>
    <x v="6"/>
    <x v="8"/>
    <n v="24067612.350000001"/>
    <n v="972721.17"/>
    <n v="636058"/>
    <n v="37.838707079999999"/>
  </r>
  <r>
    <x v="0"/>
    <x v="3"/>
    <x v="9"/>
    <x v="8"/>
    <n v="255929163.5"/>
    <n v="9264768.9800000004"/>
    <n v="4062508"/>
    <n v="62.997823889999999"/>
  </r>
  <r>
    <x v="3"/>
    <x v="2"/>
    <x v="2"/>
    <x v="4"/>
    <n v="16866948.809999999"/>
    <n v="540567.12"/>
    <n v="70662"/>
    <n v="238.69900100000001"/>
  </r>
  <r>
    <x v="1"/>
    <x v="2"/>
    <x v="6"/>
    <x v="0"/>
    <n v="5318802.55"/>
    <n v="198744.87"/>
    <n v="104825"/>
    <n v="50.739828760000002"/>
  </r>
  <r>
    <x v="1"/>
    <x v="3"/>
    <x v="0"/>
    <x v="6"/>
    <n v="17510758.670000002"/>
    <n v="564310.4"/>
    <n v="53207"/>
    <n v="329.10629560000001"/>
  </r>
  <r>
    <x v="0"/>
    <x v="8"/>
    <x v="8"/>
    <x v="4"/>
    <n v="42679.43"/>
    <n v="529.30999999999995"/>
    <n v="86"/>
    <n v="496.27244189999999"/>
  </r>
  <r>
    <x v="0"/>
    <x v="3"/>
    <x v="3"/>
    <x v="5"/>
    <n v="59254218.399999999"/>
    <n v="2183124.54"/>
    <n v="883496"/>
    <n v="67.067896630000007"/>
  </r>
  <r>
    <x v="3"/>
    <x v="4"/>
    <x v="3"/>
    <x v="7"/>
    <n v="952715.29"/>
    <n v="31792.22"/>
    <n v="15103"/>
    <n v="63.081195129999998"/>
  </r>
  <r>
    <x v="1"/>
    <x v="5"/>
    <x v="8"/>
    <x v="3"/>
    <n v="801.18"/>
    <n v="24.95"/>
    <n v="31720"/>
    <n v="2.5257881459999999E-2"/>
  </r>
  <r>
    <x v="0"/>
    <x v="1"/>
    <x v="6"/>
    <x v="7"/>
    <n v="86926255.140000001"/>
    <n v="2544217.25"/>
    <n v="1730261"/>
    <n v="50.238810870000002"/>
  </r>
  <r>
    <x v="1"/>
    <x v="8"/>
    <x v="8"/>
    <x v="7"/>
    <n v="63"/>
    <n v="2.13"/>
    <n v="230"/>
    <n v="0.27391304350000001"/>
  </r>
  <r>
    <x v="1"/>
    <x v="1"/>
    <x v="9"/>
    <x v="7"/>
    <n v="32555741.879999999"/>
    <n v="905084.53"/>
    <n v="573356"/>
    <n v="56.781025890000002"/>
  </r>
  <r>
    <x v="0"/>
    <x v="6"/>
    <x v="0"/>
    <x v="1"/>
    <n v="665.56"/>
    <n v="26.04"/>
    <n v="94"/>
    <n v="7.0804255319999996"/>
  </r>
  <r>
    <x v="2"/>
    <x v="7"/>
    <x v="9"/>
    <x v="6"/>
    <n v="19481005.140000001"/>
    <n v="618035.35"/>
    <n v="88483"/>
    <n v="220.1666438"/>
  </r>
  <r>
    <x v="2"/>
    <x v="4"/>
    <x v="0"/>
    <x v="2"/>
    <n v="5624.43"/>
    <n v="223.01"/>
    <n v="2050"/>
    <n v="2.7436243899999999"/>
  </r>
  <r>
    <x v="0"/>
    <x v="2"/>
    <x v="8"/>
    <x v="10"/>
    <n v="83736595.859999999"/>
    <n v="348049.24"/>
    <n v="1013650"/>
    <n v="82.608983240000001"/>
  </r>
  <r>
    <x v="0"/>
    <x v="6"/>
    <x v="5"/>
    <x v="7"/>
    <n v="247582.33"/>
    <n v="7165.21"/>
    <n v="4489"/>
    <n v="55.153114279999997"/>
  </r>
  <r>
    <x v="0"/>
    <x v="7"/>
    <x v="1"/>
    <x v="2"/>
    <n v="131210001.59999999"/>
    <n v="3329174.02"/>
    <n v="984408"/>
    <n v="133.28823170000001"/>
  </r>
  <r>
    <x v="3"/>
    <x v="9"/>
    <x v="5"/>
    <x v="8"/>
    <n v="-107.99"/>
    <n v="16.88"/>
    <n v="17"/>
    <n v="-6.3523529410000004"/>
  </r>
  <r>
    <x v="2"/>
    <x v="4"/>
    <x v="9"/>
    <x v="7"/>
    <n v="33631043.649999999"/>
    <n v="1106011.8700000001"/>
    <n v="596351"/>
    <n v="56.394713260000003"/>
  </r>
  <r>
    <x v="1"/>
    <x v="5"/>
    <x v="7"/>
    <x v="0"/>
    <n v="145988.18"/>
    <n v="5763.93"/>
    <n v="4305"/>
    <n v="33.911307780000001"/>
  </r>
  <r>
    <x v="1"/>
    <x v="6"/>
    <x v="0"/>
    <x v="2"/>
    <n v="1533.45"/>
    <n v="46.58"/>
    <n v="1721"/>
    <n v="0.89102266119999995"/>
  </r>
  <r>
    <x v="1"/>
    <x v="2"/>
    <x v="0"/>
    <x v="11"/>
    <n v="181211467.30000001"/>
    <n v="5933900.5999999996"/>
    <n v="933825"/>
    <n v="194.05291930000001"/>
  </r>
  <r>
    <x v="2"/>
    <x v="3"/>
    <x v="0"/>
    <x v="11"/>
    <n v="662038635.89999998"/>
    <n v="20360676.620000001"/>
    <n v="2290579"/>
    <n v="289.02676389999999"/>
  </r>
  <r>
    <x v="0"/>
    <x v="3"/>
    <x v="0"/>
    <x v="2"/>
    <n v="330053.88"/>
    <n v="5584.12"/>
    <n v="6278"/>
    <n v="52.57309334"/>
  </r>
  <r>
    <x v="3"/>
    <x v="6"/>
    <x v="8"/>
    <x v="4"/>
    <n v="8275276.1600000001"/>
    <n v="247796.32"/>
    <n v="12561"/>
    <n v="658.80711410000004"/>
  </r>
  <r>
    <x v="3"/>
    <x v="8"/>
    <x v="1"/>
    <x v="5"/>
    <n v="16674.8"/>
    <n v="764.79"/>
    <n v="595"/>
    <n v="28.02487395"/>
  </r>
  <r>
    <x v="1"/>
    <x v="1"/>
    <x v="8"/>
    <x v="7"/>
    <n v="17176895.379999999"/>
    <n v="435286.4"/>
    <n v="184105"/>
    <n v="93.299450750000005"/>
  </r>
  <r>
    <x v="0"/>
    <x v="7"/>
    <x v="7"/>
    <x v="4"/>
    <n v="35688494.210000001"/>
    <n v="1271636.1499999999"/>
    <n v="221130"/>
    <n v="161.39146299999999"/>
  </r>
  <r>
    <x v="2"/>
    <x v="1"/>
    <x v="7"/>
    <x v="1"/>
    <n v="936891.75"/>
    <n v="27655.37"/>
    <n v="58991"/>
    <n v="15.88194386"/>
  </r>
  <r>
    <x v="3"/>
    <x v="7"/>
    <x v="8"/>
    <x v="10"/>
    <n v="139450039.90000001"/>
    <n v="814746.25"/>
    <n v="3645740"/>
    <n v="38.25013302"/>
  </r>
  <r>
    <x v="3"/>
    <x v="3"/>
    <x v="6"/>
    <x v="3"/>
    <n v="167830.2"/>
    <n v="5011.49"/>
    <n v="9358"/>
    <n v="17.93440906"/>
  </r>
  <r>
    <x v="1"/>
    <x v="2"/>
    <x v="0"/>
    <x v="8"/>
    <n v="305404.28999999998"/>
    <n v="10377.56"/>
    <n v="45323"/>
    <n v="6.7383952960000002"/>
  </r>
  <r>
    <x v="3"/>
    <x v="9"/>
    <x v="4"/>
    <x v="8"/>
    <n v="1138.8900000000001"/>
    <n v="66.87"/>
    <n v="76"/>
    <n v="14.98539474"/>
  </r>
  <r>
    <x v="0"/>
    <x v="3"/>
    <x v="5"/>
    <x v="7"/>
    <n v="3831951.7"/>
    <n v="143150.69"/>
    <n v="82617"/>
    <n v="46.38212111"/>
  </r>
  <r>
    <x v="1"/>
    <x v="7"/>
    <x v="8"/>
    <x v="10"/>
    <n v="197940704.30000001"/>
    <n v="961273.02"/>
    <n v="4308841"/>
    <n v="45.938270699999997"/>
  </r>
  <r>
    <x v="3"/>
    <x v="8"/>
    <x v="6"/>
    <x v="7"/>
    <n v="4.1100000000000003"/>
    <n v="0.42"/>
    <n v="7"/>
    <n v="0.58714285710000003"/>
  </r>
  <r>
    <x v="2"/>
    <x v="7"/>
    <x v="7"/>
    <x v="1"/>
    <n v="5426608.7599999998"/>
    <n v="146996.47"/>
    <n v="94074"/>
    <n v="57.684469249999999"/>
  </r>
  <r>
    <x v="1"/>
    <x v="7"/>
    <x v="9"/>
    <x v="5"/>
    <n v="610844445.29999995"/>
    <n v="21530649.149999999"/>
    <n v="8429096"/>
    <n v="72.468559540000001"/>
  </r>
  <r>
    <x v="0"/>
    <x v="9"/>
    <x v="8"/>
    <x v="8"/>
    <n v="4317.01"/>
    <n v="198.43"/>
    <n v="137"/>
    <n v="31.511021899999999"/>
  </r>
  <r>
    <x v="3"/>
    <x v="2"/>
    <x v="4"/>
    <x v="4"/>
    <n v="16572426.310000001"/>
    <n v="575121.26"/>
    <n v="128899"/>
    <n v="128.5690836"/>
  </r>
  <r>
    <x v="1"/>
    <x v="6"/>
    <x v="7"/>
    <x v="1"/>
    <n v="23616.87"/>
    <n v="902.73"/>
    <n v="693"/>
    <n v="34.079177489999999"/>
  </r>
  <r>
    <x v="1"/>
    <x v="6"/>
    <x v="7"/>
    <x v="6"/>
    <n v="871694.65"/>
    <n v="29556.75"/>
    <n v="3478"/>
    <n v="250.63100919999999"/>
  </r>
  <r>
    <x v="2"/>
    <x v="5"/>
    <x v="5"/>
    <x v="5"/>
    <n v="7225311.3700000001"/>
    <n v="312702.3"/>
    <n v="290356"/>
    <n v="24.88431915"/>
  </r>
  <r>
    <x v="2"/>
    <x v="8"/>
    <x v="2"/>
    <x v="4"/>
    <n v="9508.93"/>
    <n v="143.1"/>
    <n v="46"/>
    <n v="206.71586959999999"/>
  </r>
  <r>
    <x v="1"/>
    <x v="7"/>
    <x v="0"/>
    <x v="2"/>
    <n v="15154.5"/>
    <n v="479.33"/>
    <n v="9122"/>
    <n v="1.661313308"/>
  </r>
  <r>
    <x v="2"/>
    <x v="3"/>
    <x v="2"/>
    <x v="1"/>
    <n v="727680.29"/>
    <n v="25130.83"/>
    <n v="16170"/>
    <n v="45.00187322"/>
  </r>
  <r>
    <x v="0"/>
    <x v="4"/>
    <x v="0"/>
    <x v="6"/>
    <n v="92119.86"/>
    <n v="1615.15"/>
    <n v="304"/>
    <n v="303.02585529999999"/>
  </r>
  <r>
    <x v="2"/>
    <x v="0"/>
    <x v="8"/>
    <x v="4"/>
    <n v="103"/>
    <n v="3.59"/>
    <n v="2"/>
    <n v="51.5"/>
  </r>
  <r>
    <x v="1"/>
    <x v="3"/>
    <x v="1"/>
    <x v="3"/>
    <n v="39752.31"/>
    <n v="1345.86"/>
    <n v="2469"/>
    <n v="16.100571080000002"/>
  </r>
  <r>
    <x v="1"/>
    <x v="6"/>
    <x v="5"/>
    <x v="6"/>
    <n v="426072.86"/>
    <n v="15104.61"/>
    <n v="2217"/>
    <n v="192.18442039999999"/>
  </r>
  <r>
    <x v="2"/>
    <x v="8"/>
    <x v="4"/>
    <x v="8"/>
    <n v="16879.8"/>
    <n v="556.28"/>
    <n v="965"/>
    <n v="17.49202073"/>
  </r>
  <r>
    <x v="2"/>
    <x v="4"/>
    <x v="3"/>
    <x v="6"/>
    <n v="4182053.35"/>
    <n v="133963.82"/>
    <n v="10422"/>
    <n v="401.27167050000003"/>
  </r>
  <r>
    <x v="0"/>
    <x v="6"/>
    <x v="1"/>
    <x v="5"/>
    <n v="5988190.1799999997"/>
    <n v="247414.1"/>
    <n v="172040"/>
    <n v="34.806964540000003"/>
  </r>
  <r>
    <x v="0"/>
    <x v="2"/>
    <x v="4"/>
    <x v="4"/>
    <n v="28453861.289999999"/>
    <n v="984766.45"/>
    <n v="181510"/>
    <n v="156.76194860000001"/>
  </r>
  <r>
    <x v="0"/>
    <x v="6"/>
    <x v="0"/>
    <x v="8"/>
    <n v="94457246.349999994"/>
    <n v="2947514.3"/>
    <n v="1046594"/>
    <n v="90.252042669999994"/>
  </r>
  <r>
    <x v="3"/>
    <x v="4"/>
    <x v="8"/>
    <x v="6"/>
    <n v="41627478.359999999"/>
    <n v="1179293.3999999999"/>
    <n v="52686"/>
    <n v="790.10512010000002"/>
  </r>
  <r>
    <x v="1"/>
    <x v="1"/>
    <x v="3"/>
    <x v="2"/>
    <n v="1042001.1"/>
    <n v="32351.86"/>
    <n v="5108"/>
    <n v="203.9939507"/>
  </r>
  <r>
    <x v="3"/>
    <x v="0"/>
    <x v="4"/>
    <x v="2"/>
    <n v="6150.6"/>
    <n v="87.4"/>
    <n v="81"/>
    <n v="75.933333329999996"/>
  </r>
  <r>
    <x v="0"/>
    <x v="7"/>
    <x v="0"/>
    <x v="8"/>
    <n v="97367540.810000002"/>
    <n v="3408790.71"/>
    <n v="1414225"/>
    <n v="68.848691549999998"/>
  </r>
  <r>
    <x v="0"/>
    <x v="0"/>
    <x v="8"/>
    <x v="5"/>
    <n v="10038.280000000001"/>
    <n v="388.11"/>
    <n v="340"/>
    <n v="29.52435294"/>
  </r>
  <r>
    <x v="3"/>
    <x v="7"/>
    <x v="8"/>
    <x v="6"/>
    <n v="20197015.609999999"/>
    <n v="576144.98"/>
    <n v="74914"/>
    <n v="269.60268589999998"/>
  </r>
  <r>
    <x v="1"/>
    <x v="3"/>
    <x v="2"/>
    <x v="4"/>
    <n v="28442381.449999999"/>
    <n v="948926.08"/>
    <n v="96895"/>
    <n v="293.53817479999998"/>
  </r>
  <r>
    <x v="2"/>
    <x v="6"/>
    <x v="6"/>
    <x v="0"/>
    <n v="7646191.5999999996"/>
    <n v="198398.74"/>
    <n v="133416"/>
    <n v="57.310904239999999"/>
  </r>
  <r>
    <x v="1"/>
    <x v="1"/>
    <x v="7"/>
    <x v="5"/>
    <n v="228237014.30000001"/>
    <n v="6574755.5099999998"/>
    <n v="3468030"/>
    <n v="65.811718549999995"/>
  </r>
  <r>
    <x v="1"/>
    <x v="3"/>
    <x v="1"/>
    <x v="2"/>
    <n v="37224061.640000001"/>
    <n v="1340005.83"/>
    <n v="194546"/>
    <n v="191.3380981"/>
  </r>
  <r>
    <x v="3"/>
    <x v="4"/>
    <x v="7"/>
    <x v="8"/>
    <n v="67311613.019999996"/>
    <n v="2469334.85"/>
    <n v="1381910"/>
    <n v="48.709114939999999"/>
  </r>
  <r>
    <x v="0"/>
    <x v="4"/>
    <x v="8"/>
    <x v="5"/>
    <n v="618428300.20000005"/>
    <n v="19393401.960000001"/>
    <n v="6330171"/>
    <n v="97.695354550000005"/>
  </r>
  <r>
    <x v="2"/>
    <x v="2"/>
    <x v="2"/>
    <x v="0"/>
    <n v="5587342.46"/>
    <n v="209615.7"/>
    <n v="103260"/>
    <n v="54.10945632"/>
  </r>
  <r>
    <x v="0"/>
    <x v="8"/>
    <x v="6"/>
    <x v="1"/>
    <n v="1270.22"/>
    <n v="35.409999999999997"/>
    <n v="41"/>
    <n v="30.980975610000002"/>
  </r>
  <r>
    <x v="0"/>
    <x v="1"/>
    <x v="8"/>
    <x v="3"/>
    <n v="74277681.390000001"/>
    <n v="2121642.85"/>
    <n v="3375499"/>
    <n v="22.004948420000002"/>
  </r>
  <r>
    <x v="2"/>
    <x v="6"/>
    <x v="8"/>
    <x v="7"/>
    <n v="309801.26"/>
    <n v="9764.36"/>
    <n v="5517"/>
    <n v="56.153935109999999"/>
  </r>
  <r>
    <x v="2"/>
    <x v="1"/>
    <x v="8"/>
    <x v="8"/>
    <n v="169435055.40000001"/>
    <n v="5115346.3899999997"/>
    <n v="2369983"/>
    <n v="71.492097349999995"/>
  </r>
  <r>
    <x v="3"/>
    <x v="4"/>
    <x v="2"/>
    <x v="6"/>
    <n v="5205613.3600000003"/>
    <n v="159503.70000000001"/>
    <n v="14851"/>
    <n v="350.52274999999997"/>
  </r>
  <r>
    <x v="0"/>
    <x v="5"/>
    <x v="4"/>
    <x v="0"/>
    <n v="1555108.46"/>
    <n v="69456.509999999995"/>
    <n v="72131"/>
    <n v="21.559502290000001"/>
  </r>
  <r>
    <x v="2"/>
    <x v="7"/>
    <x v="0"/>
    <x v="7"/>
    <n v="31.97"/>
    <n v="2.14"/>
    <n v="5"/>
    <n v="6.3940000000000001"/>
  </r>
  <r>
    <x v="0"/>
    <x v="8"/>
    <x v="7"/>
    <x v="1"/>
    <n v="132.47"/>
    <n v="8.42"/>
    <n v="37"/>
    <n v="3.5802702700000002"/>
  </r>
  <r>
    <x v="2"/>
    <x v="8"/>
    <x v="6"/>
    <x v="8"/>
    <n v="11365.54"/>
    <n v="339.32"/>
    <n v="670"/>
    <n v="16.963492540000001"/>
  </r>
  <r>
    <x v="3"/>
    <x v="2"/>
    <x v="0"/>
    <x v="1"/>
    <n v="75"/>
    <n v="2.48"/>
    <n v="1"/>
    <n v="75"/>
  </r>
  <r>
    <x v="2"/>
    <x v="5"/>
    <x v="8"/>
    <x v="6"/>
    <n v="1522936.82"/>
    <n v="50253.62"/>
    <n v="13725"/>
    <n v="110.9607883"/>
  </r>
  <r>
    <x v="0"/>
    <x v="5"/>
    <x v="8"/>
    <x v="4"/>
    <n v="2468109.1"/>
    <n v="83375.360000000001"/>
    <n v="21966"/>
    <n v="112.36042519999999"/>
  </r>
  <r>
    <x v="3"/>
    <x v="4"/>
    <x v="3"/>
    <x v="2"/>
    <n v="4012944.82"/>
    <n v="131241.97"/>
    <n v="20222"/>
    <n v="198.44450699999999"/>
  </r>
  <r>
    <x v="3"/>
    <x v="2"/>
    <x v="3"/>
    <x v="5"/>
    <n v="22475180.73"/>
    <n v="857412.71"/>
    <n v="496925"/>
    <n v="45.228516839999998"/>
  </r>
  <r>
    <x v="0"/>
    <x v="8"/>
    <x v="1"/>
    <x v="0"/>
    <n v="-198.48"/>
    <n v="140.69"/>
    <n v="438"/>
    <n v="-0.45315068489999999"/>
  </r>
  <r>
    <x v="0"/>
    <x v="3"/>
    <x v="9"/>
    <x v="7"/>
    <n v="11457624.880000001"/>
    <n v="419719.2"/>
    <n v="232702"/>
    <n v="49.237328769999998"/>
  </r>
  <r>
    <x v="0"/>
    <x v="5"/>
    <x v="1"/>
    <x v="0"/>
    <n v="1284541.42"/>
    <n v="55329.84"/>
    <n v="54308"/>
    <n v="23.652894969999998"/>
  </r>
  <r>
    <x v="2"/>
    <x v="9"/>
    <x v="0"/>
    <x v="5"/>
    <n v="7754.47"/>
    <n v="280.27"/>
    <n v="65"/>
    <n v="119.2995385"/>
  </r>
  <r>
    <x v="3"/>
    <x v="6"/>
    <x v="3"/>
    <x v="2"/>
    <n v="1590417.94"/>
    <n v="47113.4"/>
    <n v="6874"/>
    <n v="231.36717200000001"/>
  </r>
  <r>
    <x v="1"/>
    <x v="5"/>
    <x v="5"/>
    <x v="1"/>
    <n v="6881.39"/>
    <n v="261.58"/>
    <n v="245"/>
    <n v="28.087306120000001"/>
  </r>
  <r>
    <x v="1"/>
    <x v="5"/>
    <x v="0"/>
    <x v="6"/>
    <n v="14559.17"/>
    <n v="349.78"/>
    <n v="149"/>
    <n v="97.712550340000007"/>
  </r>
  <r>
    <x v="1"/>
    <x v="9"/>
    <x v="8"/>
    <x v="10"/>
    <n v="125837.5"/>
    <n v="919.74"/>
    <n v="4486"/>
    <n v="28.051159160000001"/>
  </r>
  <r>
    <x v="0"/>
    <x v="9"/>
    <x v="2"/>
    <x v="5"/>
    <n v="16284.75"/>
    <n v="556.95000000000005"/>
    <n v="234"/>
    <n v="69.592948719999995"/>
  </r>
  <r>
    <x v="0"/>
    <x v="8"/>
    <x v="7"/>
    <x v="6"/>
    <n v="1116.99"/>
    <n v="34.4"/>
    <n v="8"/>
    <n v="139.62375"/>
  </r>
  <r>
    <x v="0"/>
    <x v="3"/>
    <x v="3"/>
    <x v="0"/>
    <n v="4843973.2"/>
    <n v="182112.74"/>
    <n v="81069"/>
    <n v="59.751239069999997"/>
  </r>
  <r>
    <x v="1"/>
    <x v="6"/>
    <x v="2"/>
    <x v="4"/>
    <n v="3676695.53"/>
    <n v="114650.16"/>
    <n v="8619"/>
    <n v="426.58029119999998"/>
  </r>
  <r>
    <x v="3"/>
    <x v="0"/>
    <x v="5"/>
    <x v="8"/>
    <n v="257.88"/>
    <n v="10.47"/>
    <n v="10"/>
    <n v="25.788"/>
  </r>
  <r>
    <x v="0"/>
    <x v="9"/>
    <x v="1"/>
    <x v="1"/>
    <n v="491.94"/>
    <n v="9.74"/>
    <n v="21"/>
    <n v="23.425714289999998"/>
  </r>
  <r>
    <x v="0"/>
    <x v="3"/>
    <x v="0"/>
    <x v="4"/>
    <n v="47743622.659999996"/>
    <n v="1562171.7"/>
    <n v="147718"/>
    <n v="323.20788709999999"/>
  </r>
  <r>
    <x v="1"/>
    <x v="3"/>
    <x v="6"/>
    <x v="7"/>
    <n v="5077087.3499999996"/>
    <n v="191224.14"/>
    <n v="105092"/>
    <n v="48.310883320000002"/>
  </r>
  <r>
    <x v="2"/>
    <x v="8"/>
    <x v="8"/>
    <x v="1"/>
    <n v="-21.19"/>
    <n v="0"/>
    <n v="17"/>
    <n v="-1.246470588"/>
  </r>
  <r>
    <x v="0"/>
    <x v="6"/>
    <x v="0"/>
    <x v="2"/>
    <n v="52815.41"/>
    <n v="1151.92"/>
    <n v="1287"/>
    <n v="41.037614609999999"/>
  </r>
  <r>
    <x v="0"/>
    <x v="3"/>
    <x v="0"/>
    <x v="3"/>
    <n v="82.66"/>
    <n v="3.24"/>
    <n v="332"/>
    <n v="0.24897590359999999"/>
  </r>
  <r>
    <x v="1"/>
    <x v="8"/>
    <x v="5"/>
    <x v="1"/>
    <n v="0"/>
    <n v="0"/>
    <n v="1"/>
    <n v="0"/>
  </r>
  <r>
    <x v="1"/>
    <x v="6"/>
    <x v="0"/>
    <x v="0"/>
    <n v="1361.38"/>
    <n v="71.099999999999994"/>
    <n v="1116"/>
    <n v="1.2198745520000001"/>
  </r>
  <r>
    <x v="0"/>
    <x v="8"/>
    <x v="9"/>
    <x v="4"/>
    <n v="4355.57"/>
    <n v="80.099999999999994"/>
    <n v="49"/>
    <n v="88.889183669999994"/>
  </r>
  <r>
    <x v="1"/>
    <x v="4"/>
    <x v="4"/>
    <x v="4"/>
    <n v="29543099.98"/>
    <n v="1020154.56"/>
    <n v="131913"/>
    <n v="223.9589728"/>
  </r>
  <r>
    <x v="3"/>
    <x v="2"/>
    <x v="7"/>
    <x v="0"/>
    <n v="1790741.32"/>
    <n v="66886.59"/>
    <n v="34576"/>
    <n v="51.791454190000003"/>
  </r>
  <r>
    <x v="0"/>
    <x v="9"/>
    <x v="4"/>
    <x v="1"/>
    <n v="6735.29"/>
    <n v="29.39"/>
    <n v="59"/>
    <n v="114.1574576"/>
  </r>
  <r>
    <x v="1"/>
    <x v="3"/>
    <x v="3"/>
    <x v="7"/>
    <n v="606075.59"/>
    <n v="23072.34"/>
    <n v="11800"/>
    <n v="51.362338139999999"/>
  </r>
  <r>
    <x v="0"/>
    <x v="5"/>
    <x v="6"/>
    <x v="0"/>
    <n v="1325590.1599999999"/>
    <n v="59859.08"/>
    <n v="62601"/>
    <n v="21.1752234"/>
  </r>
  <r>
    <x v="3"/>
    <x v="7"/>
    <x v="0"/>
    <x v="4"/>
    <n v="16607340.68"/>
    <n v="537608.73"/>
    <n v="81760"/>
    <n v="203.12305140000001"/>
  </r>
  <r>
    <x v="3"/>
    <x v="2"/>
    <x v="1"/>
    <x v="2"/>
    <n v="34979308.469999999"/>
    <n v="1203270.26"/>
    <n v="231504"/>
    <n v="151.09591399999999"/>
  </r>
  <r>
    <x v="1"/>
    <x v="6"/>
    <x v="0"/>
    <x v="5"/>
    <n v="61302.51"/>
    <n v="2187.62"/>
    <n v="4291"/>
    <n v="14.286299229999999"/>
  </r>
  <r>
    <x v="0"/>
    <x v="6"/>
    <x v="2"/>
    <x v="9"/>
    <n v="12093.02"/>
    <n v="431.31"/>
    <n v="358"/>
    <n v="33.779385470000001"/>
  </r>
  <r>
    <x v="3"/>
    <x v="0"/>
    <x v="5"/>
    <x v="2"/>
    <n v="1095.95"/>
    <n v="13.64"/>
    <n v="24"/>
    <n v="45.664583329999999"/>
  </r>
  <r>
    <x v="0"/>
    <x v="3"/>
    <x v="0"/>
    <x v="9"/>
    <n v="439.3"/>
    <n v="20.059999999999999"/>
    <n v="226"/>
    <n v="1.9438053099999999"/>
  </r>
  <r>
    <x v="0"/>
    <x v="8"/>
    <x v="7"/>
    <x v="2"/>
    <n v="8466.6"/>
    <n v="220.48"/>
    <n v="293"/>
    <n v="28.89624573"/>
  </r>
  <r>
    <x v="1"/>
    <x v="8"/>
    <x v="0"/>
    <x v="1"/>
    <n v="0"/>
    <n v="0"/>
    <n v="3"/>
    <n v="0"/>
  </r>
  <r>
    <x v="1"/>
    <x v="3"/>
    <x v="3"/>
    <x v="3"/>
    <n v="12668.66"/>
    <n v="385.15"/>
    <n v="848"/>
    <n v="14.93945755"/>
  </r>
  <r>
    <x v="2"/>
    <x v="4"/>
    <x v="0"/>
    <x v="4"/>
    <n v="86675.62"/>
    <n v="1255"/>
    <n v="635"/>
    <n v="136.49703940000001"/>
  </r>
  <r>
    <x v="0"/>
    <x v="1"/>
    <x v="8"/>
    <x v="0"/>
    <n v="518642521.89999998"/>
    <n v="11691234"/>
    <n v="7683788"/>
    <n v="67.498286250000007"/>
  </r>
  <r>
    <x v="1"/>
    <x v="7"/>
    <x v="3"/>
    <x v="5"/>
    <n v="77328541.25"/>
    <n v="2562583.67"/>
    <n v="719182"/>
    <n v="107.5229097"/>
  </r>
  <r>
    <x v="2"/>
    <x v="9"/>
    <x v="0"/>
    <x v="2"/>
    <n v="20"/>
    <n v="0.88"/>
    <n v="1"/>
    <n v="20"/>
  </r>
  <r>
    <x v="2"/>
    <x v="5"/>
    <x v="4"/>
    <x v="8"/>
    <n v="6320512.0999999996"/>
    <n v="256179.41"/>
    <n v="223019"/>
    <n v="28.340688910000001"/>
  </r>
  <r>
    <x v="2"/>
    <x v="1"/>
    <x v="0"/>
    <x v="3"/>
    <n v="2638.45"/>
    <n v="63.01"/>
    <n v="262"/>
    <n v="10.07041985"/>
  </r>
  <r>
    <x v="3"/>
    <x v="2"/>
    <x v="3"/>
    <x v="2"/>
    <n v="8747316.5199999996"/>
    <n v="284537.23"/>
    <n v="47283"/>
    <n v="184.9991862"/>
  </r>
  <r>
    <x v="1"/>
    <x v="8"/>
    <x v="2"/>
    <x v="7"/>
    <n v="78.45"/>
    <n v="2.58"/>
    <n v="9"/>
    <n v="8.7166666670000001"/>
  </r>
  <r>
    <x v="1"/>
    <x v="7"/>
    <x v="6"/>
    <x v="6"/>
    <n v="10487482.58"/>
    <n v="345393.73"/>
    <n v="60157"/>
    <n v="174.33519920000001"/>
  </r>
  <r>
    <x v="1"/>
    <x v="9"/>
    <x v="9"/>
    <x v="8"/>
    <n v="6439.6"/>
    <n v="285.89"/>
    <n v="146"/>
    <n v="44.106849320000002"/>
  </r>
  <r>
    <x v="3"/>
    <x v="0"/>
    <x v="2"/>
    <x v="2"/>
    <n v="9749.52"/>
    <n v="192.77"/>
    <n v="49"/>
    <n v="198.96979590000001"/>
  </r>
  <r>
    <x v="0"/>
    <x v="6"/>
    <x v="8"/>
    <x v="7"/>
    <n v="410627.84000000003"/>
    <n v="11090.53"/>
    <n v="6136"/>
    <n v="66.921095179999995"/>
  </r>
  <r>
    <x v="0"/>
    <x v="2"/>
    <x v="0"/>
    <x v="8"/>
    <n v="390363.19"/>
    <n v="11501.94"/>
    <n v="57219"/>
    <n v="6.8222651570000004"/>
  </r>
  <r>
    <x v="1"/>
    <x v="4"/>
    <x v="8"/>
    <x v="5"/>
    <n v="562902724.39999998"/>
    <n v="17656330.789999999"/>
    <n v="5581716"/>
    <n v="100.84761109999999"/>
  </r>
  <r>
    <x v="1"/>
    <x v="5"/>
    <x v="3"/>
    <x v="6"/>
    <n v="513748.17"/>
    <n v="16495.63"/>
    <n v="3971"/>
    <n v="129.37501130000001"/>
  </r>
  <r>
    <x v="0"/>
    <x v="5"/>
    <x v="5"/>
    <x v="3"/>
    <n v="63.48"/>
    <n v="2.4300000000000002"/>
    <n v="7"/>
    <n v="9.0685714290000004"/>
  </r>
  <r>
    <x v="0"/>
    <x v="6"/>
    <x v="8"/>
    <x v="3"/>
    <n v="534.77"/>
    <n v="30.66"/>
    <n v="70"/>
    <n v="7.6395714290000001"/>
  </r>
  <r>
    <x v="1"/>
    <x v="4"/>
    <x v="9"/>
    <x v="4"/>
    <n v="28152051.420000002"/>
    <n v="970455.6"/>
    <n v="122463"/>
    <n v="229.88209839999999"/>
  </r>
  <r>
    <x v="0"/>
    <x v="7"/>
    <x v="0"/>
    <x v="6"/>
    <n v="84884.56"/>
    <n v="1386.72"/>
    <n v="638"/>
    <n v="133.04789969999999"/>
  </r>
  <r>
    <x v="2"/>
    <x v="4"/>
    <x v="6"/>
    <x v="0"/>
    <n v="86677773.239999995"/>
    <n v="2755412.38"/>
    <n v="1689788"/>
    <n v="51.295057870000001"/>
  </r>
  <r>
    <x v="0"/>
    <x v="4"/>
    <x v="4"/>
    <x v="9"/>
    <n v="2003931.62"/>
    <n v="69254.12"/>
    <n v="47294"/>
    <n v="42.371793889999999"/>
  </r>
  <r>
    <x v="3"/>
    <x v="4"/>
    <x v="3"/>
    <x v="3"/>
    <n v="75357.070000000007"/>
    <n v="2391.81"/>
    <n v="6574"/>
    <n v="11.462894739999999"/>
  </r>
  <r>
    <x v="1"/>
    <x v="5"/>
    <x v="5"/>
    <x v="7"/>
    <n v="10841.64"/>
    <n v="449.26"/>
    <n v="265433"/>
    <n v="4.0845109689999999E-2"/>
  </r>
  <r>
    <x v="0"/>
    <x v="3"/>
    <x v="4"/>
    <x v="9"/>
    <n v="1449579.7"/>
    <n v="54595.28"/>
    <n v="36166"/>
    <n v="40.08128353"/>
  </r>
  <r>
    <x v="0"/>
    <x v="2"/>
    <x v="3"/>
    <x v="9"/>
    <n v="9497.6299999999992"/>
    <n v="353.44"/>
    <n v="315"/>
    <n v="30.151206349999999"/>
  </r>
  <r>
    <x v="0"/>
    <x v="1"/>
    <x v="2"/>
    <x v="6"/>
    <n v="3003846.33"/>
    <n v="84348.62"/>
    <n v="6295"/>
    <n v="477.17971879999999"/>
  </r>
  <r>
    <x v="3"/>
    <x v="7"/>
    <x v="0"/>
    <x v="2"/>
    <n v="9221.27"/>
    <n v="177.81"/>
    <n v="4817"/>
    <n v="1.9143180399999999"/>
  </r>
  <r>
    <x v="0"/>
    <x v="2"/>
    <x v="3"/>
    <x v="5"/>
    <n v="18061083.579999998"/>
    <n v="702576.29"/>
    <n v="438870"/>
    <n v="41.153607170000001"/>
  </r>
  <r>
    <x v="1"/>
    <x v="6"/>
    <x v="8"/>
    <x v="10"/>
    <n v="7709823.8899999997"/>
    <n v="8356.76"/>
    <n v="37887"/>
    <n v="203.49523289999999"/>
  </r>
  <r>
    <x v="1"/>
    <x v="2"/>
    <x v="1"/>
    <x v="7"/>
    <n v="667166.93999999994"/>
    <n v="27076.95"/>
    <n v="15638"/>
    <n v="42.663188390000002"/>
  </r>
  <r>
    <x v="1"/>
    <x v="2"/>
    <x v="3"/>
    <x v="2"/>
    <n v="10491987.93"/>
    <n v="344592.74"/>
    <n v="57778"/>
    <n v="181.5914004"/>
  </r>
  <r>
    <x v="1"/>
    <x v="5"/>
    <x v="0"/>
    <x v="1"/>
    <n v="-1"/>
    <n v="0"/>
    <n v="10"/>
    <n v="-0.1"/>
  </r>
  <r>
    <x v="1"/>
    <x v="2"/>
    <x v="7"/>
    <x v="2"/>
    <n v="33406994.969999999"/>
    <n v="1209491.4099999999"/>
    <n v="398973"/>
    <n v="83.732470539999994"/>
  </r>
  <r>
    <x v="0"/>
    <x v="4"/>
    <x v="2"/>
    <x v="8"/>
    <n v="116895947.59999999"/>
    <n v="4087351.06"/>
    <n v="1695757"/>
    <n v="68.934374180000006"/>
  </r>
  <r>
    <x v="1"/>
    <x v="5"/>
    <x v="7"/>
    <x v="7"/>
    <n v="20189.47"/>
    <n v="855.66"/>
    <n v="785"/>
    <n v="25.71907006"/>
  </r>
  <r>
    <x v="3"/>
    <x v="0"/>
    <x v="0"/>
    <x v="11"/>
    <n v="125"/>
    <n v="4.2300000000000004"/>
    <n v="2"/>
    <n v="62.5"/>
  </r>
  <r>
    <x v="0"/>
    <x v="1"/>
    <x v="1"/>
    <x v="0"/>
    <n v="195513499.59999999"/>
    <n v="5071905.45"/>
    <n v="4249662"/>
    <n v="46.006835270000003"/>
  </r>
  <r>
    <x v="0"/>
    <x v="8"/>
    <x v="2"/>
    <x v="0"/>
    <n v="-141.53"/>
    <n v="77.28"/>
    <n v="232"/>
    <n v="-0.61004310340000001"/>
  </r>
  <r>
    <x v="2"/>
    <x v="4"/>
    <x v="6"/>
    <x v="3"/>
    <n v="1643704.92"/>
    <n v="53675.87"/>
    <n v="100084"/>
    <n v="16.423253670000001"/>
  </r>
  <r>
    <x v="0"/>
    <x v="4"/>
    <x v="9"/>
    <x v="0"/>
    <n v="133697977.5"/>
    <n v="4446758.42"/>
    <n v="2447092"/>
    <n v="54.635452000000001"/>
  </r>
  <r>
    <x v="3"/>
    <x v="0"/>
    <x v="2"/>
    <x v="5"/>
    <n v="5038.2700000000004"/>
    <n v="164.04"/>
    <n v="58"/>
    <n v="86.866724140000002"/>
  </r>
  <r>
    <x v="2"/>
    <x v="6"/>
    <x v="3"/>
    <x v="1"/>
    <n v="8924.1"/>
    <n v="415.83"/>
    <n v="161"/>
    <n v="55.429192550000003"/>
  </r>
  <r>
    <x v="1"/>
    <x v="9"/>
    <x v="7"/>
    <x v="1"/>
    <n v="140.84"/>
    <n v="0"/>
    <n v="3"/>
    <n v="46.946666669999999"/>
  </r>
  <r>
    <x v="0"/>
    <x v="5"/>
    <x v="1"/>
    <x v="3"/>
    <n v="106.75"/>
    <n v="5.92"/>
    <n v="10"/>
    <n v="10.675000000000001"/>
  </r>
  <r>
    <x v="2"/>
    <x v="4"/>
    <x v="7"/>
    <x v="5"/>
    <n v="572423137.5"/>
    <n v="20129126.609999999"/>
    <n v="9836605"/>
    <n v="58.193160900000002"/>
  </r>
  <r>
    <x v="3"/>
    <x v="6"/>
    <x v="0"/>
    <x v="5"/>
    <n v="2173608.94"/>
    <n v="79276.88"/>
    <n v="33992"/>
    <n v="63.944720519999997"/>
  </r>
  <r>
    <x v="0"/>
    <x v="6"/>
    <x v="0"/>
    <x v="6"/>
    <n v="8397230.8699999992"/>
    <n v="256588.23"/>
    <n v="24670"/>
    <n v="340.38228090000001"/>
  </r>
  <r>
    <x v="2"/>
    <x v="6"/>
    <x v="0"/>
    <x v="11"/>
    <n v="95101041.510000005"/>
    <n v="2716567.92"/>
    <n v="212324"/>
    <n v="447.90528399999999"/>
  </r>
  <r>
    <x v="1"/>
    <x v="6"/>
    <x v="4"/>
    <x v="4"/>
    <n v="3124008.64"/>
    <n v="99642.26"/>
    <n v="9751"/>
    <n v="320.37828330000002"/>
  </r>
  <r>
    <x v="1"/>
    <x v="4"/>
    <x v="9"/>
    <x v="6"/>
    <n v="15888199.210000001"/>
    <n v="543280.99"/>
    <n v="47952"/>
    <n v="331.33548569999999"/>
  </r>
  <r>
    <x v="0"/>
    <x v="8"/>
    <x v="6"/>
    <x v="7"/>
    <n v="867.79"/>
    <n v="31.17"/>
    <n v="22"/>
    <n v="39.445"/>
  </r>
  <r>
    <x v="3"/>
    <x v="3"/>
    <x v="6"/>
    <x v="4"/>
    <n v="33325418.870000001"/>
    <n v="1165309.4099999999"/>
    <n v="193746"/>
    <n v="172.00571299999999"/>
  </r>
  <r>
    <x v="3"/>
    <x v="2"/>
    <x v="0"/>
    <x v="4"/>
    <n v="29899831.780000001"/>
    <n v="940784.88"/>
    <n v="113191"/>
    <n v="264.1537912"/>
  </r>
  <r>
    <x v="3"/>
    <x v="6"/>
    <x v="2"/>
    <x v="4"/>
    <n v="2661008.11"/>
    <n v="81471.789999999994"/>
    <n v="6964"/>
    <n v="382.1091485"/>
  </r>
  <r>
    <x v="2"/>
    <x v="4"/>
    <x v="9"/>
    <x v="1"/>
    <n v="2206247.63"/>
    <n v="70530.740000000005"/>
    <n v="48060"/>
    <n v="45.906109649999998"/>
  </r>
  <r>
    <x v="0"/>
    <x v="7"/>
    <x v="4"/>
    <x v="2"/>
    <n v="397562576.30000001"/>
    <n v="8073965.1100000003"/>
    <n v="2553387"/>
    <n v="155.70008630000001"/>
  </r>
  <r>
    <x v="2"/>
    <x v="4"/>
    <x v="2"/>
    <x v="8"/>
    <n v="102724181.2"/>
    <n v="3639614.61"/>
    <n v="1600893"/>
    <n v="64.16680015"/>
  </r>
  <r>
    <x v="0"/>
    <x v="4"/>
    <x v="5"/>
    <x v="2"/>
    <n v="24614077.399999999"/>
    <n v="871437.15"/>
    <n v="172787"/>
    <n v="142.4532945"/>
  </r>
  <r>
    <x v="0"/>
    <x v="0"/>
    <x v="2"/>
    <x v="2"/>
    <n v="371.09"/>
    <n v="7.76"/>
    <n v="6"/>
    <n v="61.848333330000003"/>
  </r>
  <r>
    <x v="0"/>
    <x v="5"/>
    <x v="0"/>
    <x v="5"/>
    <n v="13816.86"/>
    <n v="481.12"/>
    <n v="1072"/>
    <n v="12.88886194"/>
  </r>
  <r>
    <x v="0"/>
    <x v="4"/>
    <x v="0"/>
    <x v="5"/>
    <n v="141611339.80000001"/>
    <n v="4587016.09"/>
    <n v="2066707"/>
    <n v="68.520278770000004"/>
  </r>
  <r>
    <x v="2"/>
    <x v="4"/>
    <x v="6"/>
    <x v="5"/>
    <n v="749958451.10000002"/>
    <n v="26157959.120000001"/>
    <n v="12545752"/>
    <n v="59.777879480000003"/>
  </r>
  <r>
    <x v="2"/>
    <x v="7"/>
    <x v="4"/>
    <x v="8"/>
    <n v="29599990.760000002"/>
    <n v="1167944.1100000001"/>
    <n v="722379"/>
    <n v="40.975707710000002"/>
  </r>
  <r>
    <x v="2"/>
    <x v="1"/>
    <x v="5"/>
    <x v="2"/>
    <n v="4536807.09"/>
    <n v="155065.72"/>
    <n v="40516"/>
    <n v="111.9756908"/>
  </r>
  <r>
    <x v="2"/>
    <x v="1"/>
    <x v="6"/>
    <x v="2"/>
    <n v="8352330.2999999998"/>
    <n v="278958.73"/>
    <n v="57529"/>
    <n v="145.18469469999999"/>
  </r>
  <r>
    <x v="0"/>
    <x v="2"/>
    <x v="3"/>
    <x v="0"/>
    <n v="2758289.55"/>
    <n v="105907.94"/>
    <n v="59646"/>
    <n v="46.244334070000001"/>
  </r>
  <r>
    <x v="2"/>
    <x v="3"/>
    <x v="2"/>
    <x v="0"/>
    <n v="14963129.82"/>
    <n v="552860.93000000005"/>
    <n v="254287"/>
    <n v="58.843471430000001"/>
  </r>
  <r>
    <x v="3"/>
    <x v="5"/>
    <x v="5"/>
    <x v="0"/>
    <n v="49638.97"/>
    <n v="1913.07"/>
    <n v="553966"/>
    <n v="8.9606528199999994E-2"/>
  </r>
  <r>
    <x v="0"/>
    <x v="1"/>
    <x v="7"/>
    <x v="4"/>
    <n v="8627965.5700000003"/>
    <n v="260376.07"/>
    <n v="31802"/>
    <n v="271.30260900000002"/>
  </r>
  <r>
    <x v="3"/>
    <x v="3"/>
    <x v="8"/>
    <x v="7"/>
    <n v="2137012.85"/>
    <n v="76827.990000000005"/>
    <n v="35254"/>
    <n v="60.617599419999998"/>
  </r>
  <r>
    <x v="3"/>
    <x v="9"/>
    <x v="0"/>
    <x v="5"/>
    <n v="20290.57"/>
    <n v="676.48"/>
    <n v="131"/>
    <n v="154.88984730000001"/>
  </r>
  <r>
    <x v="0"/>
    <x v="4"/>
    <x v="3"/>
    <x v="9"/>
    <n v="50482.14"/>
    <n v="1641.43"/>
    <n v="944"/>
    <n v="53.476843219999999"/>
  </r>
  <r>
    <x v="0"/>
    <x v="3"/>
    <x v="8"/>
    <x v="2"/>
    <n v="575901150.39999998"/>
    <n v="11447336.210000001"/>
    <n v="1381395"/>
    <n v="416.89824440000001"/>
  </r>
  <r>
    <x v="0"/>
    <x v="5"/>
    <x v="0"/>
    <x v="8"/>
    <n v="33508892.640000001"/>
    <n v="1181475.52"/>
    <n v="751396"/>
    <n v="44.595516400000001"/>
  </r>
  <r>
    <x v="2"/>
    <x v="2"/>
    <x v="9"/>
    <x v="5"/>
    <n v="189922315.59999999"/>
    <n v="8024159.4800000004"/>
    <n v="6262963"/>
    <n v="30.324674689999998"/>
  </r>
  <r>
    <x v="0"/>
    <x v="1"/>
    <x v="0"/>
    <x v="3"/>
    <n v="3063.82"/>
    <n v="73.2"/>
    <n v="289"/>
    <n v="10.60145329"/>
  </r>
  <r>
    <x v="2"/>
    <x v="5"/>
    <x v="5"/>
    <x v="4"/>
    <n v="349551.68"/>
    <n v="13197.45"/>
    <n v="5583"/>
    <n v="62.610008960000002"/>
  </r>
  <r>
    <x v="1"/>
    <x v="0"/>
    <x v="3"/>
    <x v="4"/>
    <n v="207"/>
    <n v="6.3"/>
    <n v="1"/>
    <n v="207"/>
  </r>
  <r>
    <x v="2"/>
    <x v="0"/>
    <x v="2"/>
    <x v="8"/>
    <n v="75"/>
    <n v="2.78"/>
    <n v="2"/>
    <n v="37.5"/>
  </r>
  <r>
    <x v="3"/>
    <x v="7"/>
    <x v="8"/>
    <x v="8"/>
    <n v="12289016.779999999"/>
    <n v="458397.37"/>
    <n v="315404"/>
    <n v="38.962780369999997"/>
  </r>
  <r>
    <x v="0"/>
    <x v="1"/>
    <x v="2"/>
    <x v="8"/>
    <n v="65154147.899999999"/>
    <n v="2116991.7200000002"/>
    <n v="1134294"/>
    <n v="57.44026496"/>
  </r>
  <r>
    <x v="0"/>
    <x v="1"/>
    <x v="8"/>
    <x v="6"/>
    <n v="28360537.579999998"/>
    <n v="730003.35"/>
    <n v="24883"/>
    <n v="1139.7555589999999"/>
  </r>
  <r>
    <x v="2"/>
    <x v="1"/>
    <x v="4"/>
    <x v="7"/>
    <n v="52530623.170000002"/>
    <n v="1510241.87"/>
    <n v="1039603"/>
    <n v="50.529503249999998"/>
  </r>
  <r>
    <x v="2"/>
    <x v="2"/>
    <x v="9"/>
    <x v="8"/>
    <n v="134392966.30000001"/>
    <n v="4978770.62"/>
    <n v="2839264"/>
    <n v="47.333733770000002"/>
  </r>
  <r>
    <x v="1"/>
    <x v="5"/>
    <x v="6"/>
    <x v="7"/>
    <n v="35469.160000000003"/>
    <n v="1458.81"/>
    <n v="3659"/>
    <n v="9.6936758679999997"/>
  </r>
  <r>
    <x v="3"/>
    <x v="5"/>
    <x v="7"/>
    <x v="6"/>
    <n v="236418.51"/>
    <n v="8348.7199999999993"/>
    <n v="3353"/>
    <n v="70.509546670000006"/>
  </r>
  <r>
    <x v="1"/>
    <x v="2"/>
    <x v="4"/>
    <x v="3"/>
    <n v="31529.89"/>
    <n v="929.19"/>
    <n v="1892"/>
    <n v="16.66484672"/>
  </r>
  <r>
    <x v="1"/>
    <x v="8"/>
    <x v="0"/>
    <x v="6"/>
    <n v="3210.28"/>
    <n v="99.02"/>
    <n v="51"/>
    <n v="62.946666669999999"/>
  </r>
  <r>
    <x v="0"/>
    <x v="3"/>
    <x v="7"/>
    <x v="8"/>
    <n v="111933100.09999999"/>
    <n v="4385271.71"/>
    <n v="2285943"/>
    <n v="48.965831629999997"/>
  </r>
  <r>
    <x v="3"/>
    <x v="1"/>
    <x v="0"/>
    <x v="3"/>
    <n v="2451.38"/>
    <n v="65.27"/>
    <n v="319"/>
    <n v="7.6845768029999997"/>
  </r>
  <r>
    <x v="3"/>
    <x v="8"/>
    <x v="8"/>
    <x v="4"/>
    <n v="25876.82"/>
    <n v="272.86"/>
    <n v="152"/>
    <n v="170.2422368"/>
  </r>
  <r>
    <x v="0"/>
    <x v="2"/>
    <x v="2"/>
    <x v="0"/>
    <n v="9919014.9600000009"/>
    <n v="385865.67"/>
    <n v="233840"/>
    <n v="42.41795655"/>
  </r>
  <r>
    <x v="2"/>
    <x v="1"/>
    <x v="0"/>
    <x v="6"/>
    <n v="21142.03"/>
    <n v="250.68"/>
    <n v="82"/>
    <n v="257.82963410000002"/>
  </r>
  <r>
    <x v="3"/>
    <x v="6"/>
    <x v="6"/>
    <x v="3"/>
    <n v="157011"/>
    <n v="6017.6"/>
    <n v="8737"/>
    <n v="17.97081378"/>
  </r>
  <r>
    <x v="0"/>
    <x v="8"/>
    <x v="4"/>
    <x v="5"/>
    <n v="26400.95"/>
    <n v="689.19"/>
    <n v="611"/>
    <n v="43.209410800000001"/>
  </r>
  <r>
    <x v="1"/>
    <x v="4"/>
    <x v="5"/>
    <x v="4"/>
    <n v="16360370.199999999"/>
    <n v="556124.56000000006"/>
    <n v="77031"/>
    <n v="212.3868339"/>
  </r>
  <r>
    <x v="3"/>
    <x v="1"/>
    <x v="0"/>
    <x v="3"/>
    <n v="1362.18"/>
    <n v="435.89"/>
    <n v="17458"/>
    <n v="7.8026119830000004E-2"/>
  </r>
  <r>
    <x v="2"/>
    <x v="2"/>
    <x v="1"/>
    <x v="4"/>
    <n v="17613684.510000002"/>
    <n v="582173.52"/>
    <n v="81358"/>
    <n v="216.49603619999999"/>
  </r>
  <r>
    <x v="2"/>
    <x v="4"/>
    <x v="4"/>
    <x v="4"/>
    <n v="32790705.280000001"/>
    <n v="1132610.08"/>
    <n v="144264"/>
    <n v="227.2965208"/>
  </r>
  <r>
    <x v="1"/>
    <x v="6"/>
    <x v="5"/>
    <x v="5"/>
    <n v="22471223.719999999"/>
    <n v="935788.74"/>
    <n v="645074"/>
    <n v="34.835109959999997"/>
  </r>
  <r>
    <x v="0"/>
    <x v="1"/>
    <x v="4"/>
    <x v="3"/>
    <n v="58492024.210000001"/>
    <n v="1816196.73"/>
    <n v="4138909"/>
    <n v="14.132232480000001"/>
  </r>
  <r>
    <x v="1"/>
    <x v="4"/>
    <x v="0"/>
    <x v="0"/>
    <n v="30841.13"/>
    <n v="1216.3399999999999"/>
    <n v="11018"/>
    <n v="2.7991586490000002"/>
  </r>
  <r>
    <x v="1"/>
    <x v="3"/>
    <x v="9"/>
    <x v="4"/>
    <n v="44805154"/>
    <n v="1538537.98"/>
    <n v="190052"/>
    <n v="235.75207839999999"/>
  </r>
  <r>
    <x v="0"/>
    <x v="2"/>
    <x v="4"/>
    <x v="9"/>
    <n v="457669.86"/>
    <n v="19312.53"/>
    <n v="18219"/>
    <n v="25.120470940000001"/>
  </r>
  <r>
    <x v="1"/>
    <x v="3"/>
    <x v="4"/>
    <x v="2"/>
    <n v="95514915.900000006"/>
    <n v="2982415.75"/>
    <n v="435583"/>
    <n v="219.2806329"/>
  </r>
  <r>
    <x v="1"/>
    <x v="6"/>
    <x v="2"/>
    <x v="3"/>
    <n v="411.2"/>
    <n v="8.9600000000000009"/>
    <n v="25"/>
    <n v="16.448"/>
  </r>
  <r>
    <x v="3"/>
    <x v="8"/>
    <x v="6"/>
    <x v="8"/>
    <n v="2128.92"/>
    <n v="143.83000000000001"/>
    <n v="413"/>
    <n v="5.1547699759999999"/>
  </r>
  <r>
    <x v="3"/>
    <x v="3"/>
    <x v="2"/>
    <x v="6"/>
    <n v="9925124.1099999994"/>
    <n v="323855.53000000003"/>
    <n v="31683"/>
    <n v="313.26339389999998"/>
  </r>
  <r>
    <x v="1"/>
    <x v="8"/>
    <x v="6"/>
    <x v="4"/>
    <n v="1379.92"/>
    <n v="74.650000000000006"/>
    <n v="25"/>
    <n v="55.196800000000003"/>
  </r>
  <r>
    <x v="1"/>
    <x v="3"/>
    <x v="5"/>
    <x v="8"/>
    <n v="40761818.909999996"/>
    <n v="1680785.2"/>
    <n v="968145"/>
    <n v="42.103010300000001"/>
  </r>
  <r>
    <x v="0"/>
    <x v="4"/>
    <x v="0"/>
    <x v="1"/>
    <n v="61.9"/>
    <n v="2.1"/>
    <n v="3"/>
    <n v="20.633333329999999"/>
  </r>
  <r>
    <x v="3"/>
    <x v="4"/>
    <x v="1"/>
    <x v="3"/>
    <n v="412577.23"/>
    <n v="16002.81"/>
    <n v="48799"/>
    <n v="8.4546246850000006"/>
  </r>
  <r>
    <x v="0"/>
    <x v="3"/>
    <x v="7"/>
    <x v="1"/>
    <n v="14798726.17"/>
    <n v="527474.92000000004"/>
    <n v="397029"/>
    <n v="37.273665579999999"/>
  </r>
  <r>
    <x v="0"/>
    <x v="4"/>
    <x v="4"/>
    <x v="4"/>
    <n v="37997322.170000002"/>
    <n v="1348938.59"/>
    <n v="166125"/>
    <n v="228.72729670000001"/>
  </r>
  <r>
    <x v="1"/>
    <x v="8"/>
    <x v="0"/>
    <x v="5"/>
    <n v="20032.12"/>
    <n v="555.66999999999996"/>
    <n v="121"/>
    <n v="165.55471069999999"/>
  </r>
  <r>
    <x v="2"/>
    <x v="7"/>
    <x v="1"/>
    <x v="8"/>
    <n v="21618880.23"/>
    <n v="831848.36"/>
    <n v="436106"/>
    <n v="49.572535649999999"/>
  </r>
  <r>
    <x v="1"/>
    <x v="4"/>
    <x v="5"/>
    <x v="2"/>
    <n v="19109603.07"/>
    <n v="699139.91"/>
    <n v="131299"/>
    <n v="145.54263990000001"/>
  </r>
  <r>
    <x v="2"/>
    <x v="4"/>
    <x v="0"/>
    <x v="1"/>
    <n v="27.98"/>
    <n v="1.1100000000000001"/>
    <n v="1"/>
    <n v="27.98"/>
  </r>
  <r>
    <x v="0"/>
    <x v="0"/>
    <x v="1"/>
    <x v="8"/>
    <n v="516.75"/>
    <n v="22.07"/>
    <n v="12"/>
    <n v="43.0625"/>
  </r>
  <r>
    <x v="0"/>
    <x v="2"/>
    <x v="10"/>
    <x v="8"/>
    <n v="70"/>
    <n v="2.39"/>
    <n v="2"/>
    <n v="35"/>
  </r>
  <r>
    <x v="1"/>
    <x v="3"/>
    <x v="7"/>
    <x v="7"/>
    <n v="3132746.52"/>
    <n v="119474.47"/>
    <n v="64958"/>
    <n v="48.227262539999998"/>
  </r>
  <r>
    <x v="2"/>
    <x v="8"/>
    <x v="0"/>
    <x v="11"/>
    <n v="4387.75"/>
    <n v="150.28"/>
    <n v="221"/>
    <n v="19.8540724"/>
  </r>
  <r>
    <x v="2"/>
    <x v="9"/>
    <x v="1"/>
    <x v="1"/>
    <n v="350"/>
    <n v="8.34"/>
    <n v="8"/>
    <n v="43.75"/>
  </r>
  <r>
    <x v="3"/>
    <x v="5"/>
    <x v="6"/>
    <x v="2"/>
    <n v="3293353.49"/>
    <n v="116847.98"/>
    <n v="52666"/>
    <n v="62.532819850000003"/>
  </r>
  <r>
    <x v="1"/>
    <x v="1"/>
    <x v="9"/>
    <x v="1"/>
    <n v="173131.67"/>
    <n v="4347.54"/>
    <n v="3078"/>
    <n v="56.24810591"/>
  </r>
  <r>
    <x v="3"/>
    <x v="8"/>
    <x v="5"/>
    <x v="1"/>
    <n v="20.46"/>
    <n v="0.89"/>
    <n v="1"/>
    <n v="20.46"/>
  </r>
  <r>
    <x v="3"/>
    <x v="9"/>
    <x v="2"/>
    <x v="5"/>
    <n v="52476.68"/>
    <n v="1567.89"/>
    <n v="511"/>
    <n v="102.69409"/>
  </r>
  <r>
    <x v="2"/>
    <x v="3"/>
    <x v="4"/>
    <x v="2"/>
    <n v="101859323.59999999"/>
    <n v="2995709.21"/>
    <n v="459734"/>
    <n v="221.5614325"/>
  </r>
  <r>
    <x v="1"/>
    <x v="4"/>
    <x v="3"/>
    <x v="5"/>
    <n v="88805572.209999993"/>
    <n v="2879927.06"/>
    <n v="924523"/>
    <n v="96.055557530000002"/>
  </r>
  <r>
    <x v="0"/>
    <x v="4"/>
    <x v="9"/>
    <x v="9"/>
    <n v="1439737.02"/>
    <n v="48731.47"/>
    <n v="31158"/>
    <n v="46.207619870000002"/>
  </r>
  <r>
    <x v="3"/>
    <x v="4"/>
    <x v="8"/>
    <x v="5"/>
    <n v="527180832.30000001"/>
    <n v="16200506.1"/>
    <n v="5298493"/>
    <n v="99.49637233"/>
  </r>
  <r>
    <x v="1"/>
    <x v="6"/>
    <x v="0"/>
    <x v="5"/>
    <n v="3335794.01"/>
    <n v="123866.22"/>
    <n v="57511"/>
    <n v="58.002712699999996"/>
  </r>
  <r>
    <x v="2"/>
    <x v="8"/>
    <x v="7"/>
    <x v="8"/>
    <n v="1326.53"/>
    <n v="92.51"/>
    <n v="300"/>
    <n v="4.421766667"/>
  </r>
  <r>
    <x v="1"/>
    <x v="9"/>
    <x v="0"/>
    <x v="1"/>
    <n v="86"/>
    <n v="0.45"/>
    <n v="9"/>
    <n v="9.5555555559999998"/>
  </r>
  <r>
    <x v="3"/>
    <x v="1"/>
    <x v="0"/>
    <x v="2"/>
    <n v="7"/>
    <n v="0.43"/>
    <n v="56"/>
    <n v="0.125"/>
  </r>
  <r>
    <x v="3"/>
    <x v="9"/>
    <x v="5"/>
    <x v="2"/>
    <n v="7663.11"/>
    <n v="147.41"/>
    <n v="90"/>
    <n v="85.145666669999997"/>
  </r>
  <r>
    <x v="2"/>
    <x v="1"/>
    <x v="1"/>
    <x v="6"/>
    <n v="1202254.02"/>
    <n v="35559.19"/>
    <n v="3216"/>
    <n v="373.83520520000002"/>
  </r>
  <r>
    <x v="1"/>
    <x v="9"/>
    <x v="2"/>
    <x v="2"/>
    <n v="33388.879999999997"/>
    <n v="879.11"/>
    <n v="299"/>
    <n v="111.66849499999999"/>
  </r>
  <r>
    <x v="1"/>
    <x v="6"/>
    <x v="0"/>
    <x v="4"/>
    <n v="4874338.46"/>
    <n v="152625.12"/>
    <n v="15538"/>
    <n v="313.70436740000002"/>
  </r>
  <r>
    <x v="2"/>
    <x v="8"/>
    <x v="8"/>
    <x v="10"/>
    <n v="20802.16"/>
    <n v="128.32"/>
    <n v="541"/>
    <n v="38.451312379999997"/>
  </r>
  <r>
    <x v="2"/>
    <x v="3"/>
    <x v="0"/>
    <x v="6"/>
    <n v="17403071.73"/>
    <n v="556086.39"/>
    <n v="54248"/>
    <n v="320.80577590000001"/>
  </r>
  <r>
    <x v="1"/>
    <x v="3"/>
    <x v="0"/>
    <x v="11"/>
    <n v="577679321.29999995"/>
    <n v="18211197.530000001"/>
    <n v="1900774"/>
    <n v="303.91794149999998"/>
  </r>
  <r>
    <x v="0"/>
    <x v="4"/>
    <x v="6"/>
    <x v="6"/>
    <n v="26435343.059999999"/>
    <n v="930161.29"/>
    <n v="86845"/>
    <n v="304.39683409999998"/>
  </r>
  <r>
    <x v="3"/>
    <x v="3"/>
    <x v="1"/>
    <x v="5"/>
    <n v="351120723.80000001"/>
    <n v="14237514.1"/>
    <n v="6784210"/>
    <n v="51.755580049999999"/>
  </r>
  <r>
    <x v="0"/>
    <x v="6"/>
    <x v="6"/>
    <x v="4"/>
    <n v="2680478.2200000002"/>
    <n v="88373.25"/>
    <n v="9808"/>
    <n v="273.29508770000001"/>
  </r>
  <r>
    <x v="1"/>
    <x v="3"/>
    <x v="2"/>
    <x v="3"/>
    <n v="92108.4"/>
    <n v="2670.29"/>
    <n v="5012"/>
    <n v="18.377573819999999"/>
  </r>
  <r>
    <x v="1"/>
    <x v="1"/>
    <x v="1"/>
    <x v="3"/>
    <n v="5118741.6100000003"/>
    <n v="171273.16"/>
    <n v="327619"/>
    <n v="15.624068230000001"/>
  </r>
  <r>
    <x v="3"/>
    <x v="8"/>
    <x v="4"/>
    <x v="5"/>
    <n v="30367.66"/>
    <n v="1272.06"/>
    <n v="621"/>
    <n v="48.901223829999999"/>
  </r>
  <r>
    <x v="2"/>
    <x v="1"/>
    <x v="6"/>
    <x v="3"/>
    <n v="62409476.170000002"/>
    <n v="1894250.08"/>
    <n v="4816902"/>
    <n v="12.95635165"/>
  </r>
  <r>
    <x v="1"/>
    <x v="6"/>
    <x v="8"/>
    <x v="8"/>
    <n v="7032832.4100000001"/>
    <n v="248343.46"/>
    <n v="132750"/>
    <n v="52.978021920000003"/>
  </r>
  <r>
    <x v="0"/>
    <x v="7"/>
    <x v="1"/>
    <x v="4"/>
    <n v="33357647.859999999"/>
    <n v="1096060.25"/>
    <n v="164856"/>
    <n v="202.344154"/>
  </r>
  <r>
    <x v="1"/>
    <x v="4"/>
    <x v="0"/>
    <x v="7"/>
    <n v="20254.009999999998"/>
    <n v="649.85"/>
    <n v="3781"/>
    <n v="5.3567865640000001"/>
  </r>
  <r>
    <x v="2"/>
    <x v="6"/>
    <x v="6"/>
    <x v="2"/>
    <n v="6313440.9000000004"/>
    <n v="173476.94"/>
    <n v="27256"/>
    <n v="231.63490239999999"/>
  </r>
  <r>
    <x v="2"/>
    <x v="6"/>
    <x v="0"/>
    <x v="2"/>
    <n v="35577.78"/>
    <n v="546.4"/>
    <n v="1273"/>
    <n v="27.94798115"/>
  </r>
  <r>
    <x v="0"/>
    <x v="8"/>
    <x v="9"/>
    <x v="2"/>
    <n v="17852.7"/>
    <n v="835.61"/>
    <n v="846"/>
    <n v="21.102482269999999"/>
  </r>
  <r>
    <x v="1"/>
    <x v="3"/>
    <x v="9"/>
    <x v="0"/>
    <n v="25120989.82"/>
    <n v="902893.08"/>
    <n v="430262"/>
    <n v="58.385332239999997"/>
  </r>
  <r>
    <x v="2"/>
    <x v="8"/>
    <x v="1"/>
    <x v="5"/>
    <n v="10761.05"/>
    <n v="413.41"/>
    <n v="464"/>
    <n v="23.191918099999999"/>
  </r>
  <r>
    <x v="0"/>
    <x v="3"/>
    <x v="1"/>
    <x v="8"/>
    <n v="102337820.90000001"/>
    <n v="3844237.72"/>
    <n v="1557562"/>
    <n v="65.703850590000002"/>
  </r>
  <r>
    <x v="1"/>
    <x v="1"/>
    <x v="6"/>
    <x v="5"/>
    <n v="337906350"/>
    <n v="9665017.4600000009"/>
    <n v="4977946"/>
    <n v="67.880678099999997"/>
  </r>
  <r>
    <x v="2"/>
    <x v="0"/>
    <x v="5"/>
    <x v="2"/>
    <n v="139.5"/>
    <n v="5.4"/>
    <n v="6"/>
    <n v="23.25"/>
  </r>
  <r>
    <x v="0"/>
    <x v="5"/>
    <x v="5"/>
    <x v="0"/>
    <n v="618132.96"/>
    <n v="29103.45"/>
    <n v="32880"/>
    <n v="18.799664230000001"/>
  </r>
  <r>
    <x v="1"/>
    <x v="6"/>
    <x v="4"/>
    <x v="6"/>
    <n v="2015728.85"/>
    <n v="63214.82"/>
    <n v="6528"/>
    <n v="308.781993"/>
  </r>
  <r>
    <x v="1"/>
    <x v="5"/>
    <x v="9"/>
    <x v="4"/>
    <n v="1566990.54"/>
    <n v="53880.91"/>
    <n v="15832"/>
    <n v="98.976158409999996"/>
  </r>
  <r>
    <x v="3"/>
    <x v="8"/>
    <x v="2"/>
    <x v="4"/>
    <n v="-2089.06"/>
    <n v="34.590000000000003"/>
    <n v="68"/>
    <n v="-30.721470589999999"/>
  </r>
  <r>
    <x v="2"/>
    <x v="8"/>
    <x v="1"/>
    <x v="2"/>
    <n v="43148.15"/>
    <n v="778.38"/>
    <n v="714"/>
    <n v="60.431582630000001"/>
  </r>
  <r>
    <x v="0"/>
    <x v="3"/>
    <x v="0"/>
    <x v="1"/>
    <n v="21836.93"/>
    <n v="595.24"/>
    <n v="2141"/>
    <n v="10.19940682"/>
  </r>
  <r>
    <x v="3"/>
    <x v="3"/>
    <x v="8"/>
    <x v="2"/>
    <n v="388521908.69999999"/>
    <n v="10583592.08"/>
    <n v="962230"/>
    <n v="403.77239200000002"/>
  </r>
  <r>
    <x v="2"/>
    <x v="3"/>
    <x v="3"/>
    <x v="5"/>
    <n v="62340223.310000002"/>
    <n v="2269616.11"/>
    <n v="892020"/>
    <n v="69.886575759999999"/>
  </r>
  <r>
    <x v="1"/>
    <x v="0"/>
    <x v="1"/>
    <x v="8"/>
    <n v="444.23"/>
    <n v="23.71"/>
    <n v="15"/>
    <n v="29.615333329999999"/>
  </r>
  <r>
    <x v="3"/>
    <x v="5"/>
    <x v="8"/>
    <x v="4"/>
    <n v="1859544.59"/>
    <n v="60826.48"/>
    <n v="17937"/>
    <n v="103.6708809"/>
  </r>
  <r>
    <x v="3"/>
    <x v="2"/>
    <x v="5"/>
    <x v="6"/>
    <n v="3283103.64"/>
    <n v="121983.12"/>
    <n v="40574"/>
    <n v="80.916440080000001"/>
  </r>
  <r>
    <x v="2"/>
    <x v="6"/>
    <x v="2"/>
    <x v="2"/>
    <n v="5530358.4299999997"/>
    <n v="147269.21"/>
    <n v="20647"/>
    <n v="267.85288079999998"/>
  </r>
  <r>
    <x v="1"/>
    <x v="9"/>
    <x v="1"/>
    <x v="5"/>
    <n v="52848.52"/>
    <n v="1767.57"/>
    <n v="727"/>
    <n v="72.69397524"/>
  </r>
  <r>
    <x v="2"/>
    <x v="0"/>
    <x v="3"/>
    <x v="2"/>
    <n v="562.73"/>
    <n v="10.98"/>
    <n v="7"/>
    <n v="80.39"/>
  </r>
  <r>
    <x v="1"/>
    <x v="5"/>
    <x v="2"/>
    <x v="0"/>
    <n v="241901.39"/>
    <n v="9139.7099999999991"/>
    <n v="6401"/>
    <n v="37.791187309999998"/>
  </r>
  <r>
    <x v="3"/>
    <x v="8"/>
    <x v="9"/>
    <x v="1"/>
    <n v="0"/>
    <n v="0"/>
    <n v="1"/>
    <n v="0"/>
  </r>
  <r>
    <x v="2"/>
    <x v="6"/>
    <x v="2"/>
    <x v="0"/>
    <n v="3801505.35"/>
    <n v="105442.02"/>
    <n v="63145"/>
    <n v="60.202792780000003"/>
  </r>
  <r>
    <x v="0"/>
    <x v="8"/>
    <x v="6"/>
    <x v="4"/>
    <n v="4669.7"/>
    <n v="60.93"/>
    <n v="28"/>
    <n v="166.77500000000001"/>
  </r>
  <r>
    <x v="1"/>
    <x v="5"/>
    <x v="3"/>
    <x v="8"/>
    <n v="1734139.82"/>
    <n v="65695.820000000007"/>
    <n v="48933"/>
    <n v="35.439066070000003"/>
  </r>
  <r>
    <x v="1"/>
    <x v="7"/>
    <x v="6"/>
    <x v="5"/>
    <n v="747312775.20000005"/>
    <n v="27537285.18"/>
    <n v="13085669"/>
    <n v="57.109252509999997"/>
  </r>
  <r>
    <x v="0"/>
    <x v="4"/>
    <x v="0"/>
    <x v="8"/>
    <n v="407900.43"/>
    <n v="11517.39"/>
    <n v="89920"/>
    <n v="4.5362592299999998"/>
  </r>
  <r>
    <x v="1"/>
    <x v="8"/>
    <x v="8"/>
    <x v="6"/>
    <n v="38970"/>
    <n v="358.91"/>
    <n v="73"/>
    <n v="533.83561640000005"/>
  </r>
  <r>
    <x v="3"/>
    <x v="3"/>
    <x v="8"/>
    <x v="3"/>
    <n v="215871.88"/>
    <n v="8778.18"/>
    <n v="12532"/>
    <n v="17.22565273"/>
  </r>
  <r>
    <x v="0"/>
    <x v="6"/>
    <x v="7"/>
    <x v="2"/>
    <n v="3986742.58"/>
    <n v="102644.34"/>
    <n v="25035"/>
    <n v="159.24675769999999"/>
  </r>
  <r>
    <x v="2"/>
    <x v="2"/>
    <x v="8"/>
    <x v="6"/>
    <n v="30934323.890000001"/>
    <n v="999620.94"/>
    <n v="136365"/>
    <n v="226.84943999999999"/>
  </r>
  <r>
    <x v="2"/>
    <x v="1"/>
    <x v="7"/>
    <x v="8"/>
    <n v="113863269.90000001"/>
    <n v="4248065.3099999996"/>
    <n v="3477309"/>
    <n v="32.744651079999997"/>
  </r>
  <r>
    <x v="2"/>
    <x v="4"/>
    <x v="9"/>
    <x v="8"/>
    <n v="212943495.69999999"/>
    <n v="7681571.7000000002"/>
    <n v="3784404"/>
    <n v="56.268700619999997"/>
  </r>
  <r>
    <x v="3"/>
    <x v="4"/>
    <x v="6"/>
    <x v="5"/>
    <n v="688858185.10000002"/>
    <n v="23193059.23"/>
    <n v="10459432"/>
    <n v="65.859999389999999"/>
  </r>
  <r>
    <x v="2"/>
    <x v="3"/>
    <x v="3"/>
    <x v="3"/>
    <n v="11589.91"/>
    <n v="352.09"/>
    <n v="748"/>
    <n v="15.49453209"/>
  </r>
  <r>
    <x v="0"/>
    <x v="3"/>
    <x v="0"/>
    <x v="5"/>
    <n v="712720.49"/>
    <n v="21116.02"/>
    <n v="53905"/>
    <n v="13.22178815"/>
  </r>
  <r>
    <x v="3"/>
    <x v="3"/>
    <x v="7"/>
    <x v="2"/>
    <n v="62202595.759999998"/>
    <n v="2148533.3199999998"/>
    <n v="364726"/>
    <n v="170.546097"/>
  </r>
  <r>
    <x v="1"/>
    <x v="2"/>
    <x v="3"/>
    <x v="3"/>
    <n v="2375.73"/>
    <n v="65.89"/>
    <n v="122"/>
    <n v="19.473196720000001"/>
  </r>
  <r>
    <x v="1"/>
    <x v="6"/>
    <x v="7"/>
    <x v="4"/>
    <n v="1365180.62"/>
    <n v="46522.96"/>
    <n v="6194"/>
    <n v="220.4037165"/>
  </r>
  <r>
    <x v="2"/>
    <x v="2"/>
    <x v="4"/>
    <x v="3"/>
    <n v="30705.040000000001"/>
    <n v="1328.56"/>
    <n v="2048"/>
    <n v="14.99269531"/>
  </r>
  <r>
    <x v="1"/>
    <x v="6"/>
    <x v="6"/>
    <x v="4"/>
    <n v="2318236.0099999998"/>
    <n v="75975.360000000001"/>
    <n v="8421"/>
    <n v="275.29224679999999"/>
  </r>
  <r>
    <x v="1"/>
    <x v="6"/>
    <x v="6"/>
    <x v="2"/>
    <n v="5780606.7199999997"/>
    <n v="176550.09"/>
    <n v="28257"/>
    <n v="204.57255620000001"/>
  </r>
  <r>
    <x v="3"/>
    <x v="1"/>
    <x v="9"/>
    <x v="6"/>
    <n v="1117548.67"/>
    <n v="30050.240000000002"/>
    <n v="2268"/>
    <n v="492.7463272"/>
  </r>
  <r>
    <x v="3"/>
    <x v="8"/>
    <x v="4"/>
    <x v="0"/>
    <n v="-16"/>
    <n v="2.2999999999999998"/>
    <n v="36"/>
    <n v="-0.44444444440000003"/>
  </r>
  <r>
    <x v="1"/>
    <x v="3"/>
    <x v="1"/>
    <x v="7"/>
    <n v="2637155.06"/>
    <n v="103512.78"/>
    <n v="49447"/>
    <n v="53.33296378"/>
  </r>
  <r>
    <x v="3"/>
    <x v="1"/>
    <x v="7"/>
    <x v="8"/>
    <n v="57890617.890000001"/>
    <n v="1940918.08"/>
    <n v="1249085"/>
    <n v="46.34641989"/>
  </r>
  <r>
    <x v="3"/>
    <x v="4"/>
    <x v="2"/>
    <x v="3"/>
    <n v="461965.56"/>
    <n v="14308.29"/>
    <n v="35672"/>
    <n v="12.950368920000001"/>
  </r>
  <r>
    <x v="2"/>
    <x v="8"/>
    <x v="8"/>
    <x v="5"/>
    <n v="33273.120000000003"/>
    <n v="814.51"/>
    <n v="639"/>
    <n v="52.070610330000001"/>
  </r>
  <r>
    <x v="1"/>
    <x v="4"/>
    <x v="0"/>
    <x v="2"/>
    <n v="84556.07"/>
    <n v="2212.6"/>
    <n v="3379"/>
    <n v="25.023992310000001"/>
  </r>
  <r>
    <x v="0"/>
    <x v="3"/>
    <x v="9"/>
    <x v="5"/>
    <n v="477323632.69999999"/>
    <n v="18770548.899999999"/>
    <n v="9574218"/>
    <n v="49.855103849999999"/>
  </r>
  <r>
    <x v="0"/>
    <x v="4"/>
    <x v="7"/>
    <x v="7"/>
    <n v="28984898.969999999"/>
    <n v="948222.59"/>
    <n v="538119"/>
    <n v="53.863362879999997"/>
  </r>
  <r>
    <x v="2"/>
    <x v="0"/>
    <x v="8"/>
    <x v="8"/>
    <n v="636.37"/>
    <n v="23.68"/>
    <n v="7"/>
    <n v="90.91"/>
  </r>
  <r>
    <x v="1"/>
    <x v="5"/>
    <x v="2"/>
    <x v="7"/>
    <n v="27666.76"/>
    <n v="1103.3900000000001"/>
    <n v="1075"/>
    <n v="25.736520930000001"/>
  </r>
  <r>
    <x v="0"/>
    <x v="7"/>
    <x v="9"/>
    <x v="9"/>
    <n v="616224.81000000006"/>
    <n v="20931.52"/>
    <n v="8243"/>
    <n v="74.757346839999997"/>
  </r>
  <r>
    <x v="3"/>
    <x v="4"/>
    <x v="4"/>
    <x v="2"/>
    <n v="33937539.270000003"/>
    <n v="1140635.33"/>
    <n v="197755"/>
    <n v="171.6140642"/>
  </r>
  <r>
    <x v="0"/>
    <x v="3"/>
    <x v="5"/>
    <x v="9"/>
    <n v="893137.68"/>
    <n v="34107.67"/>
    <n v="24016"/>
    <n v="37.189277150000002"/>
  </r>
  <r>
    <x v="2"/>
    <x v="9"/>
    <x v="5"/>
    <x v="5"/>
    <n v="29227.78"/>
    <n v="1021.27"/>
    <n v="480"/>
    <n v="60.891208329999998"/>
  </r>
  <r>
    <x v="3"/>
    <x v="9"/>
    <x v="6"/>
    <x v="5"/>
    <n v="98836.49"/>
    <n v="2916.52"/>
    <n v="1440"/>
    <n v="68.636451390000005"/>
  </r>
  <r>
    <x v="2"/>
    <x v="6"/>
    <x v="6"/>
    <x v="7"/>
    <n v="526656.18000000005"/>
    <n v="17378.18"/>
    <n v="11944"/>
    <n v="44.093786000000001"/>
  </r>
  <r>
    <x v="1"/>
    <x v="9"/>
    <x v="0"/>
    <x v="8"/>
    <n v="1812.61"/>
    <n v="205.8"/>
    <n v="84"/>
    <n v="21.578690479999999"/>
  </r>
  <r>
    <x v="3"/>
    <x v="9"/>
    <x v="8"/>
    <x v="8"/>
    <n v="3666.58"/>
    <n v="158"/>
    <n v="161"/>
    <n v="22.77378882"/>
  </r>
  <r>
    <x v="1"/>
    <x v="2"/>
    <x v="0"/>
    <x v="1"/>
    <n v="744"/>
    <n v="23.77"/>
    <n v="80"/>
    <n v="9.3000000000000007"/>
  </r>
  <r>
    <x v="2"/>
    <x v="2"/>
    <x v="9"/>
    <x v="4"/>
    <n v="31865748.620000001"/>
    <n v="1067134.01"/>
    <n v="166440"/>
    <n v="191.45487030000001"/>
  </r>
  <r>
    <x v="2"/>
    <x v="6"/>
    <x v="3"/>
    <x v="4"/>
    <n v="1775470.65"/>
    <n v="54017.49"/>
    <n v="4244"/>
    <n v="418.3484095"/>
  </r>
  <r>
    <x v="1"/>
    <x v="5"/>
    <x v="0"/>
    <x v="2"/>
    <n v="29015.1"/>
    <n v="804.41"/>
    <n v="1416"/>
    <n v="20.49088983"/>
  </r>
  <r>
    <x v="0"/>
    <x v="9"/>
    <x v="5"/>
    <x v="2"/>
    <n v="10536.24"/>
    <n v="224.57"/>
    <n v="168"/>
    <n v="62.715714290000001"/>
  </r>
  <r>
    <x v="1"/>
    <x v="4"/>
    <x v="3"/>
    <x v="0"/>
    <n v="6426653.8300000001"/>
    <n v="207443.94"/>
    <n v="105786"/>
    <n v="60.751458890000002"/>
  </r>
  <r>
    <x v="0"/>
    <x v="7"/>
    <x v="7"/>
    <x v="9"/>
    <n v="848057.95"/>
    <n v="29767.38"/>
    <n v="13751"/>
    <n v="61.67245655"/>
  </r>
  <r>
    <x v="1"/>
    <x v="6"/>
    <x v="3"/>
    <x v="1"/>
    <n v="2690.55"/>
    <n v="98.93"/>
    <n v="49"/>
    <n v="54.909183669999997"/>
  </r>
  <r>
    <x v="3"/>
    <x v="1"/>
    <x v="8"/>
    <x v="1"/>
    <n v="5738.82"/>
    <n v="141.51"/>
    <n v="96"/>
    <n v="59.779375000000002"/>
  </r>
  <r>
    <x v="3"/>
    <x v="6"/>
    <x v="8"/>
    <x v="0"/>
    <n v="2394518.56"/>
    <n v="52598.91"/>
    <n v="28747"/>
    <n v="83.29629387"/>
  </r>
  <r>
    <x v="2"/>
    <x v="9"/>
    <x v="4"/>
    <x v="8"/>
    <n v="3157.48"/>
    <n v="222.65"/>
    <n v="150"/>
    <n v="21.04986667"/>
  </r>
  <r>
    <x v="3"/>
    <x v="4"/>
    <x v="5"/>
    <x v="0"/>
    <n v="7823183.7000000002"/>
    <n v="236448.22"/>
    <n v="134213"/>
    <n v="58.289313999999997"/>
  </r>
  <r>
    <x v="3"/>
    <x v="4"/>
    <x v="0"/>
    <x v="4"/>
    <n v="4772065.91"/>
    <n v="152541.48000000001"/>
    <n v="18920"/>
    <n v="252.2233568"/>
  </r>
  <r>
    <x v="0"/>
    <x v="9"/>
    <x v="8"/>
    <x v="5"/>
    <n v="55653.16"/>
    <n v="1531.95"/>
    <n v="495"/>
    <n v="112.4306263"/>
  </r>
  <r>
    <x v="2"/>
    <x v="2"/>
    <x v="7"/>
    <x v="8"/>
    <n v="44084059.670000002"/>
    <n v="1821375.13"/>
    <n v="1280608"/>
    <n v="34.42432007"/>
  </r>
  <r>
    <x v="1"/>
    <x v="1"/>
    <x v="5"/>
    <x v="1"/>
    <n v="49853.760000000002"/>
    <n v="1302.8699999999999"/>
    <n v="958"/>
    <n v="52.03941545"/>
  </r>
  <r>
    <x v="3"/>
    <x v="6"/>
    <x v="9"/>
    <x v="6"/>
    <n v="2354755.06"/>
    <n v="73221.490000000005"/>
    <n v="6778"/>
    <n v="347.41148720000001"/>
  </r>
  <r>
    <x v="1"/>
    <x v="1"/>
    <x v="8"/>
    <x v="5"/>
    <n v="226763966.90000001"/>
    <n v="5898590.6799999997"/>
    <n v="2217893"/>
    <n v="102.2429697"/>
  </r>
  <r>
    <x v="2"/>
    <x v="4"/>
    <x v="3"/>
    <x v="3"/>
    <n v="50563.12"/>
    <n v="1517.6"/>
    <n v="3268"/>
    <n v="15.472190940000001"/>
  </r>
  <r>
    <x v="1"/>
    <x v="3"/>
    <x v="0"/>
    <x v="3"/>
    <n v="107.83"/>
    <n v="5.85"/>
    <n v="316"/>
    <n v="0.34123417719999999"/>
  </r>
  <r>
    <x v="2"/>
    <x v="8"/>
    <x v="0"/>
    <x v="7"/>
    <n v="10713.48"/>
    <n v="473.61"/>
    <n v="1844"/>
    <n v="5.8099132320000004"/>
  </r>
  <r>
    <x v="3"/>
    <x v="2"/>
    <x v="3"/>
    <x v="1"/>
    <n v="1834.23"/>
    <n v="65.31"/>
    <n v="40"/>
    <n v="45.85575"/>
  </r>
  <r>
    <x v="2"/>
    <x v="2"/>
    <x v="4"/>
    <x v="7"/>
    <n v="1960033.51"/>
    <n v="75912.77"/>
    <n v="46773"/>
    <n v="41.905234"/>
  </r>
  <r>
    <x v="1"/>
    <x v="5"/>
    <x v="6"/>
    <x v="0"/>
    <n v="258514.49"/>
    <n v="10032.43"/>
    <n v="7367"/>
    <n v="35.090876880000003"/>
  </r>
  <r>
    <x v="1"/>
    <x v="8"/>
    <x v="3"/>
    <x v="8"/>
    <n v="4895.42"/>
    <n v="219.83"/>
    <n v="488"/>
    <n v="10.03159836"/>
  </r>
  <r>
    <x v="1"/>
    <x v="3"/>
    <x v="5"/>
    <x v="5"/>
    <n v="621983053.5"/>
    <n v="25760458.75"/>
    <n v="14676954"/>
    <n v="42.378211"/>
  </r>
  <r>
    <x v="0"/>
    <x v="7"/>
    <x v="3"/>
    <x v="9"/>
    <n v="25529.14"/>
    <n v="837.19"/>
    <n v="306"/>
    <n v="83.42856209"/>
  </r>
  <r>
    <x v="1"/>
    <x v="6"/>
    <x v="1"/>
    <x v="2"/>
    <n v="5534900.4800000004"/>
    <n v="166686.47"/>
    <n v="41819"/>
    <n v="132.35372630000001"/>
  </r>
  <r>
    <x v="1"/>
    <x v="1"/>
    <x v="0"/>
    <x v="4"/>
    <n v="30171.88"/>
    <n v="691.04"/>
    <n v="156"/>
    <n v="193.4094872"/>
  </r>
  <r>
    <x v="0"/>
    <x v="8"/>
    <x v="0"/>
    <x v="4"/>
    <n v="1309"/>
    <n v="86.92"/>
    <n v="105"/>
    <n v="12.46666667"/>
  </r>
  <r>
    <x v="3"/>
    <x v="7"/>
    <x v="3"/>
    <x v="6"/>
    <n v="2129675.56"/>
    <n v="67198.67"/>
    <n v="8408"/>
    <n v="253.29157470000001"/>
  </r>
  <r>
    <x v="1"/>
    <x v="2"/>
    <x v="6"/>
    <x v="1"/>
    <n v="377423.99"/>
    <n v="14263.8"/>
    <n v="10753"/>
    <n v="35.09941319"/>
  </r>
  <r>
    <x v="1"/>
    <x v="2"/>
    <x v="0"/>
    <x v="5"/>
    <n v="25663199.239999998"/>
    <n v="1034322.13"/>
    <n v="748316"/>
    <n v="34.294601800000002"/>
  </r>
  <r>
    <x v="0"/>
    <x v="3"/>
    <x v="4"/>
    <x v="6"/>
    <n v="34063409.700000003"/>
    <n v="1188023.8600000001"/>
    <n v="132464"/>
    <n v="257.1522051"/>
  </r>
  <r>
    <x v="2"/>
    <x v="9"/>
    <x v="3"/>
    <x v="5"/>
    <n v="7424.43"/>
    <n v="222.27"/>
    <n v="60"/>
    <n v="123.7405"/>
  </r>
  <r>
    <x v="1"/>
    <x v="9"/>
    <x v="7"/>
    <x v="2"/>
    <n v="24331.8"/>
    <n v="558.49"/>
    <n v="154"/>
    <n v="157.99870129999999"/>
  </r>
  <r>
    <x v="2"/>
    <x v="1"/>
    <x v="0"/>
    <x v="8"/>
    <n v="176078.89"/>
    <n v="4190.4799999999996"/>
    <n v="56543"/>
    <n v="3.1140705299999998"/>
  </r>
  <r>
    <x v="2"/>
    <x v="3"/>
    <x v="1"/>
    <x v="8"/>
    <n v="99541876.760000005"/>
    <n v="3774801.43"/>
    <n v="1595350"/>
    <n v="62.395008470000001"/>
  </r>
  <r>
    <x v="3"/>
    <x v="6"/>
    <x v="8"/>
    <x v="7"/>
    <n v="171982.81"/>
    <n v="5743.81"/>
    <n v="3019"/>
    <n v="56.966813510000001"/>
  </r>
  <r>
    <x v="2"/>
    <x v="5"/>
    <x v="8"/>
    <x v="7"/>
    <n v="27824.240000000002"/>
    <n v="1206.2"/>
    <n v="143830"/>
    <n v="0.19345227000000001"/>
  </r>
  <r>
    <x v="0"/>
    <x v="2"/>
    <x v="1"/>
    <x v="3"/>
    <n v="2385.15"/>
    <n v="92.1"/>
    <n v="167"/>
    <n v="14.28233533"/>
  </r>
  <r>
    <x v="0"/>
    <x v="4"/>
    <x v="0"/>
    <x v="5"/>
    <n v="935593.37"/>
    <n v="25700.42"/>
    <n v="64628"/>
    <n v="14.476594820000001"/>
  </r>
  <r>
    <x v="2"/>
    <x v="2"/>
    <x v="7"/>
    <x v="2"/>
    <n v="35783145.899999999"/>
    <n v="1174115.3899999999"/>
    <n v="414382"/>
    <n v="86.353041160000004"/>
  </r>
  <r>
    <x v="2"/>
    <x v="9"/>
    <x v="2"/>
    <x v="5"/>
    <n v="21218.32"/>
    <n v="691.4"/>
    <n v="183"/>
    <n v="115.94710379999999"/>
  </r>
  <r>
    <x v="3"/>
    <x v="7"/>
    <x v="0"/>
    <x v="4"/>
    <n v="131617.12"/>
    <n v="4145.22"/>
    <n v="2948"/>
    <n v="44.646241519999997"/>
  </r>
  <r>
    <x v="0"/>
    <x v="1"/>
    <x v="6"/>
    <x v="8"/>
    <n v="182049943.19999999"/>
    <n v="6247359.29"/>
    <n v="4519710"/>
    <n v="40.279120390000003"/>
  </r>
  <r>
    <x v="3"/>
    <x v="4"/>
    <x v="8"/>
    <x v="4"/>
    <n v="101427503.2"/>
    <n v="3019198.8"/>
    <n v="157692"/>
    <n v="643.20005570000001"/>
  </r>
  <r>
    <x v="2"/>
    <x v="6"/>
    <x v="3"/>
    <x v="6"/>
    <n v="1938198.89"/>
    <n v="58303.74"/>
    <n v="4800"/>
    <n v="403.79143540000001"/>
  </r>
  <r>
    <x v="0"/>
    <x v="1"/>
    <x v="0"/>
    <x v="5"/>
    <n v="70981491.390000001"/>
    <n v="1833489.26"/>
    <n v="987333"/>
    <n v="71.892149239999995"/>
  </r>
  <r>
    <x v="3"/>
    <x v="3"/>
    <x v="8"/>
    <x v="4"/>
    <n v="108648269.7"/>
    <n v="3371852.57"/>
    <n v="258623"/>
    <n v="420.10288980000001"/>
  </r>
  <r>
    <x v="3"/>
    <x v="9"/>
    <x v="9"/>
    <x v="1"/>
    <n v="475.71"/>
    <n v="1.1599999999999999"/>
    <n v="15"/>
    <n v="31.713999999999999"/>
  </r>
  <r>
    <x v="0"/>
    <x v="2"/>
    <x v="0"/>
    <x v="0"/>
    <n v="16678564.02"/>
    <n v="617991.56000000006"/>
    <n v="363647"/>
    <n v="45.864709509999997"/>
  </r>
  <r>
    <x v="1"/>
    <x v="7"/>
    <x v="2"/>
    <x v="8"/>
    <n v="16145377.08"/>
    <n v="601291.09"/>
    <n v="318732"/>
    <n v="50.655023909999997"/>
  </r>
  <r>
    <x v="2"/>
    <x v="3"/>
    <x v="0"/>
    <x v="4"/>
    <n v="181108.23"/>
    <n v="2857.86"/>
    <n v="1277"/>
    <n v="141.82320279999999"/>
  </r>
  <r>
    <x v="0"/>
    <x v="4"/>
    <x v="1"/>
    <x v="8"/>
    <n v="93408536.879999995"/>
    <n v="3497300.88"/>
    <n v="1567484"/>
    <n v="59.591381400000003"/>
  </r>
  <r>
    <x v="3"/>
    <x v="3"/>
    <x v="7"/>
    <x v="7"/>
    <n v="1724890.68"/>
    <n v="65595.240000000005"/>
    <n v="36776"/>
    <n v="46.902618009999998"/>
  </r>
  <r>
    <x v="2"/>
    <x v="9"/>
    <x v="8"/>
    <x v="2"/>
    <n v="374012.86"/>
    <n v="6404.73"/>
    <n v="2900"/>
    <n v="128.9699517"/>
  </r>
  <r>
    <x v="2"/>
    <x v="5"/>
    <x v="6"/>
    <x v="3"/>
    <n v="709.74"/>
    <n v="43.58"/>
    <n v="70"/>
    <n v="10.13914286"/>
  </r>
  <r>
    <x v="2"/>
    <x v="2"/>
    <x v="4"/>
    <x v="0"/>
    <n v="9651197.0999999996"/>
    <n v="362895.97"/>
    <n v="197540"/>
    <n v="48.856925689999997"/>
  </r>
  <r>
    <x v="0"/>
    <x v="6"/>
    <x v="5"/>
    <x v="9"/>
    <n v="23511.17"/>
    <n v="948.06"/>
    <n v="932"/>
    <n v="25.226577249999998"/>
  </r>
  <r>
    <x v="1"/>
    <x v="0"/>
    <x v="3"/>
    <x v="8"/>
    <n v="53.84"/>
    <n v="1.86"/>
    <n v="1"/>
    <n v="53.84"/>
  </r>
  <r>
    <x v="3"/>
    <x v="4"/>
    <x v="0"/>
    <x v="4"/>
    <n v="87543"/>
    <n v="1815.98"/>
    <n v="833"/>
    <n v="105.0936375"/>
  </r>
  <r>
    <x v="1"/>
    <x v="6"/>
    <x v="8"/>
    <x v="3"/>
    <n v="399.85"/>
    <n v="11.04"/>
    <n v="44"/>
    <n v="9.0875000000000004"/>
  </r>
  <r>
    <x v="0"/>
    <x v="8"/>
    <x v="4"/>
    <x v="9"/>
    <n v="0"/>
    <n v="0.3"/>
    <n v="4"/>
    <n v="0"/>
  </r>
  <r>
    <x v="2"/>
    <x v="3"/>
    <x v="5"/>
    <x v="5"/>
    <n v="626278861"/>
    <n v="25892476.379999999"/>
    <n v="15701060"/>
    <n v="39.887680260000003"/>
  </r>
  <r>
    <x v="3"/>
    <x v="3"/>
    <x v="8"/>
    <x v="6"/>
    <n v="44716590.829999998"/>
    <n v="1371112.57"/>
    <n v="93924"/>
    <n v="476.09333959999998"/>
  </r>
  <r>
    <x v="0"/>
    <x v="4"/>
    <x v="2"/>
    <x v="4"/>
    <n v="17877004.100000001"/>
    <n v="619733.44999999995"/>
    <n v="61708"/>
    <n v="289.7031844"/>
  </r>
  <r>
    <x v="0"/>
    <x v="1"/>
    <x v="2"/>
    <x v="3"/>
    <n v="8505605.6400000006"/>
    <n v="271235.03999999998"/>
    <n v="499080"/>
    <n v="17.042569610000001"/>
  </r>
  <r>
    <x v="0"/>
    <x v="1"/>
    <x v="4"/>
    <x v="8"/>
    <n v="193878726"/>
    <n v="6371417.4800000004"/>
    <n v="4305083"/>
    <n v="45.034840449999997"/>
  </r>
  <r>
    <x v="1"/>
    <x v="3"/>
    <x v="3"/>
    <x v="4"/>
    <n v="11178783.109999999"/>
    <n v="365802.82"/>
    <n v="32675"/>
    <n v="342.1203706"/>
  </r>
  <r>
    <x v="1"/>
    <x v="7"/>
    <x v="4"/>
    <x v="8"/>
    <n v="20734543.32"/>
    <n v="812895.37"/>
    <n v="507220"/>
    <n v="40.878796809999997"/>
  </r>
  <r>
    <x v="2"/>
    <x v="1"/>
    <x v="1"/>
    <x v="4"/>
    <n v="2852595.94"/>
    <n v="93896.65"/>
    <n v="12559"/>
    <n v="227.13559520000001"/>
  </r>
  <r>
    <x v="2"/>
    <x v="2"/>
    <x v="6"/>
    <x v="4"/>
    <n v="18969383.140000001"/>
    <n v="674573.79"/>
    <n v="158864"/>
    <n v="119.4064303"/>
  </r>
  <r>
    <x v="2"/>
    <x v="3"/>
    <x v="3"/>
    <x v="4"/>
    <n v="11560400.460000001"/>
    <n v="380445.93"/>
    <n v="34639"/>
    <n v="333.73943989999998"/>
  </r>
  <r>
    <x v="1"/>
    <x v="4"/>
    <x v="1"/>
    <x v="5"/>
    <n v="354449852.19999999"/>
    <n v="12998842.289999999"/>
    <n v="5040774"/>
    <n v="70.316553010000007"/>
  </r>
  <r>
    <x v="2"/>
    <x v="7"/>
    <x v="4"/>
    <x v="5"/>
    <n v="615504941.39999998"/>
    <n v="22375237.109999999"/>
    <n v="9748952"/>
    <n v="63.13549819"/>
  </r>
  <r>
    <x v="2"/>
    <x v="9"/>
    <x v="7"/>
    <x v="5"/>
    <n v="41310.980000000003"/>
    <n v="1346.54"/>
    <n v="464"/>
    <n v="89.032284480000001"/>
  </r>
  <r>
    <x v="0"/>
    <x v="6"/>
    <x v="8"/>
    <x v="0"/>
    <n v="3036678.09"/>
    <n v="96190.03"/>
    <n v="73346"/>
    <n v="41.402095410000001"/>
  </r>
  <r>
    <x v="0"/>
    <x v="1"/>
    <x v="4"/>
    <x v="7"/>
    <n v="95549978.829999998"/>
    <n v="2762101.86"/>
    <n v="1805735"/>
    <n v="52.914729370000003"/>
  </r>
  <r>
    <x v="2"/>
    <x v="9"/>
    <x v="2"/>
    <x v="8"/>
    <n v="9296.92"/>
    <n v="370.02"/>
    <n v="178"/>
    <n v="52.229887640000001"/>
  </r>
  <r>
    <x v="0"/>
    <x v="3"/>
    <x v="0"/>
    <x v="0"/>
    <n v="36798.57"/>
    <n v="1361.13"/>
    <n v="6957"/>
    <n v="5.2894307889999999"/>
  </r>
  <r>
    <x v="3"/>
    <x v="4"/>
    <x v="7"/>
    <x v="0"/>
    <n v="15736818.15"/>
    <n v="470293.92"/>
    <n v="268671"/>
    <n v="58.572820100000001"/>
  </r>
  <r>
    <x v="2"/>
    <x v="5"/>
    <x v="2"/>
    <x v="4"/>
    <n v="1430221.21"/>
    <n v="48570.06"/>
    <n v="12775"/>
    <n v="111.9546935"/>
  </r>
  <r>
    <x v="1"/>
    <x v="4"/>
    <x v="3"/>
    <x v="4"/>
    <n v="5214832.92"/>
    <n v="169572.07"/>
    <n v="14661"/>
    <n v="355.69421729999999"/>
  </r>
  <r>
    <x v="0"/>
    <x v="8"/>
    <x v="7"/>
    <x v="0"/>
    <n v="726.58"/>
    <n v="68.260000000000005"/>
    <n v="222"/>
    <n v="3.2728828829999999"/>
  </r>
  <r>
    <x v="3"/>
    <x v="1"/>
    <x v="0"/>
    <x v="8"/>
    <n v="89736.79"/>
    <n v="7856.61"/>
    <n v="29640"/>
    <n v="3.027557018"/>
  </r>
  <r>
    <x v="2"/>
    <x v="5"/>
    <x v="7"/>
    <x v="5"/>
    <n v="7500519.46"/>
    <n v="310360.24"/>
    <n v="257368"/>
    <n v="29.143170319999999"/>
  </r>
  <r>
    <x v="3"/>
    <x v="1"/>
    <x v="8"/>
    <x v="2"/>
    <n v="72032051.379999995"/>
    <n v="1457193.7"/>
    <n v="73436"/>
    <n v="980.88201130000004"/>
  </r>
  <r>
    <x v="3"/>
    <x v="2"/>
    <x v="6"/>
    <x v="5"/>
    <n v="320374219.5"/>
    <n v="13872488.689999999"/>
    <n v="11164099"/>
    <n v="28.696827160000002"/>
  </r>
  <r>
    <x v="3"/>
    <x v="8"/>
    <x v="1"/>
    <x v="2"/>
    <n v="33384.67"/>
    <n v="797.06"/>
    <n v="851"/>
    <n v="39.229929490000004"/>
  </r>
  <r>
    <x v="1"/>
    <x v="7"/>
    <x v="8"/>
    <x v="2"/>
    <n v="454598528.5"/>
    <n v="11176769.300000001"/>
    <n v="3170035"/>
    <n v="143.40489249999999"/>
  </r>
  <r>
    <x v="2"/>
    <x v="5"/>
    <x v="0"/>
    <x v="7"/>
    <n v="2101124.66"/>
    <n v="80394.080000000002"/>
    <n v="102974"/>
    <n v="20.404419170000001"/>
  </r>
  <r>
    <x v="1"/>
    <x v="3"/>
    <x v="1"/>
    <x v="1"/>
    <n v="222226.3"/>
    <n v="8358.48"/>
    <n v="6095"/>
    <n v="36.460426579999996"/>
  </r>
  <r>
    <x v="0"/>
    <x v="2"/>
    <x v="3"/>
    <x v="2"/>
    <n v="12606325.93"/>
    <n v="369910.8"/>
    <n v="65775"/>
    <n v="191.65831900000001"/>
  </r>
  <r>
    <x v="1"/>
    <x v="4"/>
    <x v="1"/>
    <x v="8"/>
    <n v="95113098.760000005"/>
    <n v="3680272.85"/>
    <n v="1710319"/>
    <n v="55.611320910000003"/>
  </r>
  <r>
    <x v="0"/>
    <x v="4"/>
    <x v="0"/>
    <x v="3"/>
    <n v="833.15"/>
    <n v="39.56"/>
    <n v="1961"/>
    <n v="0.42485976539999998"/>
  </r>
  <r>
    <x v="2"/>
    <x v="5"/>
    <x v="6"/>
    <x v="8"/>
    <n v="4586379.5599999996"/>
    <n v="190834.14"/>
    <n v="172913"/>
    <n v="26.524203270000001"/>
  </r>
  <r>
    <x v="0"/>
    <x v="3"/>
    <x v="1"/>
    <x v="5"/>
    <n v="209547919.69999999"/>
    <n v="8740779.4299999997"/>
    <n v="4765528"/>
    <n v="43.971606020000003"/>
  </r>
  <r>
    <x v="2"/>
    <x v="4"/>
    <x v="5"/>
    <x v="6"/>
    <n v="10403054.130000001"/>
    <n v="362524.21"/>
    <n v="40948"/>
    <n v="254.05524399999999"/>
  </r>
  <r>
    <x v="3"/>
    <x v="4"/>
    <x v="2"/>
    <x v="7"/>
    <n v="4519279.3499999996"/>
    <n v="147594.97"/>
    <n v="72200"/>
    <n v="62.593896809999997"/>
  </r>
  <r>
    <x v="1"/>
    <x v="4"/>
    <x v="8"/>
    <x v="1"/>
    <n v="440529.94"/>
    <n v="13337.72"/>
    <n v="3822"/>
    <n v="115.26162739999999"/>
  </r>
  <r>
    <x v="1"/>
    <x v="4"/>
    <x v="4"/>
    <x v="8"/>
    <n v="170023225.19999999"/>
    <n v="6235099.0800000001"/>
    <n v="3285566"/>
    <n v="51.748534419999999"/>
  </r>
  <r>
    <x v="1"/>
    <x v="6"/>
    <x v="9"/>
    <x v="2"/>
    <n v="8846213.3300000001"/>
    <n v="255456.65"/>
    <n v="32693"/>
    <n v="270.58432479999999"/>
  </r>
  <r>
    <x v="2"/>
    <x v="4"/>
    <x v="8"/>
    <x v="10"/>
    <n v="322553959.39999998"/>
    <n v="102315.38"/>
    <n v="980454"/>
    <n v="328.98428619999999"/>
  </r>
  <r>
    <x v="3"/>
    <x v="2"/>
    <x v="9"/>
    <x v="0"/>
    <n v="4651475.5999999996"/>
    <n v="173338.33"/>
    <n v="87525"/>
    <n v="53.144536989999999"/>
  </r>
  <r>
    <x v="2"/>
    <x v="6"/>
    <x v="5"/>
    <x v="7"/>
    <n v="144613.59"/>
    <n v="4830.71"/>
    <n v="3326"/>
    <n v="43.479732409999997"/>
  </r>
  <r>
    <x v="3"/>
    <x v="4"/>
    <x v="5"/>
    <x v="1"/>
    <n v="15979.34"/>
    <n v="484.07"/>
    <n v="287"/>
    <n v="55.677142859999996"/>
  </r>
  <r>
    <x v="1"/>
    <x v="8"/>
    <x v="2"/>
    <x v="8"/>
    <n v="8038.16"/>
    <n v="475.57"/>
    <n v="791"/>
    <n v="10.162022759999999"/>
  </r>
  <r>
    <x v="1"/>
    <x v="9"/>
    <x v="0"/>
    <x v="2"/>
    <n v="16105.61"/>
    <n v="399.31"/>
    <n v="101"/>
    <n v="159.4614851"/>
  </r>
  <r>
    <x v="2"/>
    <x v="2"/>
    <x v="6"/>
    <x v="1"/>
    <n v="2054092.15"/>
    <n v="74017.119999999995"/>
    <n v="72251"/>
    <n v="28.429947680000001"/>
  </r>
  <r>
    <x v="1"/>
    <x v="2"/>
    <x v="5"/>
    <x v="0"/>
    <n v="1663157.55"/>
    <n v="62959.83"/>
    <n v="32328"/>
    <n v="51.446348370000003"/>
  </r>
  <r>
    <x v="2"/>
    <x v="8"/>
    <x v="9"/>
    <x v="0"/>
    <n v="32.42"/>
    <n v="14.67"/>
    <n v="151"/>
    <n v="0.21470198679999999"/>
  </r>
  <r>
    <x v="3"/>
    <x v="3"/>
    <x v="1"/>
    <x v="6"/>
    <n v="9914859.7899999991"/>
    <n v="339766.38"/>
    <n v="35277"/>
    <n v="281.0573402"/>
  </r>
  <r>
    <x v="1"/>
    <x v="2"/>
    <x v="8"/>
    <x v="5"/>
    <n v="239565419.40000001"/>
    <n v="9533550.4299999997"/>
    <n v="6456966"/>
    <n v="37.101855479999998"/>
  </r>
  <r>
    <x v="2"/>
    <x v="1"/>
    <x v="6"/>
    <x v="1"/>
    <n v="1704210.24"/>
    <n v="51571.19"/>
    <n v="127323"/>
    <n v="13.38493626"/>
  </r>
  <r>
    <x v="3"/>
    <x v="4"/>
    <x v="8"/>
    <x v="8"/>
    <n v="143260675.09999999"/>
    <n v="4943603.26"/>
    <n v="2117986"/>
    <n v="67.640048179999994"/>
  </r>
  <r>
    <x v="0"/>
    <x v="3"/>
    <x v="1"/>
    <x v="6"/>
    <n v="18203182.32"/>
    <n v="636765.24"/>
    <n v="57953"/>
    <n v="314.10250239999999"/>
  </r>
  <r>
    <x v="2"/>
    <x v="3"/>
    <x v="5"/>
    <x v="3"/>
    <n v="43729.86"/>
    <n v="1254.46"/>
    <n v="2728"/>
    <n v="16.03000733"/>
  </r>
  <r>
    <x v="1"/>
    <x v="5"/>
    <x v="8"/>
    <x v="0"/>
    <n v="153162.70000000001"/>
    <n v="6086.14"/>
    <n v="6839"/>
    <n v="22.395481799999999"/>
  </r>
  <r>
    <x v="2"/>
    <x v="4"/>
    <x v="9"/>
    <x v="3"/>
    <n v="1232025.28"/>
    <n v="35634.33"/>
    <n v="62524"/>
    <n v="19.704837820000002"/>
  </r>
  <r>
    <x v="2"/>
    <x v="6"/>
    <x v="2"/>
    <x v="6"/>
    <n v="3720139.71"/>
    <n v="113697.21"/>
    <n v="8974"/>
    <n v="414.54643529999998"/>
  </r>
  <r>
    <x v="1"/>
    <x v="7"/>
    <x v="7"/>
    <x v="4"/>
    <n v="23601595.530000001"/>
    <n v="779464.58"/>
    <n v="169480"/>
    <n v="139.25888320000001"/>
  </r>
  <r>
    <x v="1"/>
    <x v="8"/>
    <x v="2"/>
    <x v="3"/>
    <n v="0"/>
    <n v="0"/>
    <n v="57"/>
    <n v="0"/>
  </r>
  <r>
    <x v="0"/>
    <x v="3"/>
    <x v="7"/>
    <x v="4"/>
    <n v="41367951.759999998"/>
    <n v="1544977.62"/>
    <n v="228908"/>
    <n v="180.71868069999999"/>
  </r>
  <r>
    <x v="2"/>
    <x v="8"/>
    <x v="8"/>
    <x v="0"/>
    <n v="-76.52"/>
    <n v="1.18"/>
    <n v="452"/>
    <n v="-0.16929203540000001"/>
  </r>
  <r>
    <x v="0"/>
    <x v="9"/>
    <x v="3"/>
    <x v="2"/>
    <n v="20673.68"/>
    <n v="453.96"/>
    <n v="144"/>
    <n v="143.5672222"/>
  </r>
  <r>
    <x v="1"/>
    <x v="0"/>
    <x v="9"/>
    <x v="8"/>
    <n v="281.56"/>
    <n v="7.62"/>
    <n v="9"/>
    <n v="31.284444440000001"/>
  </r>
  <r>
    <x v="0"/>
    <x v="1"/>
    <x v="8"/>
    <x v="1"/>
    <n v="2646750.7799999998"/>
    <n v="62508.800000000003"/>
    <n v="113130"/>
    <n v="23.395657920000001"/>
  </r>
  <r>
    <x v="0"/>
    <x v="9"/>
    <x v="1"/>
    <x v="7"/>
    <n v="304.16000000000003"/>
    <n v="21.33"/>
    <n v="37"/>
    <n v="8.2205405410000001"/>
  </r>
  <r>
    <x v="2"/>
    <x v="1"/>
    <x v="5"/>
    <x v="1"/>
    <n v="375858.97"/>
    <n v="10904.21"/>
    <n v="19780"/>
    <n v="19.00197017"/>
  </r>
  <r>
    <x v="1"/>
    <x v="8"/>
    <x v="4"/>
    <x v="1"/>
    <n v="56.04"/>
    <n v="2.29"/>
    <n v="9"/>
    <n v="6.2266666669999999"/>
  </r>
  <r>
    <x v="1"/>
    <x v="2"/>
    <x v="6"/>
    <x v="3"/>
    <n v="23805.74"/>
    <n v="690.32"/>
    <n v="1398"/>
    <n v="17.028426320000001"/>
  </r>
  <r>
    <x v="2"/>
    <x v="0"/>
    <x v="2"/>
    <x v="2"/>
    <n v="676"/>
    <n v="20.96"/>
    <n v="9"/>
    <n v="75.111111109999996"/>
  </r>
  <r>
    <x v="1"/>
    <x v="0"/>
    <x v="7"/>
    <x v="8"/>
    <n v="410.59"/>
    <n v="19.239999999999998"/>
    <n v="22"/>
    <n v="18.663181819999998"/>
  </r>
  <r>
    <x v="3"/>
    <x v="4"/>
    <x v="7"/>
    <x v="3"/>
    <n v="759404.19"/>
    <n v="27333.23"/>
    <n v="50514"/>
    <n v="15.033539019999999"/>
  </r>
  <r>
    <x v="2"/>
    <x v="5"/>
    <x v="1"/>
    <x v="4"/>
    <n v="1164330.1000000001"/>
    <n v="40662.18"/>
    <n v="10649"/>
    <n v="109.33703629999999"/>
  </r>
  <r>
    <x v="2"/>
    <x v="8"/>
    <x v="2"/>
    <x v="5"/>
    <n v="17750.990000000002"/>
    <n v="340.78"/>
    <n v="280"/>
    <n v="63.396392859999999"/>
  </r>
  <r>
    <x v="3"/>
    <x v="1"/>
    <x v="6"/>
    <x v="1"/>
    <n v="15454.1"/>
    <n v="382.33"/>
    <n v="261"/>
    <n v="59.211111109999997"/>
  </r>
  <r>
    <x v="1"/>
    <x v="9"/>
    <x v="0"/>
    <x v="5"/>
    <n v="15191.78"/>
    <n v="576.14"/>
    <n v="110"/>
    <n v="138.1070909"/>
  </r>
  <r>
    <x v="0"/>
    <x v="0"/>
    <x v="1"/>
    <x v="6"/>
    <n v="0"/>
    <n v="0"/>
    <n v="1"/>
    <n v="0"/>
  </r>
  <r>
    <x v="3"/>
    <x v="7"/>
    <x v="2"/>
    <x v="6"/>
    <n v="5482910.46"/>
    <n v="172110.56"/>
    <n v="22307"/>
    <n v="245.79326940000001"/>
  </r>
  <r>
    <x v="0"/>
    <x v="4"/>
    <x v="7"/>
    <x v="3"/>
    <n v="1162496.6499999999"/>
    <n v="46913.35"/>
    <n v="77671"/>
    <n v="14.966932959999999"/>
  </r>
  <r>
    <x v="3"/>
    <x v="5"/>
    <x v="9"/>
    <x v="4"/>
    <n v="1244062.2"/>
    <n v="42968.46"/>
    <n v="13649"/>
    <n v="91.146765329999994"/>
  </r>
  <r>
    <x v="1"/>
    <x v="6"/>
    <x v="5"/>
    <x v="0"/>
    <n v="1371037.41"/>
    <n v="33931.74"/>
    <n v="18828"/>
    <n v="72.819067880000006"/>
  </r>
  <r>
    <x v="3"/>
    <x v="3"/>
    <x v="5"/>
    <x v="2"/>
    <n v="44419198.810000002"/>
    <n v="1597559.4"/>
    <n v="325617"/>
    <n v="136.41547829999999"/>
  </r>
  <r>
    <x v="3"/>
    <x v="5"/>
    <x v="3"/>
    <x v="1"/>
    <n v="1189.04"/>
    <n v="34.21"/>
    <n v="22"/>
    <n v="54.047272730000003"/>
  </r>
  <r>
    <x v="3"/>
    <x v="7"/>
    <x v="2"/>
    <x v="4"/>
    <n v="21012847.670000002"/>
    <n v="658385.21"/>
    <n v="97143"/>
    <n v="216.30840789999999"/>
  </r>
  <r>
    <x v="3"/>
    <x v="3"/>
    <x v="3"/>
    <x v="3"/>
    <n v="14793.55"/>
    <n v="509.42"/>
    <n v="1217"/>
    <n v="12.15575185"/>
  </r>
  <r>
    <x v="1"/>
    <x v="4"/>
    <x v="6"/>
    <x v="4"/>
    <n v="30394904.949999999"/>
    <n v="1057979.98"/>
    <n v="135398"/>
    <n v="224.48562720000001"/>
  </r>
  <r>
    <x v="0"/>
    <x v="0"/>
    <x v="7"/>
    <x v="0"/>
    <n v="298.75"/>
    <n v="16.13"/>
    <n v="6"/>
    <n v="49.791666669999998"/>
  </r>
  <r>
    <x v="3"/>
    <x v="1"/>
    <x v="0"/>
    <x v="5"/>
    <n v="30341180.84"/>
    <n v="773086.22"/>
    <n v="268346"/>
    <n v="113.0673863"/>
  </r>
  <r>
    <x v="3"/>
    <x v="7"/>
    <x v="7"/>
    <x v="5"/>
    <n v="591370933.89999998"/>
    <n v="22083475.66"/>
    <n v="11370640"/>
    <n v="52.008588250000003"/>
  </r>
  <r>
    <x v="1"/>
    <x v="1"/>
    <x v="8"/>
    <x v="1"/>
    <n v="59842.45"/>
    <n v="1500.29"/>
    <n v="884"/>
    <n v="67.695079190000001"/>
  </r>
  <r>
    <x v="2"/>
    <x v="5"/>
    <x v="0"/>
    <x v="1"/>
    <n v="297.92"/>
    <n v="9.7100000000000009"/>
    <n v="29"/>
    <n v="10.273103450000001"/>
  </r>
  <r>
    <x v="2"/>
    <x v="9"/>
    <x v="9"/>
    <x v="5"/>
    <n v="49242.63"/>
    <n v="1369.98"/>
    <n v="452"/>
    <n v="108.9438717"/>
  </r>
  <r>
    <x v="2"/>
    <x v="3"/>
    <x v="1"/>
    <x v="5"/>
    <n v="236770832.40000001"/>
    <n v="9639955.1699999999"/>
    <n v="5123196"/>
    <n v="46.215454649999998"/>
  </r>
  <r>
    <x v="0"/>
    <x v="7"/>
    <x v="3"/>
    <x v="7"/>
    <n v="47.49"/>
    <n v="3.95"/>
    <n v="3"/>
    <n v="15.83"/>
  </r>
  <r>
    <x v="1"/>
    <x v="0"/>
    <x v="4"/>
    <x v="6"/>
    <n v="1680"/>
    <n v="49.62"/>
    <n v="4"/>
    <n v="420"/>
  </r>
  <r>
    <x v="2"/>
    <x v="5"/>
    <x v="8"/>
    <x v="1"/>
    <n v="118090.98"/>
    <n v="1855.35"/>
    <n v="155114"/>
    <n v="0.76131735369999998"/>
  </r>
  <r>
    <x v="0"/>
    <x v="5"/>
    <x v="5"/>
    <x v="8"/>
    <n v="1930942.23"/>
    <n v="87427.1"/>
    <n v="99469"/>
    <n v="19.41250269"/>
  </r>
  <r>
    <x v="1"/>
    <x v="5"/>
    <x v="1"/>
    <x v="2"/>
    <n v="3304486.67"/>
    <n v="116003.23"/>
    <n v="50954"/>
    <n v="64.852350549999997"/>
  </r>
  <r>
    <x v="1"/>
    <x v="4"/>
    <x v="3"/>
    <x v="7"/>
    <n v="2003608.92"/>
    <n v="68674.320000000007"/>
    <n v="32989"/>
    <n v="60.735667040000003"/>
  </r>
  <r>
    <x v="1"/>
    <x v="5"/>
    <x v="4"/>
    <x v="0"/>
    <n v="324066.90000000002"/>
    <n v="12673.8"/>
    <n v="42637"/>
    <n v="7.6006027630000004"/>
  </r>
  <r>
    <x v="2"/>
    <x v="3"/>
    <x v="4"/>
    <x v="5"/>
    <n v="611104133.29999995"/>
    <n v="24089414.600000001"/>
    <n v="12785995"/>
    <n v="47.794804650000003"/>
  </r>
  <r>
    <x v="1"/>
    <x v="7"/>
    <x v="4"/>
    <x v="1"/>
    <n v="1634570.97"/>
    <n v="43535.72"/>
    <n v="21543"/>
    <n v="75.874807129999994"/>
  </r>
  <r>
    <x v="2"/>
    <x v="5"/>
    <x v="7"/>
    <x v="4"/>
    <n v="580491.84"/>
    <n v="21278.880000000001"/>
    <n v="7373"/>
    <n v="78.732109050000005"/>
  </r>
  <r>
    <x v="2"/>
    <x v="1"/>
    <x v="5"/>
    <x v="7"/>
    <n v="12070404.17"/>
    <n v="364005.98"/>
    <n v="252106"/>
    <n v="47.878289969999997"/>
  </r>
  <r>
    <x v="0"/>
    <x v="5"/>
    <x v="3"/>
    <x v="4"/>
    <n v="712287.42"/>
    <n v="23924.68"/>
    <n v="5657"/>
    <n v="125.912572"/>
  </r>
  <r>
    <x v="3"/>
    <x v="9"/>
    <x v="8"/>
    <x v="2"/>
    <n v="195339.51999999999"/>
    <n v="1862.01"/>
    <n v="1440"/>
    <n v="135.65244440000001"/>
  </r>
  <r>
    <x v="3"/>
    <x v="6"/>
    <x v="0"/>
    <x v="8"/>
    <n v="64480.09"/>
    <n v="2125.0500000000002"/>
    <n v="4489"/>
    <n v="14.36402094"/>
  </r>
  <r>
    <x v="0"/>
    <x v="7"/>
    <x v="2"/>
    <x v="7"/>
    <n v="99"/>
    <n v="6.31"/>
    <n v="9"/>
    <n v="11"/>
  </r>
  <r>
    <x v="2"/>
    <x v="7"/>
    <x v="2"/>
    <x v="5"/>
    <n v="228460207.5"/>
    <n v="7887686.3600000003"/>
    <n v="2641844"/>
    <n v="86.477554130000001"/>
  </r>
  <r>
    <x v="1"/>
    <x v="1"/>
    <x v="9"/>
    <x v="2"/>
    <n v="7497416.04"/>
    <n v="246959.31"/>
    <n v="45366"/>
    <n v="165.2650893"/>
  </r>
  <r>
    <x v="0"/>
    <x v="1"/>
    <x v="2"/>
    <x v="9"/>
    <n v="315099.18"/>
    <n v="7452.28"/>
    <n v="6649"/>
    <n v="47.390461719999998"/>
  </r>
  <r>
    <x v="3"/>
    <x v="2"/>
    <x v="0"/>
    <x v="11"/>
    <n v="167999441.40000001"/>
    <n v="5261065.26"/>
    <n v="837576"/>
    <n v="200.57814619999999"/>
  </r>
  <r>
    <x v="0"/>
    <x v="7"/>
    <x v="4"/>
    <x v="1"/>
    <n v="30320683.91"/>
    <n v="743364.91"/>
    <n v="445110"/>
    <n v="68.119529799999995"/>
  </r>
  <r>
    <x v="0"/>
    <x v="2"/>
    <x v="2"/>
    <x v="5"/>
    <n v="64184929.009999998"/>
    <n v="2620777.88"/>
    <n v="1849021"/>
    <n v="34.712925929999997"/>
  </r>
  <r>
    <x v="3"/>
    <x v="2"/>
    <x v="4"/>
    <x v="6"/>
    <n v="9029856.5500000007"/>
    <n v="303939.05"/>
    <n v="59727"/>
    <n v="151.1855032"/>
  </r>
  <r>
    <x v="0"/>
    <x v="2"/>
    <x v="0"/>
    <x v="11"/>
    <n v="214897516.59999999"/>
    <n v="7005586.79"/>
    <n v="1187262"/>
    <n v="181.00260650000001"/>
  </r>
  <r>
    <x v="2"/>
    <x v="5"/>
    <x v="5"/>
    <x v="6"/>
    <n v="203971.13"/>
    <n v="7638.76"/>
    <n v="3095"/>
    <n v="65.903434570000002"/>
  </r>
  <r>
    <x v="2"/>
    <x v="5"/>
    <x v="9"/>
    <x v="3"/>
    <n v="377.25"/>
    <n v="25.13"/>
    <n v="46"/>
    <n v="8.2010869569999993"/>
  </r>
  <r>
    <x v="2"/>
    <x v="7"/>
    <x v="9"/>
    <x v="1"/>
    <n v="5985961.5899999999"/>
    <n v="151704.64000000001"/>
    <n v="80110"/>
    <n v="74.721777430000003"/>
  </r>
  <r>
    <x v="1"/>
    <x v="7"/>
    <x v="3"/>
    <x v="6"/>
    <n v="3563333.74"/>
    <n v="110491.19"/>
    <n v="13928"/>
    <n v="255.839585"/>
  </r>
  <r>
    <x v="3"/>
    <x v="7"/>
    <x v="0"/>
    <x v="6"/>
    <n v="5760831.3700000001"/>
    <n v="183394.93"/>
    <n v="24854"/>
    <n v="231.78689019999999"/>
  </r>
  <r>
    <x v="3"/>
    <x v="2"/>
    <x v="2"/>
    <x v="5"/>
    <n v="88852056.700000003"/>
    <n v="3548807.11"/>
    <n v="2297263"/>
    <n v="38.677355050000003"/>
  </r>
  <r>
    <x v="1"/>
    <x v="3"/>
    <x v="2"/>
    <x v="6"/>
    <n v="15706082.380000001"/>
    <n v="521764.75"/>
    <n v="48744"/>
    <n v="322.21570609999998"/>
  </r>
  <r>
    <x v="0"/>
    <x v="5"/>
    <x v="8"/>
    <x v="6"/>
    <n v="1531915.84"/>
    <n v="51414.97"/>
    <n v="13915"/>
    <n v="110.0909695"/>
  </r>
  <r>
    <x v="3"/>
    <x v="5"/>
    <x v="7"/>
    <x v="7"/>
    <n v="12536.02"/>
    <n v="529.35"/>
    <n v="653"/>
    <n v="19.1975804"/>
  </r>
  <r>
    <x v="3"/>
    <x v="1"/>
    <x v="9"/>
    <x v="5"/>
    <n v="302596501.5"/>
    <n v="8374679.2999999998"/>
    <n v="3674020"/>
    <n v="82.361147070000001"/>
  </r>
  <r>
    <x v="1"/>
    <x v="1"/>
    <x v="4"/>
    <x v="5"/>
    <n v="363698163.39999998"/>
    <n v="10340742.01"/>
    <n v="5139229"/>
    <n v="70.769012900000007"/>
  </r>
  <r>
    <x v="2"/>
    <x v="2"/>
    <x v="8"/>
    <x v="7"/>
    <n v="834212.5"/>
    <n v="31374.720000000001"/>
    <n v="18191"/>
    <n v="45.858528939999999"/>
  </r>
  <r>
    <x v="0"/>
    <x v="1"/>
    <x v="9"/>
    <x v="5"/>
    <n v="364732592.5"/>
    <n v="10353363.67"/>
    <n v="6087176"/>
    <n v="59.918194010000001"/>
  </r>
  <r>
    <x v="3"/>
    <x v="4"/>
    <x v="6"/>
    <x v="0"/>
    <n v="27265626.289999999"/>
    <n v="817223.97"/>
    <n v="471167"/>
    <n v="57.868285110000002"/>
  </r>
  <r>
    <x v="3"/>
    <x v="6"/>
    <x v="4"/>
    <x v="4"/>
    <n v="2174296.4300000002"/>
    <n v="69975.710000000006"/>
    <n v="8301"/>
    <n v="261.9318672"/>
  </r>
  <r>
    <x v="1"/>
    <x v="1"/>
    <x v="6"/>
    <x v="6"/>
    <n v="2548403.9"/>
    <n v="78116.56"/>
    <n v="6468"/>
    <n v="394.00183980000003"/>
  </r>
  <r>
    <x v="1"/>
    <x v="8"/>
    <x v="8"/>
    <x v="0"/>
    <n v="-39.69"/>
    <n v="1.57"/>
    <n v="178"/>
    <n v="-0.22297752809999999"/>
  </r>
  <r>
    <x v="3"/>
    <x v="5"/>
    <x v="8"/>
    <x v="6"/>
    <n v="1013703.01"/>
    <n v="33433.61"/>
    <n v="9768"/>
    <n v="103.7779494"/>
  </r>
  <r>
    <x v="0"/>
    <x v="0"/>
    <x v="7"/>
    <x v="9"/>
    <n v="14.74"/>
    <n v="0.73"/>
    <n v="1"/>
    <n v="14.74"/>
  </r>
  <r>
    <x v="2"/>
    <x v="8"/>
    <x v="5"/>
    <x v="5"/>
    <n v="14886.95"/>
    <n v="671.16"/>
    <n v="576"/>
    <n v="25.845399310000001"/>
  </r>
  <r>
    <x v="0"/>
    <x v="1"/>
    <x v="1"/>
    <x v="6"/>
    <n v="2005943.15"/>
    <n v="64701.86"/>
    <n v="4646"/>
    <n v="431.75702760000001"/>
  </r>
  <r>
    <x v="0"/>
    <x v="2"/>
    <x v="0"/>
    <x v="5"/>
    <n v="227608.76"/>
    <n v="8832.2999999999993"/>
    <n v="26626"/>
    <n v="8.5483647559999998"/>
  </r>
  <r>
    <x v="0"/>
    <x v="1"/>
    <x v="0"/>
    <x v="9"/>
    <n v="583.86"/>
    <n v="13.43"/>
    <n v="246"/>
    <n v="2.373414634"/>
  </r>
  <r>
    <x v="1"/>
    <x v="4"/>
    <x v="0"/>
    <x v="0"/>
    <n v="14412018.02"/>
    <n v="463643.66"/>
    <n v="203543"/>
    <n v="70.805765960000002"/>
  </r>
  <r>
    <x v="0"/>
    <x v="1"/>
    <x v="9"/>
    <x v="6"/>
    <n v="5198591.05"/>
    <n v="155047.73000000001"/>
    <n v="12614"/>
    <n v="412.1286705"/>
  </r>
  <r>
    <x v="3"/>
    <x v="2"/>
    <x v="0"/>
    <x v="5"/>
    <n v="407061.29"/>
    <n v="16763.080000000002"/>
    <n v="37541"/>
    <n v="10.8431126"/>
  </r>
  <r>
    <x v="3"/>
    <x v="8"/>
    <x v="0"/>
    <x v="5"/>
    <n v="1917.07"/>
    <n v="98.9"/>
    <n v="84"/>
    <n v="22.822261900000001"/>
  </r>
  <r>
    <x v="1"/>
    <x v="1"/>
    <x v="9"/>
    <x v="0"/>
    <n v="382769460"/>
    <n v="7988360.0800000001"/>
    <n v="4802711"/>
    <n v="79.698624379999998"/>
  </r>
  <r>
    <x v="2"/>
    <x v="3"/>
    <x v="3"/>
    <x v="8"/>
    <n v="37210412.789999999"/>
    <n v="1311171.8700000001"/>
    <n v="517734"/>
    <n v="71.871680810000001"/>
  </r>
  <r>
    <x v="2"/>
    <x v="5"/>
    <x v="1"/>
    <x v="0"/>
    <n v="344917.85"/>
    <n v="13877.91"/>
    <n v="11770"/>
    <n v="29.304830079999999"/>
  </r>
  <r>
    <x v="1"/>
    <x v="5"/>
    <x v="0"/>
    <x v="0"/>
    <n v="1004123.27"/>
    <n v="36167.660000000003"/>
    <n v="22683"/>
    <n v="44.267657280000002"/>
  </r>
  <r>
    <x v="1"/>
    <x v="5"/>
    <x v="8"/>
    <x v="7"/>
    <n v="22279.81"/>
    <n v="1002.82"/>
    <n v="111934"/>
    <n v="0.19904416890000001"/>
  </r>
  <r>
    <x v="3"/>
    <x v="6"/>
    <x v="4"/>
    <x v="8"/>
    <n v="9313712.8699999992"/>
    <n v="295593.56"/>
    <n v="155539"/>
    <n v="59.880241419999997"/>
  </r>
  <r>
    <x v="2"/>
    <x v="8"/>
    <x v="5"/>
    <x v="6"/>
    <n v="57"/>
    <n v="3.51"/>
    <n v="10"/>
    <n v="5.7"/>
  </r>
  <r>
    <x v="0"/>
    <x v="9"/>
    <x v="6"/>
    <x v="1"/>
    <n v="4428.99"/>
    <n v="0.49"/>
    <n v="43"/>
    <n v="102.9997674"/>
  </r>
  <r>
    <x v="3"/>
    <x v="3"/>
    <x v="4"/>
    <x v="8"/>
    <n v="109326599.3"/>
    <n v="4177660.3"/>
    <n v="2138863"/>
    <n v="51.114353440000002"/>
  </r>
  <r>
    <x v="0"/>
    <x v="5"/>
    <x v="4"/>
    <x v="2"/>
    <n v="5625792.0199999996"/>
    <n v="145280.24"/>
    <n v="74571"/>
    <n v="75.442089019999997"/>
  </r>
  <r>
    <x v="1"/>
    <x v="5"/>
    <x v="3"/>
    <x v="5"/>
    <n v="995918.06"/>
    <n v="34748.959999999999"/>
    <n v="16357"/>
    <n v="60.886352019999997"/>
  </r>
  <r>
    <x v="3"/>
    <x v="1"/>
    <x v="5"/>
    <x v="8"/>
    <n v="38546403.850000001"/>
    <n v="1295395.68"/>
    <n v="906542"/>
    <n v="42.520262549999998"/>
  </r>
  <r>
    <x v="0"/>
    <x v="0"/>
    <x v="9"/>
    <x v="4"/>
    <n v="14"/>
    <n v="1.1599999999999999"/>
    <n v="2"/>
    <n v="7"/>
  </r>
  <r>
    <x v="0"/>
    <x v="0"/>
    <x v="9"/>
    <x v="8"/>
    <n v="1499.91"/>
    <n v="67.040000000000006"/>
    <n v="27"/>
    <n v="55.552222219999997"/>
  </r>
  <r>
    <x v="0"/>
    <x v="7"/>
    <x v="0"/>
    <x v="1"/>
    <n v="38922.78"/>
    <n v="909.7"/>
    <n v="2903"/>
    <n v="13.407778159999999"/>
  </r>
  <r>
    <x v="1"/>
    <x v="2"/>
    <x v="1"/>
    <x v="4"/>
    <n v="20544043.489999998"/>
    <n v="689757.55"/>
    <n v="88333"/>
    <n v="232.57495489999999"/>
  </r>
  <r>
    <x v="1"/>
    <x v="2"/>
    <x v="2"/>
    <x v="0"/>
    <n v="3973749.59"/>
    <n v="148268.67000000001"/>
    <n v="74235"/>
    <n v="53.529327000000002"/>
  </r>
  <r>
    <x v="0"/>
    <x v="1"/>
    <x v="0"/>
    <x v="9"/>
    <n v="374.63"/>
    <n v="8.06"/>
    <n v="4"/>
    <n v="93.657499999999999"/>
  </r>
  <r>
    <x v="3"/>
    <x v="6"/>
    <x v="9"/>
    <x v="2"/>
    <n v="7773718.6900000004"/>
    <n v="220389.46"/>
    <n v="30848"/>
    <n v="252.00073549999999"/>
  </r>
  <r>
    <x v="2"/>
    <x v="0"/>
    <x v="0"/>
    <x v="5"/>
    <n v="636.83000000000004"/>
    <n v="27.37"/>
    <n v="29"/>
    <n v="21.959655170000001"/>
  </r>
  <r>
    <x v="3"/>
    <x v="6"/>
    <x v="1"/>
    <x v="3"/>
    <n v="64698.38"/>
    <n v="2469.33"/>
    <n v="4032"/>
    <n v="16.046225199999999"/>
  </r>
  <r>
    <x v="2"/>
    <x v="8"/>
    <x v="1"/>
    <x v="1"/>
    <n v="-0.4"/>
    <n v="-0.01"/>
    <n v="3"/>
    <n v="-0.1333333333"/>
  </r>
  <r>
    <x v="2"/>
    <x v="9"/>
    <x v="4"/>
    <x v="5"/>
    <n v="44362.89"/>
    <n v="1421.99"/>
    <n v="498"/>
    <n v="89.082108430000005"/>
  </r>
  <r>
    <x v="0"/>
    <x v="9"/>
    <x v="0"/>
    <x v="2"/>
    <n v="28328.17"/>
    <n v="387.6"/>
    <n v="170"/>
    <n v="166.63629409999999"/>
  </r>
  <r>
    <x v="3"/>
    <x v="3"/>
    <x v="4"/>
    <x v="4"/>
    <n v="34152590.409999996"/>
    <n v="1168527.19"/>
    <n v="182062"/>
    <n v="187.58769219999999"/>
  </r>
  <r>
    <x v="1"/>
    <x v="6"/>
    <x v="9"/>
    <x v="4"/>
    <n v="4677074.63"/>
    <n v="145025.79999999999"/>
    <n v="12008"/>
    <n v="389.49655480000001"/>
  </r>
  <r>
    <x v="2"/>
    <x v="9"/>
    <x v="6"/>
    <x v="1"/>
    <n v="455"/>
    <n v="9.4499999999999993"/>
    <n v="10"/>
    <n v="45.5"/>
  </r>
  <r>
    <x v="3"/>
    <x v="5"/>
    <x v="8"/>
    <x v="2"/>
    <n v="11439861.35"/>
    <n v="382337.92"/>
    <n v="170548"/>
    <n v="67.077077130000006"/>
  </r>
  <r>
    <x v="1"/>
    <x v="0"/>
    <x v="4"/>
    <x v="5"/>
    <n v="19528.96"/>
    <n v="665.76"/>
    <n v="409"/>
    <n v="47.748068459999999"/>
  </r>
  <r>
    <x v="0"/>
    <x v="5"/>
    <x v="5"/>
    <x v="9"/>
    <n v="11542.01"/>
    <n v="474.11"/>
    <n v="493"/>
    <n v="23.411784990000001"/>
  </r>
  <r>
    <x v="1"/>
    <x v="5"/>
    <x v="7"/>
    <x v="6"/>
    <n v="286155.09999999998"/>
    <n v="10443.61"/>
    <n v="3904"/>
    <n v="73.297925199999995"/>
  </r>
  <r>
    <x v="0"/>
    <x v="5"/>
    <x v="3"/>
    <x v="8"/>
    <n v="2281149.4900000002"/>
    <n v="84635.41"/>
    <n v="61891"/>
    <n v="36.857531629999997"/>
  </r>
  <r>
    <x v="1"/>
    <x v="1"/>
    <x v="0"/>
    <x v="8"/>
    <n v="132294915.09999999"/>
    <n v="3575788.24"/>
    <n v="1868781"/>
    <n v="70.792091260000007"/>
  </r>
  <r>
    <x v="0"/>
    <x v="7"/>
    <x v="4"/>
    <x v="7"/>
    <n v="451.09"/>
    <n v="18.670000000000002"/>
    <n v="18"/>
    <n v="25.060555560000001"/>
  </r>
  <r>
    <x v="0"/>
    <x v="5"/>
    <x v="4"/>
    <x v="7"/>
    <n v="73898.490000000005"/>
    <n v="3067.35"/>
    <n v="2949"/>
    <n v="25.058830109999999"/>
  </r>
  <r>
    <x v="3"/>
    <x v="0"/>
    <x v="9"/>
    <x v="8"/>
    <n v="534.59"/>
    <n v="12.53"/>
    <n v="13"/>
    <n v="41.12230769"/>
  </r>
  <r>
    <x v="3"/>
    <x v="8"/>
    <x v="2"/>
    <x v="2"/>
    <n v="37242.339999999997"/>
    <n v="1045.52"/>
    <n v="531"/>
    <n v="70.136233520000005"/>
  </r>
  <r>
    <x v="0"/>
    <x v="4"/>
    <x v="0"/>
    <x v="0"/>
    <n v="52421.05"/>
    <n v="2474.02"/>
    <n v="26275"/>
    <n v="1.9950922929999999"/>
  </r>
  <r>
    <x v="0"/>
    <x v="7"/>
    <x v="6"/>
    <x v="9"/>
    <n v="1040286.97"/>
    <n v="36199.160000000003"/>
    <n v="16048"/>
    <n v="64.823465229999996"/>
  </r>
  <r>
    <x v="3"/>
    <x v="1"/>
    <x v="7"/>
    <x v="5"/>
    <n v="179376503.80000001"/>
    <n v="5000484.79"/>
    <n v="2449727"/>
    <n v="73.22305867"/>
  </r>
  <r>
    <x v="2"/>
    <x v="9"/>
    <x v="1"/>
    <x v="2"/>
    <n v="38728.74"/>
    <n v="592.74"/>
    <n v="246"/>
    <n v="157.43390239999999"/>
  </r>
  <r>
    <x v="0"/>
    <x v="5"/>
    <x v="0"/>
    <x v="3"/>
    <n v="0"/>
    <n v="0"/>
    <n v="2"/>
    <n v="0"/>
  </r>
  <r>
    <x v="1"/>
    <x v="2"/>
    <x v="0"/>
    <x v="2"/>
    <n v="14508.26"/>
    <n v="469.01"/>
    <n v="11684"/>
    <n v="1.241720301"/>
  </r>
  <r>
    <x v="1"/>
    <x v="2"/>
    <x v="9"/>
    <x v="4"/>
    <n v="27813064.25"/>
    <n v="926106.95"/>
    <n v="147025"/>
    <n v="189.1723465"/>
  </r>
  <r>
    <x v="2"/>
    <x v="7"/>
    <x v="9"/>
    <x v="2"/>
    <n v="319214551.80000001"/>
    <n v="7723661.9800000004"/>
    <n v="2047352"/>
    <n v="155.91581310000001"/>
  </r>
  <r>
    <x v="2"/>
    <x v="6"/>
    <x v="1"/>
    <x v="4"/>
    <n v="3147918.5"/>
    <n v="93591.65"/>
    <n v="9383"/>
    <n v="335.49168709999998"/>
  </r>
  <r>
    <x v="2"/>
    <x v="5"/>
    <x v="9"/>
    <x v="1"/>
    <n v="111749.82"/>
    <n v="3042.55"/>
    <n v="2446"/>
    <n v="45.68676206"/>
  </r>
  <r>
    <x v="2"/>
    <x v="2"/>
    <x v="1"/>
    <x v="6"/>
    <n v="13418352.789999999"/>
    <n v="428355.77"/>
    <n v="55828"/>
    <n v="240.35166570000001"/>
  </r>
  <r>
    <x v="2"/>
    <x v="3"/>
    <x v="8"/>
    <x v="4"/>
    <n v="125024998.90000001"/>
    <n v="3953616.89"/>
    <n v="284605"/>
    <n v="439.2930513"/>
  </r>
  <r>
    <x v="1"/>
    <x v="5"/>
    <x v="4"/>
    <x v="3"/>
    <n v="1449.56"/>
    <n v="38.49"/>
    <n v="76"/>
    <n v="19.073157890000001"/>
  </r>
  <r>
    <x v="1"/>
    <x v="5"/>
    <x v="5"/>
    <x v="0"/>
    <n v="73892.09"/>
    <n v="2965.37"/>
    <n v="175680"/>
    <n v="0.42060615890000003"/>
  </r>
  <r>
    <x v="1"/>
    <x v="6"/>
    <x v="5"/>
    <x v="8"/>
    <n v="1895312.21"/>
    <n v="75112.34"/>
    <n v="51233"/>
    <n v="36.993972829999997"/>
  </r>
  <r>
    <x v="2"/>
    <x v="5"/>
    <x v="8"/>
    <x v="0"/>
    <n v="213333.98"/>
    <n v="8901.06"/>
    <n v="10223"/>
    <n v="20.868040690000001"/>
  </r>
  <r>
    <x v="1"/>
    <x v="4"/>
    <x v="5"/>
    <x v="0"/>
    <n v="15613101.76"/>
    <n v="503512.22"/>
    <n v="291980"/>
    <n v="53.473189120000001"/>
  </r>
  <r>
    <x v="2"/>
    <x v="2"/>
    <x v="6"/>
    <x v="2"/>
    <n v="52252869.979999997"/>
    <n v="1668626.52"/>
    <n v="482614"/>
    <n v="108.27052260000001"/>
  </r>
  <r>
    <x v="2"/>
    <x v="6"/>
    <x v="0"/>
    <x v="5"/>
    <n v="48121.24"/>
    <n v="1498.65"/>
    <n v="3199"/>
    <n v="15.042588309999999"/>
  </r>
  <r>
    <x v="0"/>
    <x v="7"/>
    <x v="5"/>
    <x v="5"/>
    <n v="609689175.39999998"/>
    <n v="24068442.710000001"/>
    <n v="13927519"/>
    <n v="43.77586384"/>
  </r>
  <r>
    <x v="2"/>
    <x v="8"/>
    <x v="3"/>
    <x v="4"/>
    <n v="2659.29"/>
    <n v="76.83"/>
    <n v="23"/>
    <n v="115.62130430000001"/>
  </r>
  <r>
    <x v="3"/>
    <x v="3"/>
    <x v="2"/>
    <x v="3"/>
    <n v="95349.74"/>
    <n v="2980.04"/>
    <n v="5759"/>
    <n v="16.556648719999998"/>
  </r>
  <r>
    <x v="1"/>
    <x v="0"/>
    <x v="6"/>
    <x v="2"/>
    <n v="2481.31"/>
    <n v="29.23"/>
    <n v="42"/>
    <n v="59.07880952"/>
  </r>
  <r>
    <x v="0"/>
    <x v="5"/>
    <x v="4"/>
    <x v="4"/>
    <n v="1568086.5"/>
    <n v="55488.9"/>
    <n v="16952"/>
    <n v="92.501563239999996"/>
  </r>
  <r>
    <x v="0"/>
    <x v="7"/>
    <x v="0"/>
    <x v="11"/>
    <n v="585"/>
    <n v="21.76"/>
    <n v="14"/>
    <n v="41.785714290000001"/>
  </r>
  <r>
    <x v="3"/>
    <x v="4"/>
    <x v="7"/>
    <x v="6"/>
    <n v="7116688.1100000003"/>
    <n v="231286.8"/>
    <n v="25510"/>
    <n v="278.97640569999999"/>
  </r>
  <r>
    <x v="3"/>
    <x v="6"/>
    <x v="0"/>
    <x v="1"/>
    <n v="0"/>
    <n v="0"/>
    <n v="3"/>
    <n v="0"/>
  </r>
  <r>
    <x v="2"/>
    <x v="3"/>
    <x v="1"/>
    <x v="3"/>
    <n v="33459.17"/>
    <n v="1088.53"/>
    <n v="1723"/>
    <n v="19.419135229999998"/>
  </r>
  <r>
    <x v="2"/>
    <x v="7"/>
    <x v="1"/>
    <x v="4"/>
    <n v="24864600.41"/>
    <n v="779032.81"/>
    <n v="138511"/>
    <n v="179.5135434"/>
  </r>
  <r>
    <x v="1"/>
    <x v="1"/>
    <x v="0"/>
    <x v="2"/>
    <n v="599.84"/>
    <n v="25.64"/>
    <n v="436"/>
    <n v="1.375779817"/>
  </r>
  <r>
    <x v="2"/>
    <x v="5"/>
    <x v="6"/>
    <x v="7"/>
    <n v="47080.06"/>
    <n v="1979.51"/>
    <n v="1828"/>
    <n v="25.754956239999999"/>
  </r>
  <r>
    <x v="3"/>
    <x v="2"/>
    <x v="8"/>
    <x v="2"/>
    <n v="150373085.19999999"/>
    <n v="4770952.71"/>
    <n v="928603"/>
    <n v="161.93473990000001"/>
  </r>
  <r>
    <x v="2"/>
    <x v="7"/>
    <x v="3"/>
    <x v="8"/>
    <n v="7760751.4000000004"/>
    <n v="281957.21999999997"/>
    <n v="143353"/>
    <n v="54.137349059999998"/>
  </r>
  <r>
    <x v="2"/>
    <x v="0"/>
    <x v="7"/>
    <x v="5"/>
    <n v="20756.38"/>
    <n v="1030.46"/>
    <n v="1177"/>
    <n v="17.634987259999999"/>
  </r>
  <r>
    <x v="1"/>
    <x v="0"/>
    <x v="8"/>
    <x v="5"/>
    <n v="21042.43"/>
    <n v="515.55999999999995"/>
    <n v="268"/>
    <n v="78.516529849999998"/>
  </r>
  <r>
    <x v="1"/>
    <x v="8"/>
    <x v="0"/>
    <x v="6"/>
    <n v="11921.65"/>
    <n v="46.11"/>
    <n v="59"/>
    <n v="202.06186439999999"/>
  </r>
  <r>
    <x v="0"/>
    <x v="6"/>
    <x v="0"/>
    <x v="5"/>
    <n v="2703372.58"/>
    <n v="98318.12"/>
    <n v="58245"/>
    <n v="46.41381372"/>
  </r>
  <r>
    <x v="0"/>
    <x v="3"/>
    <x v="4"/>
    <x v="3"/>
    <n v="324477.09000000003"/>
    <n v="11314.22"/>
    <n v="16491"/>
    <n v="19.676010550000001"/>
  </r>
  <r>
    <x v="2"/>
    <x v="1"/>
    <x v="6"/>
    <x v="8"/>
    <n v="165677895.90000001"/>
    <n v="5973069.75"/>
    <n v="4799418"/>
    <n v="34.520413910000002"/>
  </r>
  <r>
    <x v="1"/>
    <x v="7"/>
    <x v="7"/>
    <x v="1"/>
    <n v="1128401.81"/>
    <n v="33329.089999999997"/>
    <n v="17573"/>
    <n v="64.212246629999996"/>
  </r>
  <r>
    <x v="3"/>
    <x v="7"/>
    <x v="6"/>
    <x v="4"/>
    <n v="26422858.829999998"/>
    <n v="821893.27"/>
    <n v="179166"/>
    <n v="147.47697009999999"/>
  </r>
  <r>
    <x v="3"/>
    <x v="6"/>
    <x v="4"/>
    <x v="3"/>
    <n v="221843.11"/>
    <n v="8550.7099999999991"/>
    <n v="12585"/>
    <n v="17.627581249999999"/>
  </r>
  <r>
    <x v="3"/>
    <x v="1"/>
    <x v="8"/>
    <x v="8"/>
    <n v="125221614.8"/>
    <n v="3527350.91"/>
    <n v="1323500"/>
    <n v="94.613989239999995"/>
  </r>
  <r>
    <x v="1"/>
    <x v="2"/>
    <x v="4"/>
    <x v="5"/>
    <n v="266500153.90000001"/>
    <n v="11515403.369999999"/>
    <n v="9093786"/>
    <n v="29.305742840000001"/>
  </r>
  <r>
    <x v="3"/>
    <x v="7"/>
    <x v="0"/>
    <x v="8"/>
    <n v="46976634.5"/>
    <n v="1647458.07"/>
    <n v="712979"/>
    <n v="65.887823479999994"/>
  </r>
  <r>
    <x v="1"/>
    <x v="5"/>
    <x v="9"/>
    <x v="0"/>
    <n v="395598.25"/>
    <n v="15354.97"/>
    <n v="11020"/>
    <n v="35.898207800000002"/>
  </r>
  <r>
    <x v="0"/>
    <x v="0"/>
    <x v="3"/>
    <x v="2"/>
    <n v="21.18"/>
    <n v="0.61"/>
    <n v="2"/>
    <n v="10.59"/>
  </r>
  <r>
    <x v="1"/>
    <x v="8"/>
    <x v="6"/>
    <x v="5"/>
    <n v="26699.21"/>
    <n v="931.59"/>
    <n v="687"/>
    <n v="38.863478890000003"/>
  </r>
  <r>
    <x v="2"/>
    <x v="7"/>
    <x v="4"/>
    <x v="4"/>
    <n v="46814643.630000003"/>
    <n v="1521175.77"/>
    <n v="261182"/>
    <n v="179.24146239999999"/>
  </r>
  <r>
    <x v="0"/>
    <x v="8"/>
    <x v="3"/>
    <x v="5"/>
    <n v="8993.67"/>
    <n v="196.99"/>
    <n v="78"/>
    <n v="115.3034615"/>
  </r>
  <r>
    <x v="1"/>
    <x v="2"/>
    <x v="5"/>
    <x v="5"/>
    <n v="330580829.5"/>
    <n v="15121415.67"/>
    <n v="13407344"/>
    <n v="24.656697820000002"/>
  </r>
  <r>
    <x v="3"/>
    <x v="1"/>
    <x v="2"/>
    <x v="5"/>
    <n v="140092655.40000001"/>
    <n v="3825822.67"/>
    <n v="1518581"/>
    <n v="92.252343100000004"/>
  </r>
  <r>
    <x v="3"/>
    <x v="9"/>
    <x v="9"/>
    <x v="5"/>
    <n v="127157.6"/>
    <n v="3939.43"/>
    <n v="1233"/>
    <n v="103.12862939999999"/>
  </r>
  <r>
    <x v="3"/>
    <x v="5"/>
    <x v="0"/>
    <x v="4"/>
    <n v="2420189.87"/>
    <n v="79191.67"/>
    <n v="20553"/>
    <n v="117.7536063"/>
  </r>
  <r>
    <x v="2"/>
    <x v="6"/>
    <x v="0"/>
    <x v="5"/>
    <n v="3306486.14"/>
    <n v="121067.62"/>
    <n v="66609"/>
    <n v="49.640230899999999"/>
  </r>
  <r>
    <x v="2"/>
    <x v="1"/>
    <x v="3"/>
    <x v="0"/>
    <n v="33240278.039999999"/>
    <n v="746602.26"/>
    <n v="478913"/>
    <n v="69.407758900000005"/>
  </r>
  <r>
    <x v="3"/>
    <x v="4"/>
    <x v="3"/>
    <x v="6"/>
    <n v="1785168.46"/>
    <n v="52312.43"/>
    <n v="4583"/>
    <n v="389.51962909999997"/>
  </r>
  <r>
    <x v="3"/>
    <x v="2"/>
    <x v="7"/>
    <x v="4"/>
    <n v="9796342.7599999998"/>
    <n v="362264.5"/>
    <n v="109957"/>
    <n v="89.092488520000003"/>
  </r>
  <r>
    <x v="3"/>
    <x v="5"/>
    <x v="7"/>
    <x v="4"/>
    <n v="414738.55"/>
    <n v="15096.56"/>
    <n v="6289"/>
    <n v="65.946660840000007"/>
  </r>
  <r>
    <x v="0"/>
    <x v="5"/>
    <x v="0"/>
    <x v="4"/>
    <n v="4264500.1900000004"/>
    <n v="139667.32999999999"/>
    <n v="34886"/>
    <n v="122.24101899999999"/>
  </r>
  <r>
    <x v="0"/>
    <x v="0"/>
    <x v="5"/>
    <x v="8"/>
    <n v="2104.2399999999998"/>
    <n v="88.78"/>
    <n v="39"/>
    <n v="53.954871789999999"/>
  </r>
  <r>
    <x v="0"/>
    <x v="9"/>
    <x v="8"/>
    <x v="10"/>
    <n v="300067.87"/>
    <n v="1400.32"/>
    <n v="8702"/>
    <n v="34.482632729999999"/>
  </r>
  <r>
    <x v="1"/>
    <x v="1"/>
    <x v="1"/>
    <x v="4"/>
    <n v="3393575.96"/>
    <n v="116879.81"/>
    <n v="13828"/>
    <n v="245.41336129999999"/>
  </r>
  <r>
    <x v="1"/>
    <x v="9"/>
    <x v="6"/>
    <x v="2"/>
    <n v="34378.910000000003"/>
    <n v="646.53"/>
    <n v="282"/>
    <n v="121.91102840000001"/>
  </r>
  <r>
    <x v="1"/>
    <x v="6"/>
    <x v="3"/>
    <x v="8"/>
    <n v="4547564.5199999996"/>
    <n v="150545.15"/>
    <n v="60692"/>
    <n v="74.92856587"/>
  </r>
  <r>
    <x v="1"/>
    <x v="1"/>
    <x v="6"/>
    <x v="8"/>
    <n v="112281418.3"/>
    <n v="3642435.86"/>
    <n v="2307063"/>
    <n v="48.668553170000003"/>
  </r>
  <r>
    <x v="0"/>
    <x v="8"/>
    <x v="7"/>
    <x v="5"/>
    <n v="12052.79"/>
    <n v="548.74"/>
    <n v="505"/>
    <n v="23.86691089"/>
  </r>
  <r>
    <x v="0"/>
    <x v="2"/>
    <x v="7"/>
    <x v="8"/>
    <n v="57706467.43"/>
    <n v="2341851.19"/>
    <n v="1598788"/>
    <n v="36.093883259999998"/>
  </r>
  <r>
    <x v="3"/>
    <x v="2"/>
    <x v="2"/>
    <x v="2"/>
    <n v="29108887.66"/>
    <n v="970771.93"/>
    <n v="168668"/>
    <n v="172.58097359999999"/>
  </r>
  <r>
    <x v="2"/>
    <x v="3"/>
    <x v="8"/>
    <x v="8"/>
    <n v="124639805.90000001"/>
    <n v="4658747.84"/>
    <n v="2086709"/>
    <n v="59.730324600000003"/>
  </r>
  <r>
    <x v="2"/>
    <x v="1"/>
    <x v="9"/>
    <x v="0"/>
    <n v="627164892"/>
    <n v="13023638.359999999"/>
    <n v="8637853"/>
    <n v="72.606571560000006"/>
  </r>
  <r>
    <x v="0"/>
    <x v="1"/>
    <x v="7"/>
    <x v="1"/>
    <n v="4752985.8"/>
    <n v="141337.03"/>
    <n v="221144"/>
    <n v="21.49271877"/>
  </r>
  <r>
    <x v="2"/>
    <x v="0"/>
    <x v="9"/>
    <x v="5"/>
    <n v="10587.15"/>
    <n v="458.88"/>
    <n v="498"/>
    <n v="21.259337349999999"/>
  </r>
  <r>
    <x v="1"/>
    <x v="5"/>
    <x v="1"/>
    <x v="1"/>
    <n v="13381.03"/>
    <n v="512.70000000000005"/>
    <n v="420"/>
    <n v="31.859595240000001"/>
  </r>
  <r>
    <x v="1"/>
    <x v="8"/>
    <x v="3"/>
    <x v="7"/>
    <n v="0"/>
    <n v="0"/>
    <n v="4"/>
    <n v="0"/>
  </r>
  <r>
    <x v="3"/>
    <x v="5"/>
    <x v="8"/>
    <x v="0"/>
    <n v="92321.48"/>
    <n v="3581.76"/>
    <n v="3562"/>
    <n v="25.918439079999999"/>
  </r>
  <r>
    <x v="0"/>
    <x v="6"/>
    <x v="3"/>
    <x v="9"/>
    <n v="1398.31"/>
    <n v="58.8"/>
    <n v="50"/>
    <n v="27.966200000000001"/>
  </r>
  <r>
    <x v="1"/>
    <x v="9"/>
    <x v="8"/>
    <x v="5"/>
    <n v="66009.19"/>
    <n v="2011.25"/>
    <n v="774"/>
    <n v="85.283191209999998"/>
  </r>
  <r>
    <x v="2"/>
    <x v="7"/>
    <x v="0"/>
    <x v="5"/>
    <n v="68662711.719999999"/>
    <n v="2388563.7999999998"/>
    <n v="985370"/>
    <n v="69.682161750000006"/>
  </r>
  <r>
    <x v="2"/>
    <x v="7"/>
    <x v="1"/>
    <x v="6"/>
    <n v="9413049.3800000008"/>
    <n v="281439.74"/>
    <n v="45486"/>
    <n v="206.94388119999999"/>
  </r>
  <r>
    <x v="0"/>
    <x v="6"/>
    <x v="0"/>
    <x v="0"/>
    <n v="8655.32"/>
    <n v="241.79"/>
    <n v="1959"/>
    <n v="4.4182337929999997"/>
  </r>
  <r>
    <x v="0"/>
    <x v="8"/>
    <x v="0"/>
    <x v="4"/>
    <n v="6465.17"/>
    <n v="79.989999999999995"/>
    <n v="54"/>
    <n v="119.7253704"/>
  </r>
  <r>
    <x v="0"/>
    <x v="1"/>
    <x v="0"/>
    <x v="6"/>
    <n v="2225831.37"/>
    <n v="52758.79"/>
    <n v="6053"/>
    <n v="367.72366929999998"/>
  </r>
  <r>
    <x v="3"/>
    <x v="8"/>
    <x v="4"/>
    <x v="7"/>
    <n v="152.94999999999999"/>
    <n v="9.6"/>
    <n v="6"/>
    <n v="25.491666670000001"/>
  </r>
  <r>
    <x v="2"/>
    <x v="6"/>
    <x v="4"/>
    <x v="6"/>
    <n v="2759300.83"/>
    <n v="86920.69"/>
    <n v="8123"/>
    <n v="339.68987199999998"/>
  </r>
  <r>
    <x v="2"/>
    <x v="6"/>
    <x v="6"/>
    <x v="4"/>
    <n v="2616039.67"/>
    <n v="83508.36"/>
    <n v="9207"/>
    <n v="284.13594760000001"/>
  </r>
  <r>
    <x v="0"/>
    <x v="5"/>
    <x v="7"/>
    <x v="5"/>
    <n v="7992834.5800000001"/>
    <n v="332276.69"/>
    <n v="270774"/>
    <n v="29.518471420000001"/>
  </r>
  <r>
    <x v="1"/>
    <x v="4"/>
    <x v="5"/>
    <x v="5"/>
    <n v="438188338.80000001"/>
    <n v="15530918.98"/>
    <n v="7302094"/>
    <n v="60.00858642"/>
  </r>
  <r>
    <x v="0"/>
    <x v="8"/>
    <x v="3"/>
    <x v="8"/>
    <n v="15377.16"/>
    <n v="410.39"/>
    <n v="590"/>
    <n v="26.06298305"/>
  </r>
  <r>
    <x v="3"/>
    <x v="4"/>
    <x v="0"/>
    <x v="11"/>
    <n v="709758994"/>
    <n v="18677465.390000001"/>
    <n v="1575528"/>
    <n v="450.48960979999998"/>
  </r>
  <r>
    <x v="3"/>
    <x v="0"/>
    <x v="5"/>
    <x v="4"/>
    <n v="343.94"/>
    <n v="10.87"/>
    <n v="3"/>
    <n v="114.6466667"/>
  </r>
  <r>
    <x v="3"/>
    <x v="7"/>
    <x v="7"/>
    <x v="6"/>
    <n v="5501841.21"/>
    <n v="180846.97"/>
    <n v="35944"/>
    <n v="153.06702680000001"/>
  </r>
  <r>
    <x v="0"/>
    <x v="7"/>
    <x v="6"/>
    <x v="5"/>
    <n v="671724647.60000002"/>
    <n v="25074614.949999999"/>
    <n v="11443549"/>
    <n v="58.698979450000003"/>
  </r>
  <r>
    <x v="0"/>
    <x v="3"/>
    <x v="5"/>
    <x v="3"/>
    <n v="44156.01"/>
    <n v="1520.86"/>
    <n v="2266"/>
    <n v="19.48632392"/>
  </r>
  <r>
    <x v="0"/>
    <x v="2"/>
    <x v="7"/>
    <x v="7"/>
    <n v="1385786.1"/>
    <n v="54474.91"/>
    <n v="33883"/>
    <n v="40.899155919999998"/>
  </r>
  <r>
    <x v="0"/>
    <x v="4"/>
    <x v="8"/>
    <x v="7"/>
    <n v="25367325.280000001"/>
    <n v="805335.48"/>
    <n v="356230"/>
    <n v="71.210524890000002"/>
  </r>
  <r>
    <x v="0"/>
    <x v="2"/>
    <x v="8"/>
    <x v="1"/>
    <n v="6670440.7300000004"/>
    <n v="109777.58"/>
    <n v="108277"/>
    <n v="61.605333819999998"/>
  </r>
  <r>
    <x v="3"/>
    <x v="8"/>
    <x v="5"/>
    <x v="4"/>
    <n v="6213.85"/>
    <n v="136.57"/>
    <n v="7"/>
    <n v="887.69285709999997"/>
  </r>
  <r>
    <x v="3"/>
    <x v="6"/>
    <x v="0"/>
    <x v="6"/>
    <n v="4054800.16"/>
    <n v="125761.33"/>
    <n v="13566"/>
    <n v="298.8943064"/>
  </r>
  <r>
    <x v="0"/>
    <x v="1"/>
    <x v="2"/>
    <x v="5"/>
    <n v="157029679.19999999"/>
    <n v="4400383.5999999996"/>
    <n v="2315234"/>
    <n v="67.824539200000004"/>
  </r>
  <r>
    <x v="0"/>
    <x v="9"/>
    <x v="8"/>
    <x v="7"/>
    <n v="583.97"/>
    <n v="23.29"/>
    <n v="21"/>
    <n v="27.80809524"/>
  </r>
  <r>
    <x v="1"/>
    <x v="6"/>
    <x v="1"/>
    <x v="6"/>
    <n v="3128330.08"/>
    <n v="96212.63"/>
    <n v="8319"/>
    <n v="376.04640940000002"/>
  </r>
  <r>
    <x v="3"/>
    <x v="1"/>
    <x v="0"/>
    <x v="1"/>
    <n v="67.98"/>
    <n v="1.59"/>
    <n v="2"/>
    <n v="33.99"/>
  </r>
  <r>
    <x v="2"/>
    <x v="7"/>
    <x v="2"/>
    <x v="1"/>
    <n v="1924145.6"/>
    <n v="49419.09"/>
    <n v="24180"/>
    <n v="79.575913979999996"/>
  </r>
  <r>
    <x v="3"/>
    <x v="6"/>
    <x v="4"/>
    <x v="7"/>
    <n v="354537.35"/>
    <n v="11165.74"/>
    <n v="6132"/>
    <n v="57.817571749999999"/>
  </r>
  <r>
    <x v="0"/>
    <x v="3"/>
    <x v="3"/>
    <x v="2"/>
    <n v="14996106.640000001"/>
    <n v="472313.39"/>
    <n v="56669"/>
    <n v="264.62627959999998"/>
  </r>
  <r>
    <x v="0"/>
    <x v="3"/>
    <x v="5"/>
    <x v="2"/>
    <n v="64504212.600000001"/>
    <n v="2056239.92"/>
    <n v="456983"/>
    <n v="141.1523243"/>
  </r>
  <r>
    <x v="2"/>
    <x v="6"/>
    <x v="9"/>
    <x v="7"/>
    <n v="689897.07"/>
    <n v="21731.85"/>
    <n v="13314"/>
    <n v="51.817415500000003"/>
  </r>
  <r>
    <x v="1"/>
    <x v="8"/>
    <x v="8"/>
    <x v="5"/>
    <n v="36606.58"/>
    <n v="973.18"/>
    <n v="545"/>
    <n v="67.168036700000002"/>
  </r>
  <r>
    <x v="2"/>
    <x v="4"/>
    <x v="2"/>
    <x v="0"/>
    <n v="39557268.460000001"/>
    <n v="1297139.99"/>
    <n v="680743"/>
    <n v="58.108961030000003"/>
  </r>
  <r>
    <x v="3"/>
    <x v="9"/>
    <x v="1"/>
    <x v="1"/>
    <n v="179.82"/>
    <n v="1.32"/>
    <n v="17"/>
    <n v="10.57764706"/>
  </r>
  <r>
    <x v="0"/>
    <x v="5"/>
    <x v="8"/>
    <x v="0"/>
    <n v="1125203.06"/>
    <n v="51776.23"/>
    <n v="61655"/>
    <n v="18.249988810000001"/>
  </r>
  <r>
    <x v="0"/>
    <x v="6"/>
    <x v="1"/>
    <x v="9"/>
    <n v="11621.71"/>
    <n v="505.3"/>
    <n v="581"/>
    <n v="20.002943200000001"/>
  </r>
  <r>
    <x v="1"/>
    <x v="0"/>
    <x v="0"/>
    <x v="2"/>
    <n v="1694.6"/>
    <n v="6.49"/>
    <n v="9"/>
    <n v="188.28888889999999"/>
  </r>
  <r>
    <x v="1"/>
    <x v="9"/>
    <x v="9"/>
    <x v="1"/>
    <n v="453.23"/>
    <n v="0.75"/>
    <n v="12"/>
    <n v="37.769166669999997"/>
  </r>
  <r>
    <x v="0"/>
    <x v="3"/>
    <x v="9"/>
    <x v="3"/>
    <n v="281693.09999999998"/>
    <n v="9451.27"/>
    <n v="14499"/>
    <n v="19.42845024"/>
  </r>
  <r>
    <x v="2"/>
    <x v="6"/>
    <x v="9"/>
    <x v="5"/>
    <n v="19649113.59"/>
    <n v="747955"/>
    <n v="416800"/>
    <n v="47.142786919999999"/>
  </r>
  <r>
    <x v="2"/>
    <x v="2"/>
    <x v="5"/>
    <x v="3"/>
    <n v="6955.04"/>
    <n v="251.52"/>
    <n v="411"/>
    <n v="16.922238440000001"/>
  </r>
  <r>
    <x v="2"/>
    <x v="1"/>
    <x v="9"/>
    <x v="8"/>
    <n v="162909071.90000001"/>
    <n v="5439830.7199999997"/>
    <n v="3800084"/>
    <n v="42.869860750000001"/>
  </r>
  <r>
    <x v="0"/>
    <x v="3"/>
    <x v="3"/>
    <x v="1"/>
    <n v="466898.45"/>
    <n v="14446.88"/>
    <n v="8625"/>
    <n v="54.133153620000002"/>
  </r>
  <r>
    <x v="0"/>
    <x v="4"/>
    <x v="5"/>
    <x v="8"/>
    <n v="78425072.870000005"/>
    <n v="3007023.61"/>
    <n v="1676891"/>
    <n v="46.76813989"/>
  </r>
  <r>
    <x v="2"/>
    <x v="2"/>
    <x v="2"/>
    <x v="3"/>
    <n v="9834.9500000000007"/>
    <n v="420.04"/>
    <n v="679"/>
    <n v="14.48446244"/>
  </r>
  <r>
    <x v="2"/>
    <x v="5"/>
    <x v="9"/>
    <x v="7"/>
    <n v="69047"/>
    <n v="2887.96"/>
    <n v="3518"/>
    <n v="19.626776580000001"/>
  </r>
  <r>
    <x v="0"/>
    <x v="4"/>
    <x v="1"/>
    <x v="4"/>
    <n v="14612106.5"/>
    <n v="543300.54"/>
    <n v="57402"/>
    <n v="254.55744569999999"/>
  </r>
  <r>
    <x v="0"/>
    <x v="2"/>
    <x v="1"/>
    <x v="8"/>
    <n v="68987283.950000003"/>
    <n v="2550581"/>
    <n v="1307475"/>
    <n v="52.763749939999997"/>
  </r>
  <r>
    <x v="1"/>
    <x v="7"/>
    <x v="6"/>
    <x v="2"/>
    <n v="242544225.69999999"/>
    <n v="6914151.9500000002"/>
    <n v="1933030"/>
    <n v="125.4735962"/>
  </r>
  <r>
    <x v="1"/>
    <x v="1"/>
    <x v="9"/>
    <x v="8"/>
    <n v="130608015.40000001"/>
    <n v="4064244"/>
    <n v="2286923"/>
    <n v="57.110805820000003"/>
  </r>
  <r>
    <x v="3"/>
    <x v="2"/>
    <x v="8"/>
    <x v="0"/>
    <n v="1968224.39"/>
    <n v="72544.22"/>
    <n v="35754"/>
    <n v="55.04906836"/>
  </r>
  <r>
    <x v="3"/>
    <x v="6"/>
    <x v="0"/>
    <x v="3"/>
    <n v="0"/>
    <n v="0.78"/>
    <n v="545"/>
    <n v="0"/>
  </r>
  <r>
    <x v="2"/>
    <x v="3"/>
    <x v="7"/>
    <x v="6"/>
    <n v="17269986.609999999"/>
    <n v="624493.04"/>
    <n v="91322"/>
    <n v="189.11091099999999"/>
  </r>
  <r>
    <x v="0"/>
    <x v="6"/>
    <x v="0"/>
    <x v="5"/>
    <n v="29450.45"/>
    <n v="959.49"/>
    <n v="1965"/>
    <n v="14.987506359999999"/>
  </r>
  <r>
    <x v="0"/>
    <x v="2"/>
    <x v="0"/>
    <x v="7"/>
    <n v="1156.04"/>
    <n v="106.25"/>
    <n v="741"/>
    <n v="1.560107962"/>
  </r>
  <r>
    <x v="2"/>
    <x v="9"/>
    <x v="0"/>
    <x v="2"/>
    <n v="36061.300000000003"/>
    <n v="527.70000000000005"/>
    <n v="160"/>
    <n v="225.38312500000001"/>
  </r>
  <r>
    <x v="0"/>
    <x v="6"/>
    <x v="7"/>
    <x v="7"/>
    <n v="551778.02"/>
    <n v="15486.79"/>
    <n v="9974"/>
    <n v="55.32163826"/>
  </r>
  <r>
    <x v="2"/>
    <x v="1"/>
    <x v="1"/>
    <x v="5"/>
    <n v="153346897"/>
    <n v="4385011.34"/>
    <n v="2399170"/>
    <n v="63.916644920000003"/>
  </r>
  <r>
    <x v="2"/>
    <x v="2"/>
    <x v="6"/>
    <x v="0"/>
    <n v="7841528.2699999996"/>
    <n v="295691.83"/>
    <n v="161927"/>
    <n v="48.426317230000002"/>
  </r>
  <r>
    <x v="3"/>
    <x v="2"/>
    <x v="0"/>
    <x v="2"/>
    <n v="146161.65"/>
    <n v="3493.62"/>
    <n v="4085"/>
    <n v="35.780085679999999"/>
  </r>
  <r>
    <x v="2"/>
    <x v="5"/>
    <x v="0"/>
    <x v="4"/>
    <n v="2419731.14"/>
    <n v="79260.88"/>
    <n v="19866"/>
    <n v="121.8026347"/>
  </r>
  <r>
    <x v="3"/>
    <x v="1"/>
    <x v="8"/>
    <x v="4"/>
    <n v="28308906.940000001"/>
    <n v="683916.99"/>
    <n v="27163"/>
    <n v="1042.1863169999999"/>
  </r>
  <r>
    <x v="3"/>
    <x v="8"/>
    <x v="7"/>
    <x v="5"/>
    <n v="25847.1"/>
    <n v="729.34"/>
    <n v="473"/>
    <n v="54.645031709999998"/>
  </r>
  <r>
    <x v="3"/>
    <x v="7"/>
    <x v="0"/>
    <x v="5"/>
    <n v="1405344.2"/>
    <n v="45956.1"/>
    <n v="53379"/>
    <n v="26.327660689999998"/>
  </r>
  <r>
    <x v="0"/>
    <x v="8"/>
    <x v="5"/>
    <x v="7"/>
    <n v="54.3"/>
    <n v="2.4700000000000002"/>
    <n v="6"/>
    <n v="9.0500000000000007"/>
  </r>
  <r>
    <x v="1"/>
    <x v="7"/>
    <x v="6"/>
    <x v="8"/>
    <n v="16602221.869999999"/>
    <n v="665661.99"/>
    <n v="436973"/>
    <n v="37.993701829999999"/>
  </r>
  <r>
    <x v="3"/>
    <x v="1"/>
    <x v="6"/>
    <x v="3"/>
    <n v="27170247.02"/>
    <n v="791764.63"/>
    <n v="2063143"/>
    <n v="13.169347459999999"/>
  </r>
  <r>
    <x v="1"/>
    <x v="1"/>
    <x v="0"/>
    <x v="0"/>
    <n v="92266.240000000005"/>
    <n v="3264.75"/>
    <n v="46326"/>
    <n v="1.991672927"/>
  </r>
  <r>
    <x v="1"/>
    <x v="2"/>
    <x v="2"/>
    <x v="7"/>
    <n v="693001.1"/>
    <n v="27570.74"/>
    <n v="17090"/>
    <n v="40.550093619999998"/>
  </r>
  <r>
    <x v="1"/>
    <x v="2"/>
    <x v="6"/>
    <x v="6"/>
    <n v="9621946.9399999995"/>
    <n v="338010.67"/>
    <n v="73606"/>
    <n v="130.722318"/>
  </r>
  <r>
    <x v="1"/>
    <x v="5"/>
    <x v="7"/>
    <x v="2"/>
    <n v="2129710.1800000002"/>
    <n v="78169.33"/>
    <n v="37594"/>
    <n v="56.650268130000001"/>
  </r>
  <r>
    <x v="2"/>
    <x v="5"/>
    <x v="8"/>
    <x v="8"/>
    <n v="3795954.28"/>
    <n v="157807.34"/>
    <n v="235901"/>
    <n v="16.091302200000001"/>
  </r>
  <r>
    <x v="2"/>
    <x v="0"/>
    <x v="9"/>
    <x v="8"/>
    <n v="417.72"/>
    <n v="19.63"/>
    <n v="12"/>
    <n v="34.81"/>
  </r>
  <r>
    <x v="2"/>
    <x v="5"/>
    <x v="3"/>
    <x v="7"/>
    <n v="8535.39"/>
    <n v="364.43"/>
    <n v="303"/>
    <n v="28.16960396"/>
  </r>
  <r>
    <x v="1"/>
    <x v="4"/>
    <x v="6"/>
    <x v="5"/>
    <n v="757537745.20000005"/>
    <n v="26484607.210000001"/>
    <n v="11660348"/>
    <n v="64.966992849999997"/>
  </r>
  <r>
    <x v="2"/>
    <x v="1"/>
    <x v="2"/>
    <x v="8"/>
    <n v="62283997.799999997"/>
    <n v="2026367.29"/>
    <n v="1266685"/>
    <n v="49.17086553"/>
  </r>
  <r>
    <x v="0"/>
    <x v="5"/>
    <x v="9"/>
    <x v="3"/>
    <n v="287.33"/>
    <n v="12.95"/>
    <n v="21"/>
    <n v="13.682380950000001"/>
  </r>
  <r>
    <x v="1"/>
    <x v="2"/>
    <x v="2"/>
    <x v="4"/>
    <n v="22008953"/>
    <n v="712569.06"/>
    <n v="85270"/>
    <n v="258.10898320000001"/>
  </r>
  <r>
    <x v="0"/>
    <x v="4"/>
    <x v="8"/>
    <x v="4"/>
    <n v="136345313.90000001"/>
    <n v="4235178.09"/>
    <n v="196885"/>
    <n v="692.51245089999998"/>
  </r>
  <r>
    <x v="3"/>
    <x v="1"/>
    <x v="5"/>
    <x v="0"/>
    <n v="33996315.469999999"/>
    <n v="751154.32"/>
    <n v="416008"/>
    <n v="81.720340640000003"/>
  </r>
  <r>
    <x v="0"/>
    <x v="3"/>
    <x v="3"/>
    <x v="3"/>
    <n v="9575.08"/>
    <n v="302.39"/>
    <n v="683"/>
    <n v="14.019150809999999"/>
  </r>
  <r>
    <x v="0"/>
    <x v="1"/>
    <x v="5"/>
    <x v="3"/>
    <n v="30845993.100000001"/>
    <n v="967760.51"/>
    <n v="1902564"/>
    <n v="16.21285439"/>
  </r>
  <r>
    <x v="1"/>
    <x v="4"/>
    <x v="0"/>
    <x v="5"/>
    <n v="1474720.86"/>
    <n v="41362.730000000003"/>
    <n v="71373"/>
    <n v="20.66216721"/>
  </r>
  <r>
    <x v="0"/>
    <x v="0"/>
    <x v="4"/>
    <x v="8"/>
    <n v="1889.07"/>
    <n v="83.56"/>
    <n v="33"/>
    <n v="57.244545449999997"/>
  </r>
  <r>
    <x v="0"/>
    <x v="3"/>
    <x v="1"/>
    <x v="0"/>
    <n v="16050138.82"/>
    <n v="641292.59"/>
    <n v="301830"/>
    <n v="53.176088589999999"/>
  </r>
  <r>
    <x v="2"/>
    <x v="4"/>
    <x v="2"/>
    <x v="3"/>
    <n v="343751.02"/>
    <n v="9616.56"/>
    <n v="16401"/>
    <n v="20.959150050000002"/>
  </r>
  <r>
    <x v="2"/>
    <x v="3"/>
    <x v="0"/>
    <x v="8"/>
    <n v="396002.32"/>
    <n v="11042.1"/>
    <n v="64575"/>
    <n v="6.1324401079999999"/>
  </r>
  <r>
    <x v="3"/>
    <x v="3"/>
    <x v="6"/>
    <x v="0"/>
    <n v="9708969.6600000001"/>
    <n v="338959.72"/>
    <n v="175138"/>
    <n v="55.4361113"/>
  </r>
  <r>
    <x v="2"/>
    <x v="3"/>
    <x v="7"/>
    <x v="8"/>
    <n v="83546785.879999995"/>
    <n v="3313743.44"/>
    <n v="1808673"/>
    <n v="46.192311089999997"/>
  </r>
  <r>
    <x v="3"/>
    <x v="6"/>
    <x v="9"/>
    <x v="3"/>
    <n v="230942.17"/>
    <n v="8941.48"/>
    <n v="13412"/>
    <n v="17.219070240000001"/>
  </r>
  <r>
    <x v="2"/>
    <x v="4"/>
    <x v="5"/>
    <x v="0"/>
    <n v="24981147.91"/>
    <n v="807833.28"/>
    <n v="491544"/>
    <n v="50.821793999999997"/>
  </r>
  <r>
    <x v="2"/>
    <x v="4"/>
    <x v="0"/>
    <x v="2"/>
    <n v="98063.4"/>
    <n v="1815.21"/>
    <n v="3921"/>
    <n v="25.009793420000001"/>
  </r>
  <r>
    <x v="3"/>
    <x v="7"/>
    <x v="1"/>
    <x v="1"/>
    <n v="154297.59"/>
    <n v="4322.79"/>
    <n v="2584"/>
    <n v="59.71268963"/>
  </r>
  <r>
    <x v="1"/>
    <x v="8"/>
    <x v="0"/>
    <x v="4"/>
    <n v="1833.48"/>
    <n v="48.98"/>
    <n v="74"/>
    <n v="24.776756760000001"/>
  </r>
  <r>
    <x v="2"/>
    <x v="3"/>
    <x v="9"/>
    <x v="8"/>
    <n v="213071573.80000001"/>
    <n v="7896116.1900000004"/>
    <n v="3674524"/>
    <n v="57.986170129999998"/>
  </r>
  <r>
    <x v="3"/>
    <x v="6"/>
    <x v="8"/>
    <x v="6"/>
    <n v="4196594.49"/>
    <n v="122383.22"/>
    <n v="7229"/>
    <n v="580.52213170000005"/>
  </r>
  <r>
    <x v="2"/>
    <x v="4"/>
    <x v="0"/>
    <x v="6"/>
    <n v="67944.429999999993"/>
    <n v="918.63"/>
    <n v="360"/>
    <n v="188.7345278"/>
  </r>
  <r>
    <x v="0"/>
    <x v="6"/>
    <x v="6"/>
    <x v="2"/>
    <n v="6819274.5499999998"/>
    <n v="175639.46"/>
    <n v="35221"/>
    <n v="193.6138823"/>
  </r>
  <r>
    <x v="0"/>
    <x v="5"/>
    <x v="3"/>
    <x v="5"/>
    <n v="778955.38"/>
    <n v="27278.87"/>
    <n v="12529"/>
    <n v="62.172190919999998"/>
  </r>
  <r>
    <x v="0"/>
    <x v="6"/>
    <x v="4"/>
    <x v="2"/>
    <n v="8885191.5099999998"/>
    <n v="214217.43"/>
    <n v="37335"/>
    <n v="237.98557679999999"/>
  </r>
  <r>
    <x v="3"/>
    <x v="8"/>
    <x v="8"/>
    <x v="7"/>
    <n v="0"/>
    <n v="0"/>
    <n v="23"/>
    <n v="0"/>
  </r>
  <r>
    <x v="0"/>
    <x v="4"/>
    <x v="8"/>
    <x v="9"/>
    <n v="1134612.06"/>
    <n v="23913.65"/>
    <n v="14210"/>
    <n v="79.846028149999995"/>
  </r>
  <r>
    <x v="1"/>
    <x v="7"/>
    <x v="3"/>
    <x v="1"/>
    <n v="104465.47"/>
    <n v="2439.41"/>
    <n v="1246"/>
    <n v="83.840666130000002"/>
  </r>
  <r>
    <x v="0"/>
    <x v="5"/>
    <x v="6"/>
    <x v="9"/>
    <n v="23125.46"/>
    <n v="899.7"/>
    <n v="671"/>
    <n v="34.46417288"/>
  </r>
  <r>
    <x v="0"/>
    <x v="1"/>
    <x v="6"/>
    <x v="6"/>
    <n v="5991986.0899999999"/>
    <n v="181252.72"/>
    <n v="14744"/>
    <n v="406.40166099999999"/>
  </r>
  <r>
    <x v="3"/>
    <x v="4"/>
    <x v="5"/>
    <x v="6"/>
    <n v="4348309.6399999997"/>
    <n v="141612.17000000001"/>
    <n v="18093"/>
    <n v="240.33104739999999"/>
  </r>
  <r>
    <x v="2"/>
    <x v="8"/>
    <x v="0"/>
    <x v="6"/>
    <n v="5870.85"/>
    <n v="87.1"/>
    <n v="48"/>
    <n v="122.309375"/>
  </r>
  <r>
    <x v="1"/>
    <x v="2"/>
    <x v="3"/>
    <x v="8"/>
    <n v="21979955.420000002"/>
    <n v="779079.32"/>
    <n v="375599"/>
    <n v="58.519738920000002"/>
  </r>
  <r>
    <x v="2"/>
    <x v="7"/>
    <x v="8"/>
    <x v="5"/>
    <n v="636355504.79999995"/>
    <n v="20943956.530000001"/>
    <n v="8090043"/>
    <n v="78.659100420000001"/>
  </r>
  <r>
    <x v="2"/>
    <x v="2"/>
    <x v="6"/>
    <x v="3"/>
    <n v="26787.49"/>
    <n v="1181.71"/>
    <n v="1780"/>
    <n v="15.04915169"/>
  </r>
  <r>
    <x v="2"/>
    <x v="6"/>
    <x v="0"/>
    <x v="7"/>
    <n v="169822349.19999999"/>
    <n v="4279227.04"/>
    <n v="1028844"/>
    <n v="165.06132049999999"/>
  </r>
  <r>
    <x v="2"/>
    <x v="2"/>
    <x v="9"/>
    <x v="2"/>
    <n v="61497760.509999998"/>
    <n v="1894569.28"/>
    <n v="409350"/>
    <n v="150.23271159999999"/>
  </r>
  <r>
    <x v="0"/>
    <x v="3"/>
    <x v="5"/>
    <x v="0"/>
    <n v="13973642.83"/>
    <n v="532914.68999999994"/>
    <n v="277818"/>
    <n v="50.29783106"/>
  </r>
  <r>
    <x v="0"/>
    <x v="6"/>
    <x v="1"/>
    <x v="3"/>
    <n v="1014.92"/>
    <n v="66.36"/>
    <n v="118"/>
    <n v="8.6010169489999999"/>
  </r>
  <r>
    <x v="1"/>
    <x v="3"/>
    <x v="6"/>
    <x v="8"/>
    <n v="111598216"/>
    <n v="4353028.28"/>
    <n v="2217814"/>
    <n v="50.319015030000003"/>
  </r>
  <r>
    <x v="3"/>
    <x v="3"/>
    <x v="9"/>
    <x v="1"/>
    <n v="62549.02"/>
    <n v="1995.33"/>
    <n v="835"/>
    <n v="74.909005989999997"/>
  </r>
  <r>
    <x v="1"/>
    <x v="3"/>
    <x v="3"/>
    <x v="5"/>
    <n v="66447575.869999997"/>
    <n v="2406836.19"/>
    <n v="882826"/>
    <n v="75.266899559999999"/>
  </r>
  <r>
    <x v="3"/>
    <x v="8"/>
    <x v="7"/>
    <x v="4"/>
    <n v="1390.54"/>
    <n v="54.19"/>
    <n v="14"/>
    <n v="99.324285709999998"/>
  </r>
  <r>
    <x v="2"/>
    <x v="5"/>
    <x v="9"/>
    <x v="8"/>
    <n v="8698828.3300000001"/>
    <n v="341286.07"/>
    <n v="280941"/>
    <n v="30.963185620000001"/>
  </r>
  <r>
    <x v="3"/>
    <x v="3"/>
    <x v="9"/>
    <x v="3"/>
    <n v="250406.83"/>
    <n v="7465.91"/>
    <n v="13918"/>
    <n v="17.991581409999998"/>
  </r>
  <r>
    <x v="2"/>
    <x v="4"/>
    <x v="2"/>
    <x v="2"/>
    <n v="16308291.9"/>
    <n v="561983.53"/>
    <n v="82322"/>
    <n v="198.10368919999999"/>
  </r>
  <r>
    <x v="3"/>
    <x v="1"/>
    <x v="6"/>
    <x v="4"/>
    <n v="5568028.25"/>
    <n v="154305.45000000001"/>
    <n v="19366"/>
    <n v="287.51565890000001"/>
  </r>
  <r>
    <x v="3"/>
    <x v="1"/>
    <x v="5"/>
    <x v="5"/>
    <n v="111911875.90000001"/>
    <n v="3135388.85"/>
    <n v="1593333"/>
    <n v="70.237593709999999"/>
  </r>
  <r>
    <x v="3"/>
    <x v="1"/>
    <x v="9"/>
    <x v="3"/>
    <n v="17843901.66"/>
    <n v="522043.43"/>
    <n v="1142985"/>
    <n v="15.6116674"/>
  </r>
  <r>
    <x v="3"/>
    <x v="3"/>
    <x v="5"/>
    <x v="1"/>
    <n v="137952.73000000001"/>
    <n v="4447.79"/>
    <n v="1305"/>
    <n v="105.7109042"/>
  </r>
  <r>
    <x v="3"/>
    <x v="0"/>
    <x v="7"/>
    <x v="8"/>
    <n v="137.36000000000001"/>
    <n v="6.38"/>
    <n v="8"/>
    <n v="17.170000000000002"/>
  </r>
  <r>
    <x v="2"/>
    <x v="8"/>
    <x v="4"/>
    <x v="0"/>
    <n v="-46.76"/>
    <n v="1.53"/>
    <n v="150"/>
    <n v="-0.31173333330000003"/>
  </r>
  <r>
    <x v="0"/>
    <x v="5"/>
    <x v="4"/>
    <x v="8"/>
    <n v="7601893.1600000001"/>
    <n v="301159.45"/>
    <n v="251612"/>
    <n v="30.212760759999998"/>
  </r>
  <r>
    <x v="3"/>
    <x v="2"/>
    <x v="6"/>
    <x v="3"/>
    <n v="25274.74"/>
    <n v="909.34"/>
    <n v="2191"/>
    <n v="11.53570972"/>
  </r>
  <r>
    <x v="3"/>
    <x v="1"/>
    <x v="3"/>
    <x v="2"/>
    <n v="681622.76"/>
    <n v="20042.13"/>
    <n v="3065"/>
    <n v="222.38915499999999"/>
  </r>
  <r>
    <x v="2"/>
    <x v="0"/>
    <x v="7"/>
    <x v="4"/>
    <n v="41.93"/>
    <n v="2.98"/>
    <n v="3"/>
    <n v="13.97666667"/>
  </r>
  <r>
    <x v="1"/>
    <x v="3"/>
    <x v="5"/>
    <x v="3"/>
    <n v="41408.75"/>
    <n v="1297.42"/>
    <n v="2528"/>
    <n v="16.38004351"/>
  </r>
  <r>
    <x v="2"/>
    <x v="2"/>
    <x v="7"/>
    <x v="3"/>
    <n v="15148.75"/>
    <n v="639.49"/>
    <n v="941"/>
    <n v="16.098565359999998"/>
  </r>
  <r>
    <x v="1"/>
    <x v="2"/>
    <x v="4"/>
    <x v="8"/>
    <n v="80383074.010000005"/>
    <n v="3138716.77"/>
    <n v="1947486"/>
    <n v="41.275302629999999"/>
  </r>
  <r>
    <x v="3"/>
    <x v="8"/>
    <x v="1"/>
    <x v="8"/>
    <n v="12118.77"/>
    <n v="819.14"/>
    <n v="1084"/>
    <n v="11.179677119999999"/>
  </r>
  <r>
    <x v="2"/>
    <x v="7"/>
    <x v="0"/>
    <x v="4"/>
    <n v="22172504.550000001"/>
    <n v="716951.99"/>
    <n v="105742"/>
    <n v="209.6849364"/>
  </r>
  <r>
    <x v="0"/>
    <x v="7"/>
    <x v="9"/>
    <x v="5"/>
    <n v="461908660.39999998"/>
    <n v="16618074.800000001"/>
    <n v="6376976"/>
    <n v="72.433808810000002"/>
  </r>
  <r>
    <x v="0"/>
    <x v="1"/>
    <x v="9"/>
    <x v="0"/>
    <n v="867248237.89999998"/>
    <n v="19123515.550000001"/>
    <n v="14154742"/>
    <n v="61.269095389999997"/>
  </r>
  <r>
    <x v="0"/>
    <x v="7"/>
    <x v="5"/>
    <x v="8"/>
    <n v="15633813.140000001"/>
    <n v="666234.59"/>
    <n v="448866"/>
    <n v="34.82957751"/>
  </r>
  <r>
    <x v="1"/>
    <x v="2"/>
    <x v="0"/>
    <x v="4"/>
    <n v="33794609.340000004"/>
    <n v="1068042.31"/>
    <n v="123642"/>
    <n v="273.32629159999999"/>
  </r>
  <r>
    <x v="2"/>
    <x v="1"/>
    <x v="8"/>
    <x v="4"/>
    <n v="33061916.91"/>
    <n v="886454.6"/>
    <n v="37927"/>
    <n v="871.72507470000005"/>
  </r>
  <r>
    <x v="3"/>
    <x v="8"/>
    <x v="1"/>
    <x v="6"/>
    <n v="2604.6799999999998"/>
    <n v="122.84"/>
    <n v="61"/>
    <n v="42.699672130000003"/>
  </r>
  <r>
    <x v="0"/>
    <x v="3"/>
    <x v="7"/>
    <x v="3"/>
    <n v="128420.98"/>
    <n v="4616.83"/>
    <n v="6764"/>
    <n v="18.985952099999999"/>
  </r>
  <r>
    <x v="1"/>
    <x v="1"/>
    <x v="5"/>
    <x v="2"/>
    <n v="4319466.4000000004"/>
    <n v="144499.04"/>
    <n v="28760"/>
    <n v="150.19006949999999"/>
  </r>
  <r>
    <x v="2"/>
    <x v="6"/>
    <x v="0"/>
    <x v="4"/>
    <n v="38138.04"/>
    <n v="392.78"/>
    <n v="249"/>
    <n v="153.1648193"/>
  </r>
  <r>
    <x v="1"/>
    <x v="6"/>
    <x v="5"/>
    <x v="4"/>
    <n v="714151"/>
    <n v="24178.05"/>
    <n v="5108"/>
    <n v="139.81029760000001"/>
  </r>
  <r>
    <x v="2"/>
    <x v="2"/>
    <x v="5"/>
    <x v="6"/>
    <n v="5394597.29"/>
    <n v="201731.52"/>
    <n v="58064"/>
    <n v="92.907779169999998"/>
  </r>
  <r>
    <x v="0"/>
    <x v="5"/>
    <x v="8"/>
    <x v="2"/>
    <n v="13946064.699999999"/>
    <n v="343981.9"/>
    <n v="262075"/>
    <n v="53.214021559999999"/>
  </r>
  <r>
    <x v="0"/>
    <x v="8"/>
    <x v="2"/>
    <x v="2"/>
    <n v="20003.47"/>
    <n v="491.76"/>
    <n v="631"/>
    <n v="31.701220289999998"/>
  </r>
  <r>
    <x v="1"/>
    <x v="4"/>
    <x v="3"/>
    <x v="2"/>
    <n v="4899934.3499999996"/>
    <n v="167369.59"/>
    <n v="24335"/>
    <n v="201.35337369999999"/>
  </r>
  <r>
    <x v="1"/>
    <x v="7"/>
    <x v="4"/>
    <x v="6"/>
    <n v="11424466.779999999"/>
    <n v="363972.1"/>
    <n v="59923"/>
    <n v="190.6524503"/>
  </r>
  <r>
    <x v="1"/>
    <x v="9"/>
    <x v="1"/>
    <x v="2"/>
    <n v="45479.7"/>
    <n v="600"/>
    <n v="317"/>
    <n v="143.46908519999999"/>
  </r>
  <r>
    <x v="1"/>
    <x v="6"/>
    <x v="3"/>
    <x v="5"/>
    <n v="3512301.3"/>
    <n v="126801.61"/>
    <n v="46719"/>
    <n v="75.179291079999999"/>
  </r>
  <r>
    <x v="3"/>
    <x v="3"/>
    <x v="9"/>
    <x v="0"/>
    <n v="13668765.699999999"/>
    <n v="479256"/>
    <n v="240769"/>
    <n v="56.771285759999998"/>
  </r>
  <r>
    <x v="0"/>
    <x v="5"/>
    <x v="1"/>
    <x v="7"/>
    <n v="31442.1"/>
    <n v="1291.3399999999999"/>
    <n v="1157"/>
    <n v="27.17554019"/>
  </r>
  <r>
    <x v="0"/>
    <x v="6"/>
    <x v="8"/>
    <x v="4"/>
    <n v="8648577.0399999991"/>
    <n v="263012.39"/>
    <n v="12936"/>
    <n v="668.56656150000003"/>
  </r>
  <r>
    <x v="3"/>
    <x v="5"/>
    <x v="3"/>
    <x v="3"/>
    <n v="37.28"/>
    <n v="1.26"/>
    <n v="6"/>
    <n v="6.2133333329999996"/>
  </r>
  <r>
    <x v="0"/>
    <x v="1"/>
    <x v="0"/>
    <x v="4"/>
    <n v="41437.65"/>
    <n v="764.6"/>
    <n v="158"/>
    <n v="262.2636076"/>
  </r>
  <r>
    <x v="2"/>
    <x v="3"/>
    <x v="4"/>
    <x v="1"/>
    <n v="3090308.05"/>
    <n v="107546.14"/>
    <n v="77216"/>
    <n v="40.021602389999998"/>
  </r>
  <r>
    <x v="0"/>
    <x v="5"/>
    <x v="9"/>
    <x v="2"/>
    <n v="6323594.4000000004"/>
    <n v="164238.68"/>
    <n v="78964"/>
    <n v="80.081991790000004"/>
  </r>
  <r>
    <x v="2"/>
    <x v="2"/>
    <x v="3"/>
    <x v="3"/>
    <n v="1065.04"/>
    <n v="48.78"/>
    <n v="127"/>
    <n v="8.3861417320000005"/>
  </r>
  <r>
    <x v="1"/>
    <x v="4"/>
    <x v="5"/>
    <x v="7"/>
    <n v="5597746.8700000001"/>
    <n v="185207.77"/>
    <n v="100896"/>
    <n v="55.480364629999997"/>
  </r>
  <r>
    <x v="0"/>
    <x v="1"/>
    <x v="1"/>
    <x v="3"/>
    <n v="4734882.24"/>
    <n v="162175.49"/>
    <n v="288796"/>
    <n v="16.395248689999999"/>
  </r>
  <r>
    <x v="3"/>
    <x v="4"/>
    <x v="9"/>
    <x v="6"/>
    <n v="9772024.3900000006"/>
    <n v="304383.24"/>
    <n v="31694"/>
    <n v="308.32411150000001"/>
  </r>
  <r>
    <x v="1"/>
    <x v="2"/>
    <x v="4"/>
    <x v="4"/>
    <n v="20385576.539999999"/>
    <n v="708331.21"/>
    <n v="141744"/>
    <n v="143.8196787"/>
  </r>
  <r>
    <x v="2"/>
    <x v="5"/>
    <x v="9"/>
    <x v="0"/>
    <n v="562990.99"/>
    <n v="22622.45"/>
    <n v="18619"/>
    <n v="30.237445080000001"/>
  </r>
  <r>
    <x v="3"/>
    <x v="2"/>
    <x v="7"/>
    <x v="7"/>
    <n v="444643.01"/>
    <n v="17464.37"/>
    <n v="10934"/>
    <n v="40.666088350000003"/>
  </r>
  <r>
    <x v="3"/>
    <x v="4"/>
    <x v="4"/>
    <x v="6"/>
    <n v="9919770.3599999994"/>
    <n v="314590.94"/>
    <n v="33134"/>
    <n v="299.38342369999998"/>
  </r>
  <r>
    <x v="0"/>
    <x v="3"/>
    <x v="1"/>
    <x v="4"/>
    <n v="27871671.57"/>
    <n v="998442.6"/>
    <n v="102813"/>
    <n v="271.0909279"/>
  </r>
  <r>
    <x v="1"/>
    <x v="9"/>
    <x v="2"/>
    <x v="5"/>
    <n v="42399.66"/>
    <n v="1358.39"/>
    <n v="374"/>
    <n v="113.3680749"/>
  </r>
  <r>
    <x v="1"/>
    <x v="5"/>
    <x v="3"/>
    <x v="1"/>
    <n v="2636.49"/>
    <n v="84.95"/>
    <n v="35"/>
    <n v="75.328285710000003"/>
  </r>
  <r>
    <x v="1"/>
    <x v="2"/>
    <x v="9"/>
    <x v="1"/>
    <n v="287999.21000000002"/>
    <n v="10469.4"/>
    <n v="6704"/>
    <n v="42.95930937"/>
  </r>
  <r>
    <x v="0"/>
    <x v="0"/>
    <x v="2"/>
    <x v="4"/>
    <n v="925"/>
    <n v="27.13"/>
    <n v="1"/>
    <n v="925"/>
  </r>
  <r>
    <x v="0"/>
    <x v="4"/>
    <x v="5"/>
    <x v="7"/>
    <n v="15500270.960000001"/>
    <n v="513046.52"/>
    <n v="295531"/>
    <n v="52.4488834"/>
  </r>
  <r>
    <x v="0"/>
    <x v="2"/>
    <x v="3"/>
    <x v="8"/>
    <n v="31245142.16"/>
    <n v="1079058.22"/>
    <n v="512872"/>
    <n v="60.921910650000001"/>
  </r>
  <r>
    <x v="1"/>
    <x v="8"/>
    <x v="7"/>
    <x v="7"/>
    <n v="0"/>
    <n v="0"/>
    <n v="3"/>
    <n v="0"/>
  </r>
  <r>
    <x v="3"/>
    <x v="3"/>
    <x v="1"/>
    <x v="4"/>
    <n v="22719951.780000001"/>
    <n v="791981.45"/>
    <n v="103459"/>
    <n v="219.60343499999999"/>
  </r>
  <r>
    <x v="0"/>
    <x v="2"/>
    <x v="3"/>
    <x v="6"/>
    <n v="7962893.21"/>
    <n v="253716.58"/>
    <n v="28381"/>
    <n v="280.5712699"/>
  </r>
  <r>
    <x v="1"/>
    <x v="0"/>
    <x v="5"/>
    <x v="5"/>
    <n v="10864.71"/>
    <n v="474.11"/>
    <n v="520"/>
    <n v="20.893673079999999"/>
  </r>
  <r>
    <x v="2"/>
    <x v="5"/>
    <x v="2"/>
    <x v="6"/>
    <n v="1106627.42"/>
    <n v="36819.949999999997"/>
    <n v="9736"/>
    <n v="113.6634573"/>
  </r>
  <r>
    <x v="2"/>
    <x v="8"/>
    <x v="2"/>
    <x v="2"/>
    <n v="37359.85"/>
    <n v="719.31"/>
    <n v="569"/>
    <n v="65.658787349999997"/>
  </r>
  <r>
    <x v="2"/>
    <x v="8"/>
    <x v="2"/>
    <x v="1"/>
    <n v="-0.99"/>
    <n v="0.01"/>
    <n v="12"/>
    <n v="-8.2500000000000004E-2"/>
  </r>
  <r>
    <x v="0"/>
    <x v="6"/>
    <x v="1"/>
    <x v="1"/>
    <n v="189760.09"/>
    <n v="6948.53"/>
    <n v="7602"/>
    <n v="24.96186398"/>
  </r>
  <r>
    <x v="2"/>
    <x v="3"/>
    <x v="7"/>
    <x v="0"/>
    <n v="16113080.960000001"/>
    <n v="582901.68999999994"/>
    <n v="297217"/>
    <n v="54.21318754"/>
  </r>
  <r>
    <x v="1"/>
    <x v="4"/>
    <x v="2"/>
    <x v="0"/>
    <n v="31605126.010000002"/>
    <n v="1006533.62"/>
    <n v="546677"/>
    <n v="57.813162089999999"/>
  </r>
  <r>
    <x v="1"/>
    <x v="1"/>
    <x v="5"/>
    <x v="0"/>
    <n v="80734453.75"/>
    <n v="1855827.89"/>
    <n v="1157887"/>
    <n v="69.725675949999996"/>
  </r>
  <r>
    <x v="1"/>
    <x v="5"/>
    <x v="1"/>
    <x v="8"/>
    <n v="5136398.04"/>
    <n v="205338.79"/>
    <n v="157095"/>
    <n v="32.696126800000002"/>
  </r>
  <r>
    <x v="2"/>
    <x v="4"/>
    <x v="0"/>
    <x v="0"/>
    <n v="30713.77"/>
    <n v="1455.88"/>
    <n v="16485"/>
    <n v="1.8631343650000001"/>
  </r>
  <r>
    <x v="3"/>
    <x v="0"/>
    <x v="0"/>
    <x v="8"/>
    <n v="-125"/>
    <n v="0"/>
    <n v="2"/>
    <n v="-62.5"/>
  </r>
  <r>
    <x v="1"/>
    <x v="6"/>
    <x v="8"/>
    <x v="7"/>
    <n v="212885.94"/>
    <n v="6959.23"/>
    <n v="3129"/>
    <n v="68.036414190000002"/>
  </r>
  <r>
    <x v="1"/>
    <x v="6"/>
    <x v="1"/>
    <x v="8"/>
    <n v="13384722.27"/>
    <n v="485848.08"/>
    <n v="240271"/>
    <n v="55.706773890000001"/>
  </r>
  <r>
    <x v="3"/>
    <x v="2"/>
    <x v="7"/>
    <x v="2"/>
    <n v="30919442.280000001"/>
    <n v="1103566.6399999999"/>
    <n v="372034"/>
    <n v="83.109184319999997"/>
  </r>
  <r>
    <x v="2"/>
    <x v="3"/>
    <x v="0"/>
    <x v="2"/>
    <n v="22181.119999999999"/>
    <n v="820.15"/>
    <n v="5627"/>
    <n v="3.9419086550000002"/>
  </r>
  <r>
    <x v="2"/>
    <x v="8"/>
    <x v="7"/>
    <x v="4"/>
    <n v="428.25"/>
    <n v="16.600000000000001"/>
    <n v="21"/>
    <n v="20.39285714"/>
  </r>
  <r>
    <x v="0"/>
    <x v="6"/>
    <x v="2"/>
    <x v="2"/>
    <n v="5960396.4400000004"/>
    <n v="154467.85999999999"/>
    <n v="23655"/>
    <n v="251.9719484"/>
  </r>
  <r>
    <x v="0"/>
    <x v="2"/>
    <x v="7"/>
    <x v="9"/>
    <n v="469241.33"/>
    <n v="20206.09"/>
    <n v="19919"/>
    <n v="23.55747427"/>
  </r>
  <r>
    <x v="0"/>
    <x v="9"/>
    <x v="2"/>
    <x v="8"/>
    <n v="6024.57"/>
    <n v="359.29"/>
    <n v="161"/>
    <n v="37.419689439999999"/>
  </r>
  <r>
    <x v="3"/>
    <x v="9"/>
    <x v="4"/>
    <x v="1"/>
    <n v="941.98"/>
    <n v="25.75"/>
    <n v="11"/>
    <n v="85.634545450000005"/>
  </r>
  <r>
    <x v="0"/>
    <x v="4"/>
    <x v="5"/>
    <x v="4"/>
    <n v="24516514.43"/>
    <n v="854662.53"/>
    <n v="117633"/>
    <n v="208.41527830000001"/>
  </r>
  <r>
    <x v="2"/>
    <x v="8"/>
    <x v="0"/>
    <x v="0"/>
    <n v="479.6"/>
    <n v="24.93"/>
    <n v="287"/>
    <n v="1.6710801390000001"/>
  </r>
  <r>
    <x v="3"/>
    <x v="8"/>
    <x v="0"/>
    <x v="1"/>
    <n v="0"/>
    <n v="0"/>
    <n v="14"/>
    <n v="0"/>
  </r>
  <r>
    <x v="0"/>
    <x v="6"/>
    <x v="3"/>
    <x v="7"/>
    <n v="85397.26"/>
    <n v="2629.24"/>
    <n v="1343"/>
    <n v="63.586939690000001"/>
  </r>
  <r>
    <x v="0"/>
    <x v="6"/>
    <x v="9"/>
    <x v="0"/>
    <n v="9627298.2300000004"/>
    <n v="277462.31"/>
    <n v="186878"/>
    <n v="51.516487920000003"/>
  </r>
  <r>
    <x v="2"/>
    <x v="5"/>
    <x v="0"/>
    <x v="7"/>
    <n v="196.59"/>
    <n v="9.68"/>
    <n v="143"/>
    <n v="1.374755245"/>
  </r>
  <r>
    <x v="0"/>
    <x v="8"/>
    <x v="8"/>
    <x v="0"/>
    <n v="-341.72"/>
    <n v="94.59"/>
    <n v="809"/>
    <n v="-0.4223980222"/>
  </r>
  <r>
    <x v="0"/>
    <x v="3"/>
    <x v="5"/>
    <x v="1"/>
    <n v="11656091.199999999"/>
    <n v="413783.95"/>
    <n v="329126"/>
    <n v="35.415285330000003"/>
  </r>
  <r>
    <x v="2"/>
    <x v="8"/>
    <x v="1"/>
    <x v="8"/>
    <n v="21214.54"/>
    <n v="806.64"/>
    <n v="1054"/>
    <n v="20.127647060000001"/>
  </r>
  <r>
    <x v="3"/>
    <x v="1"/>
    <x v="1"/>
    <x v="3"/>
    <n v="4328390.82"/>
    <n v="149214.79999999999"/>
    <n v="258780"/>
    <n v="16.726141200000001"/>
  </r>
  <r>
    <x v="1"/>
    <x v="7"/>
    <x v="5"/>
    <x v="4"/>
    <n v="15794913.689999999"/>
    <n v="541411.64"/>
    <n v="134227"/>
    <n v="117.6731484"/>
  </r>
  <r>
    <x v="1"/>
    <x v="1"/>
    <x v="6"/>
    <x v="3"/>
    <n v="45749734.390000001"/>
    <n v="1374978"/>
    <n v="3376731"/>
    <n v="13.54852797"/>
  </r>
  <r>
    <x v="0"/>
    <x v="2"/>
    <x v="7"/>
    <x v="5"/>
    <n v="271201174.5"/>
    <n v="12273293.66"/>
    <n v="11007646"/>
    <n v="24.637526909999998"/>
  </r>
  <r>
    <x v="3"/>
    <x v="2"/>
    <x v="0"/>
    <x v="1"/>
    <n v="48.95"/>
    <n v="1.72"/>
    <n v="20"/>
    <n v="2.4474999999999998"/>
  </r>
  <r>
    <x v="2"/>
    <x v="2"/>
    <x v="2"/>
    <x v="8"/>
    <n v="81964481.269999996"/>
    <n v="2939630.7"/>
    <n v="1515397"/>
    <n v="54.087794330000001"/>
  </r>
  <r>
    <x v="2"/>
    <x v="1"/>
    <x v="0"/>
    <x v="1"/>
    <n v="3162.03"/>
    <n v="74.39"/>
    <n v="10157"/>
    <n v="0.31131534900000002"/>
  </r>
  <r>
    <x v="3"/>
    <x v="2"/>
    <x v="4"/>
    <x v="0"/>
    <n v="3983525.58"/>
    <n v="147518.98000000001"/>
    <n v="76435"/>
    <n v="52.116511809999999"/>
  </r>
  <r>
    <x v="3"/>
    <x v="4"/>
    <x v="0"/>
    <x v="5"/>
    <n v="1152666.78"/>
    <n v="41150.58"/>
    <n v="65178"/>
    <n v="17.68490564"/>
  </r>
  <r>
    <x v="3"/>
    <x v="1"/>
    <x v="2"/>
    <x v="4"/>
    <n v="2740419.52"/>
    <n v="76965.31"/>
    <n v="9593"/>
    <n v="285.66866670000002"/>
  </r>
  <r>
    <x v="3"/>
    <x v="2"/>
    <x v="3"/>
    <x v="0"/>
    <n v="609179.77"/>
    <n v="22310.27"/>
    <n v="10814"/>
    <n v="56.332510630000002"/>
  </r>
  <r>
    <x v="2"/>
    <x v="9"/>
    <x v="2"/>
    <x v="1"/>
    <n v="531.49"/>
    <n v="12.42"/>
    <n v="8"/>
    <n v="66.436250000000001"/>
  </r>
  <r>
    <x v="2"/>
    <x v="3"/>
    <x v="9"/>
    <x v="1"/>
    <n v="2329142.46"/>
    <n v="81030.460000000006"/>
    <n v="56206"/>
    <n v="41.439391880000002"/>
  </r>
  <r>
    <x v="3"/>
    <x v="6"/>
    <x v="8"/>
    <x v="8"/>
    <n v="6999633.2000000002"/>
    <n v="226849.43"/>
    <n v="114083"/>
    <n v="61.355620029999997"/>
  </r>
  <r>
    <x v="3"/>
    <x v="5"/>
    <x v="3"/>
    <x v="8"/>
    <n v="1293127.43"/>
    <n v="50563.64"/>
    <n v="38901"/>
    <n v="33.24149585"/>
  </r>
  <r>
    <x v="1"/>
    <x v="6"/>
    <x v="6"/>
    <x v="7"/>
    <n v="326941.56"/>
    <n v="11435.04"/>
    <n v="5758"/>
    <n v="56.78040292"/>
  </r>
  <r>
    <x v="3"/>
    <x v="0"/>
    <x v="4"/>
    <x v="4"/>
    <n v="30"/>
    <n v="0"/>
    <n v="1"/>
    <n v="30"/>
  </r>
  <r>
    <x v="1"/>
    <x v="4"/>
    <x v="2"/>
    <x v="7"/>
    <n v="9869818.1300000008"/>
    <n v="327336.12"/>
    <n v="163175"/>
    <n v="60.486092419999999"/>
  </r>
  <r>
    <x v="3"/>
    <x v="0"/>
    <x v="7"/>
    <x v="4"/>
    <n v="175"/>
    <n v="5.38"/>
    <n v="1"/>
    <n v="175"/>
  </r>
  <r>
    <x v="0"/>
    <x v="5"/>
    <x v="0"/>
    <x v="6"/>
    <n v="3186716.5"/>
    <n v="102720.28"/>
    <n v="24924"/>
    <n v="127.8573463"/>
  </r>
  <r>
    <x v="3"/>
    <x v="0"/>
    <x v="0"/>
    <x v="8"/>
    <n v="231.71"/>
    <n v="9.7200000000000006"/>
    <n v="10"/>
    <n v="23.170999999999999"/>
  </r>
  <r>
    <x v="1"/>
    <x v="2"/>
    <x v="8"/>
    <x v="6"/>
    <n v="26432333.420000002"/>
    <n v="842184.71"/>
    <n v="114115"/>
    <n v="231.62891310000001"/>
  </r>
  <r>
    <x v="0"/>
    <x v="6"/>
    <x v="0"/>
    <x v="8"/>
    <n v="124499.33"/>
    <n v="3962.91"/>
    <n v="7510"/>
    <n v="16.57780692"/>
  </r>
  <r>
    <x v="0"/>
    <x v="2"/>
    <x v="3"/>
    <x v="1"/>
    <n v="257545.23"/>
    <n v="7618.48"/>
    <n v="5723"/>
    <n v="45.001787520000001"/>
  </r>
  <r>
    <x v="3"/>
    <x v="7"/>
    <x v="1"/>
    <x v="8"/>
    <n v="11859009.15"/>
    <n v="485934.69"/>
    <n v="254836"/>
    <n v="46.535847169999997"/>
  </r>
  <r>
    <x v="3"/>
    <x v="2"/>
    <x v="0"/>
    <x v="2"/>
    <n v="1459.21"/>
    <n v="51.52"/>
    <n v="6029"/>
    <n v="0.2420318461"/>
  </r>
  <r>
    <x v="0"/>
    <x v="8"/>
    <x v="3"/>
    <x v="6"/>
    <n v="602.95000000000005"/>
    <n v="18.68"/>
    <n v="10"/>
    <n v="60.295000000000002"/>
  </r>
  <r>
    <x v="0"/>
    <x v="4"/>
    <x v="1"/>
    <x v="2"/>
    <n v="14700506.619999999"/>
    <n v="563596.4"/>
    <n v="83998"/>
    <n v="175.0101981"/>
  </r>
  <r>
    <x v="0"/>
    <x v="2"/>
    <x v="6"/>
    <x v="2"/>
    <n v="64106708.609999999"/>
    <n v="1763350.92"/>
    <n v="555976"/>
    <n v="115.30481279999999"/>
  </r>
  <r>
    <x v="2"/>
    <x v="5"/>
    <x v="6"/>
    <x v="6"/>
    <n v="686890.49"/>
    <n v="24054.16"/>
    <n v="7685"/>
    <n v="89.380675339999996"/>
  </r>
  <r>
    <x v="0"/>
    <x v="0"/>
    <x v="7"/>
    <x v="2"/>
    <n v="628.13"/>
    <n v="13.83"/>
    <n v="24"/>
    <n v="26.17208333"/>
  </r>
  <r>
    <x v="0"/>
    <x v="6"/>
    <x v="9"/>
    <x v="8"/>
    <n v="22731154.329999998"/>
    <n v="770786.08"/>
    <n v="355647"/>
    <n v="63.914933429999998"/>
  </r>
  <r>
    <x v="0"/>
    <x v="2"/>
    <x v="0"/>
    <x v="7"/>
    <n v="80737446.159999996"/>
    <n v="2732647.71"/>
    <n v="1472771"/>
    <n v="54.820095019999997"/>
  </r>
  <r>
    <x v="0"/>
    <x v="4"/>
    <x v="0"/>
    <x v="3"/>
    <n v="250.68"/>
    <n v="5.07"/>
    <n v="4"/>
    <n v="62.67"/>
  </r>
  <r>
    <x v="3"/>
    <x v="5"/>
    <x v="2"/>
    <x v="5"/>
    <n v="3999598.75"/>
    <n v="144537.67000000001"/>
    <n v="78211"/>
    <n v="51.138570659999999"/>
  </r>
  <r>
    <x v="1"/>
    <x v="0"/>
    <x v="4"/>
    <x v="2"/>
    <n v="4890.45"/>
    <n v="105.24"/>
    <n v="76"/>
    <n v="64.348026320000002"/>
  </r>
  <r>
    <x v="3"/>
    <x v="1"/>
    <x v="0"/>
    <x v="8"/>
    <n v="112787204"/>
    <n v="2861510.29"/>
    <n v="1717375"/>
    <n v="65.674185300000005"/>
  </r>
  <r>
    <x v="3"/>
    <x v="6"/>
    <x v="0"/>
    <x v="0"/>
    <n v="2603.7199999999998"/>
    <n v="132.84"/>
    <n v="618"/>
    <n v="4.2131391589999998"/>
  </r>
  <r>
    <x v="3"/>
    <x v="9"/>
    <x v="3"/>
    <x v="2"/>
    <n v="18667.02"/>
    <n v="361.18"/>
    <n v="101"/>
    <n v="184.82198020000001"/>
  </r>
  <r>
    <x v="0"/>
    <x v="6"/>
    <x v="1"/>
    <x v="0"/>
    <n v="3554478.67"/>
    <n v="119430.02"/>
    <n v="80433"/>
    <n v="44.191795280000001"/>
  </r>
  <r>
    <x v="3"/>
    <x v="2"/>
    <x v="0"/>
    <x v="3"/>
    <n v="30"/>
    <n v="1.95"/>
    <n v="99"/>
    <n v="0.303030303"/>
  </r>
  <r>
    <x v="2"/>
    <x v="8"/>
    <x v="6"/>
    <x v="0"/>
    <n v="60.05"/>
    <n v="15.49"/>
    <n v="113"/>
    <n v="0.53141592920000003"/>
  </r>
  <r>
    <x v="0"/>
    <x v="4"/>
    <x v="9"/>
    <x v="6"/>
    <n v="23916271.629999999"/>
    <n v="826517.02"/>
    <n v="69231"/>
    <n v="345.45610540000001"/>
  </r>
  <r>
    <x v="3"/>
    <x v="5"/>
    <x v="6"/>
    <x v="7"/>
    <n v="23491.9"/>
    <n v="965.99"/>
    <n v="948"/>
    <n v="24.78048523"/>
  </r>
  <r>
    <x v="1"/>
    <x v="6"/>
    <x v="1"/>
    <x v="5"/>
    <n v="15826151.68"/>
    <n v="648453.75"/>
    <n v="362394"/>
    <n v="43.671119500000003"/>
  </r>
  <r>
    <x v="3"/>
    <x v="2"/>
    <x v="9"/>
    <x v="8"/>
    <n v="81852756.299999997"/>
    <n v="3147000.85"/>
    <n v="1869020"/>
    <n v="43.794478550000001"/>
  </r>
  <r>
    <x v="3"/>
    <x v="6"/>
    <x v="0"/>
    <x v="2"/>
    <n v="9832.69"/>
    <n v="1280.1300000000001"/>
    <n v="832"/>
    <n v="11.81813702"/>
  </r>
  <r>
    <x v="0"/>
    <x v="2"/>
    <x v="2"/>
    <x v="6"/>
    <n v="19598292.640000001"/>
    <n v="635379.88"/>
    <n v="76172"/>
    <n v="257.28998369999999"/>
  </r>
  <r>
    <x v="3"/>
    <x v="2"/>
    <x v="9"/>
    <x v="3"/>
    <n v="38119.81"/>
    <n v="1271.23"/>
    <n v="2933"/>
    <n v="12.996866689999999"/>
  </r>
  <r>
    <x v="1"/>
    <x v="7"/>
    <x v="7"/>
    <x v="5"/>
    <n v="623141349.70000005"/>
    <n v="23449138.199999999"/>
    <n v="12017994"/>
    <n v="51.850695690000002"/>
  </r>
  <r>
    <x v="2"/>
    <x v="5"/>
    <x v="5"/>
    <x v="2"/>
    <n v="1297985.6200000001"/>
    <n v="44257.79"/>
    <n v="84634"/>
    <n v="15.336456030000001"/>
  </r>
  <r>
    <x v="3"/>
    <x v="4"/>
    <x v="5"/>
    <x v="4"/>
    <n v="14176641.93"/>
    <n v="461045.9"/>
    <n v="66808"/>
    <n v="212.19976539999999"/>
  </r>
  <r>
    <x v="0"/>
    <x v="4"/>
    <x v="3"/>
    <x v="5"/>
    <n v="81359258.359999999"/>
    <n v="2720670.48"/>
    <n v="959726"/>
    <n v="84.773423210000004"/>
  </r>
  <r>
    <x v="1"/>
    <x v="7"/>
    <x v="8"/>
    <x v="1"/>
    <n v="1352939.69"/>
    <n v="35275.919999999998"/>
    <n v="12703"/>
    <n v="106.5055255"/>
  </r>
  <r>
    <x v="0"/>
    <x v="1"/>
    <x v="9"/>
    <x v="8"/>
    <n v="172512335.30000001"/>
    <n v="5615373.9699999997"/>
    <n v="3407325"/>
    <n v="50.629844609999999"/>
  </r>
  <r>
    <x v="3"/>
    <x v="7"/>
    <x v="5"/>
    <x v="4"/>
    <n v="12891571.33"/>
    <n v="434476.22"/>
    <n v="115155"/>
    <n v="111.9497315"/>
  </r>
  <r>
    <x v="2"/>
    <x v="3"/>
    <x v="9"/>
    <x v="4"/>
    <n v="49773603.729999997"/>
    <n v="1713887.46"/>
    <n v="206734"/>
    <n v="240.7615764"/>
  </r>
  <r>
    <x v="2"/>
    <x v="3"/>
    <x v="0"/>
    <x v="8"/>
    <n v="561192275.89999998"/>
    <n v="18648740.109999999"/>
    <n v="6015088"/>
    <n v="93.297434039999999"/>
  </r>
  <r>
    <x v="3"/>
    <x v="1"/>
    <x v="3"/>
    <x v="0"/>
    <n v="11841561.970000001"/>
    <n v="266295.69"/>
    <n v="153887"/>
    <n v="76.949722649999998"/>
  </r>
  <r>
    <x v="0"/>
    <x v="4"/>
    <x v="4"/>
    <x v="5"/>
    <n v="726384139"/>
    <n v="25919080.969999999"/>
    <n v="12627822"/>
    <n v="57.522519639999999"/>
  </r>
  <r>
    <x v="1"/>
    <x v="5"/>
    <x v="0"/>
    <x v="8"/>
    <n v="35720.6"/>
    <n v="1354.55"/>
    <n v="7770"/>
    <n v="4.5972458170000001"/>
  </r>
  <r>
    <x v="3"/>
    <x v="4"/>
    <x v="0"/>
    <x v="0"/>
    <n v="5468.02"/>
    <n v="1552.7"/>
    <n v="6190"/>
    <n v="0.88336348949999999"/>
  </r>
  <r>
    <x v="2"/>
    <x v="0"/>
    <x v="7"/>
    <x v="1"/>
    <n v="39.46"/>
    <n v="2.04"/>
    <n v="3"/>
    <n v="13.153333330000001"/>
  </r>
  <r>
    <x v="0"/>
    <x v="2"/>
    <x v="4"/>
    <x v="2"/>
    <n v="68372803.840000004"/>
    <n v="1864678.13"/>
    <n v="502635"/>
    <n v="136.0287362"/>
  </r>
  <r>
    <x v="1"/>
    <x v="4"/>
    <x v="6"/>
    <x v="8"/>
    <n v="141034969.30000001"/>
    <n v="5219329.8099999996"/>
    <n v="2790724"/>
    <n v="50.53705394"/>
  </r>
  <r>
    <x v="3"/>
    <x v="7"/>
    <x v="2"/>
    <x v="5"/>
    <n v="274823171.89999998"/>
    <n v="9349130.0199999996"/>
    <n v="3006690"/>
    <n v="91.403893289999999"/>
  </r>
  <r>
    <x v="0"/>
    <x v="1"/>
    <x v="8"/>
    <x v="10"/>
    <n v="476856503.30000001"/>
    <n v="101416.46"/>
    <n v="973320"/>
    <n v="489.9277763"/>
  </r>
  <r>
    <x v="0"/>
    <x v="1"/>
    <x v="2"/>
    <x v="0"/>
    <n v="261907697.19999999"/>
    <n v="5905444.1200000001"/>
    <n v="4167647"/>
    <n v="62.843061609999999"/>
  </r>
  <r>
    <x v="2"/>
    <x v="4"/>
    <x v="6"/>
    <x v="2"/>
    <n v="38153979.189999998"/>
    <n v="1330946.49"/>
    <n v="213017"/>
    <n v="179.1123675"/>
  </r>
  <r>
    <x v="0"/>
    <x v="4"/>
    <x v="6"/>
    <x v="8"/>
    <n v="220169806.59999999"/>
    <n v="8052674.3899999997"/>
    <n v="4108622"/>
    <n v="53.58726274"/>
  </r>
  <r>
    <x v="2"/>
    <x v="9"/>
    <x v="8"/>
    <x v="5"/>
    <n v="42443.45"/>
    <n v="1387.86"/>
    <n v="337"/>
    <n v="125.94495550000001"/>
  </r>
  <r>
    <x v="1"/>
    <x v="4"/>
    <x v="2"/>
    <x v="8"/>
    <n v="92101458.120000005"/>
    <n v="3261014.08"/>
    <n v="1451248"/>
    <n v="63.463624490000001"/>
  </r>
  <r>
    <x v="1"/>
    <x v="5"/>
    <x v="9"/>
    <x v="6"/>
    <n v="988923.58"/>
    <n v="33299.120000000003"/>
    <n v="10322"/>
    <n v="95.807360979999999"/>
  </r>
  <r>
    <x v="3"/>
    <x v="1"/>
    <x v="0"/>
    <x v="7"/>
    <n v="19610.32"/>
    <n v="2190.19"/>
    <n v="13971"/>
    <n v="1.4036446929999999"/>
  </r>
  <r>
    <x v="0"/>
    <x v="8"/>
    <x v="3"/>
    <x v="0"/>
    <n v="177.04"/>
    <n v="32.200000000000003"/>
    <n v="124"/>
    <n v="1.427741935"/>
  </r>
  <r>
    <x v="1"/>
    <x v="5"/>
    <x v="4"/>
    <x v="5"/>
    <n v="9395041.7200000007"/>
    <n v="367847.83"/>
    <n v="259537"/>
    <n v="36.199238340000001"/>
  </r>
  <r>
    <x v="2"/>
    <x v="2"/>
    <x v="5"/>
    <x v="1"/>
    <n v="1108177.2"/>
    <n v="41625"/>
    <n v="45617"/>
    <n v="24.293074950000001"/>
  </r>
  <r>
    <x v="2"/>
    <x v="3"/>
    <x v="1"/>
    <x v="2"/>
    <n v="31398343.140000001"/>
    <n v="1051214.02"/>
    <n v="175726"/>
    <n v="178.67784589999999"/>
  </r>
  <r>
    <x v="2"/>
    <x v="5"/>
    <x v="2"/>
    <x v="5"/>
    <n v="2833037.05"/>
    <n v="103693.23"/>
    <n v="57389"/>
    <n v="49.365506459999999"/>
  </r>
  <r>
    <x v="0"/>
    <x v="2"/>
    <x v="1"/>
    <x v="1"/>
    <n v="2566602.5499999998"/>
    <n v="105802.36"/>
    <n v="117522"/>
    <n v="21.839336889999998"/>
  </r>
  <r>
    <x v="2"/>
    <x v="1"/>
    <x v="4"/>
    <x v="6"/>
    <n v="3909512.95"/>
    <n v="111710.44"/>
    <n v="9543"/>
    <n v="409.67336790000002"/>
  </r>
  <r>
    <x v="3"/>
    <x v="5"/>
    <x v="3"/>
    <x v="5"/>
    <n v="1111146.1399999999"/>
    <n v="38719.160000000003"/>
    <n v="17949"/>
    <n v="61.905740710000003"/>
  </r>
  <r>
    <x v="2"/>
    <x v="2"/>
    <x v="2"/>
    <x v="6"/>
    <n v="18682309.710000001"/>
    <n v="603479.64"/>
    <n v="72662"/>
    <n v="257.11251700000003"/>
  </r>
  <r>
    <x v="1"/>
    <x v="4"/>
    <x v="7"/>
    <x v="0"/>
    <n v="32375889.379999999"/>
    <n v="1033617.01"/>
    <n v="610393"/>
    <n v="53.041056140000002"/>
  </r>
  <r>
    <x v="1"/>
    <x v="6"/>
    <x v="9"/>
    <x v="1"/>
    <n v="26596.44"/>
    <n v="969.72"/>
    <n v="713"/>
    <n v="37.302159889999999"/>
  </r>
  <r>
    <x v="3"/>
    <x v="8"/>
    <x v="0"/>
    <x v="4"/>
    <n v="669.06"/>
    <n v="21.79"/>
    <n v="162"/>
    <n v="4.13"/>
  </r>
  <r>
    <x v="2"/>
    <x v="2"/>
    <x v="8"/>
    <x v="2"/>
    <n v="161235535.19999999"/>
    <n v="4578940.45"/>
    <n v="972086"/>
    <n v="165.86550489999999"/>
  </r>
  <r>
    <x v="1"/>
    <x v="2"/>
    <x v="3"/>
    <x v="5"/>
    <n v="21757665.859999999"/>
    <n v="837342.03"/>
    <n v="495168"/>
    <n v="43.93996757"/>
  </r>
  <r>
    <x v="0"/>
    <x v="5"/>
    <x v="0"/>
    <x v="6"/>
    <n v="21220.12"/>
    <n v="152.81"/>
    <n v="112"/>
    <n v="189.46535710000001"/>
  </r>
  <r>
    <x v="0"/>
    <x v="5"/>
    <x v="1"/>
    <x v="1"/>
    <n v="154281.29"/>
    <n v="5226.45"/>
    <n v="5417"/>
    <n v="28.480947019999999"/>
  </r>
  <r>
    <x v="1"/>
    <x v="2"/>
    <x v="7"/>
    <x v="0"/>
    <n v="3131642.57"/>
    <n v="116869.24"/>
    <n v="60964"/>
    <n v="51.368718749999999"/>
  </r>
  <r>
    <x v="0"/>
    <x v="1"/>
    <x v="0"/>
    <x v="4"/>
    <n v="1476051.12"/>
    <n v="52259.199999999997"/>
    <n v="5919"/>
    <n v="249.37508360000001"/>
  </r>
  <r>
    <x v="2"/>
    <x v="2"/>
    <x v="7"/>
    <x v="7"/>
    <n v="962302.31"/>
    <n v="37875.839999999997"/>
    <n v="23982"/>
    <n v="40.126024100000002"/>
  </r>
  <r>
    <x v="3"/>
    <x v="8"/>
    <x v="0"/>
    <x v="6"/>
    <n v="8733.1299999999992"/>
    <n v="25.6"/>
    <n v="44"/>
    <n v="198.4802273"/>
  </r>
  <r>
    <x v="3"/>
    <x v="5"/>
    <x v="5"/>
    <x v="3"/>
    <n v="288.14"/>
    <n v="15.94"/>
    <n v="316"/>
    <n v="0.91183544299999997"/>
  </r>
  <r>
    <x v="1"/>
    <x v="2"/>
    <x v="6"/>
    <x v="2"/>
    <n v="48014561.880000003"/>
    <n v="1686975.09"/>
    <n v="461789"/>
    <n v="103.9751096"/>
  </r>
  <r>
    <x v="2"/>
    <x v="6"/>
    <x v="0"/>
    <x v="1"/>
    <n v="326.22000000000003"/>
    <n v="9.0299999999999994"/>
    <n v="39"/>
    <n v="8.3646153850000005"/>
  </r>
  <r>
    <x v="2"/>
    <x v="8"/>
    <x v="4"/>
    <x v="2"/>
    <n v="18720.46"/>
    <n v="602.64"/>
    <n v="652"/>
    <n v="28.712361959999999"/>
  </r>
  <r>
    <x v="1"/>
    <x v="8"/>
    <x v="5"/>
    <x v="7"/>
    <n v="-120"/>
    <n v="0"/>
    <n v="1"/>
    <n v="-120"/>
  </r>
  <r>
    <x v="2"/>
    <x v="3"/>
    <x v="5"/>
    <x v="1"/>
    <n v="2262703.7999999998"/>
    <n v="71163.710000000006"/>
    <n v="51182"/>
    <n v="44.208975809999998"/>
  </r>
  <r>
    <x v="1"/>
    <x v="2"/>
    <x v="8"/>
    <x v="1"/>
    <n v="553102.68999999994"/>
    <n v="17904.740000000002"/>
    <n v="6171"/>
    <n v="89.629345319999999"/>
  </r>
  <r>
    <x v="0"/>
    <x v="8"/>
    <x v="5"/>
    <x v="6"/>
    <n v="0"/>
    <n v="0"/>
    <n v="4"/>
    <n v="0"/>
  </r>
  <r>
    <x v="2"/>
    <x v="0"/>
    <x v="6"/>
    <x v="1"/>
    <n v="289.39"/>
    <n v="9.6"/>
    <n v="4"/>
    <n v="72.347499999999997"/>
  </r>
  <r>
    <x v="2"/>
    <x v="8"/>
    <x v="7"/>
    <x v="7"/>
    <n v="37.65"/>
    <n v="1.39"/>
    <n v="13"/>
    <n v="2.8961538459999998"/>
  </r>
  <r>
    <x v="2"/>
    <x v="3"/>
    <x v="3"/>
    <x v="1"/>
    <n v="124278.72"/>
    <n v="4062.89"/>
    <n v="2554"/>
    <n v="48.660422869999998"/>
  </r>
  <r>
    <x v="3"/>
    <x v="2"/>
    <x v="8"/>
    <x v="7"/>
    <n v="525702.99"/>
    <n v="19886.82"/>
    <n v="58208"/>
    <n v="9.0314559849999991"/>
  </r>
  <r>
    <x v="3"/>
    <x v="2"/>
    <x v="3"/>
    <x v="7"/>
    <n v="109502.75"/>
    <n v="4218.47"/>
    <n v="2560"/>
    <n v="42.77451172"/>
  </r>
  <r>
    <x v="0"/>
    <x v="9"/>
    <x v="6"/>
    <x v="2"/>
    <n v="57123.74"/>
    <n v="777.92"/>
    <n v="486"/>
    <n v="117.53855969999999"/>
  </r>
  <r>
    <x v="1"/>
    <x v="1"/>
    <x v="3"/>
    <x v="3"/>
    <n v="901689.87"/>
    <n v="28719.53"/>
    <n v="63980"/>
    <n v="14.09330838"/>
  </r>
  <r>
    <x v="3"/>
    <x v="8"/>
    <x v="0"/>
    <x v="2"/>
    <n v="3265.16"/>
    <n v="321.36"/>
    <n v="375"/>
    <n v="8.7070933329999995"/>
  </r>
  <r>
    <x v="1"/>
    <x v="3"/>
    <x v="5"/>
    <x v="2"/>
    <n v="48748337.869999997"/>
    <n v="1788608.58"/>
    <n v="383207"/>
    <n v="127.2115015"/>
  </r>
  <r>
    <x v="2"/>
    <x v="7"/>
    <x v="7"/>
    <x v="6"/>
    <n v="10569716.25"/>
    <n v="363774.3"/>
    <n v="66996"/>
    <n v="157.76637779999999"/>
  </r>
  <r>
    <x v="0"/>
    <x v="9"/>
    <x v="9"/>
    <x v="7"/>
    <n v="1827"/>
    <n v="68.31"/>
    <n v="42"/>
    <n v="43.5"/>
  </r>
  <r>
    <x v="2"/>
    <x v="6"/>
    <x v="4"/>
    <x v="8"/>
    <n v="13563150.689999999"/>
    <n v="488298.59"/>
    <n v="245829"/>
    <n v="55.173110940000001"/>
  </r>
  <r>
    <x v="2"/>
    <x v="2"/>
    <x v="0"/>
    <x v="4"/>
    <n v="138620.66"/>
    <n v="2170.6999999999998"/>
    <n v="1291"/>
    <n v="107.3746398"/>
  </r>
  <r>
    <x v="1"/>
    <x v="8"/>
    <x v="6"/>
    <x v="7"/>
    <n v="0"/>
    <n v="0"/>
    <n v="45"/>
    <n v="0"/>
  </r>
  <r>
    <x v="1"/>
    <x v="5"/>
    <x v="0"/>
    <x v="3"/>
    <n v="0"/>
    <n v="0"/>
    <n v="142"/>
    <n v="0"/>
  </r>
  <r>
    <x v="3"/>
    <x v="6"/>
    <x v="5"/>
    <x v="6"/>
    <n v="312117.02"/>
    <n v="10640.77"/>
    <n v="1916"/>
    <n v="162.90032360000001"/>
  </r>
  <r>
    <x v="2"/>
    <x v="1"/>
    <x v="1"/>
    <x v="0"/>
    <n v="140072025.09999999"/>
    <n v="3239364.32"/>
    <n v="2209539"/>
    <n v="63.39423068"/>
  </r>
  <r>
    <x v="0"/>
    <x v="8"/>
    <x v="2"/>
    <x v="5"/>
    <n v="9417.91"/>
    <n v="497.83"/>
    <n v="279"/>
    <n v="33.755949819999998"/>
  </r>
  <r>
    <x v="3"/>
    <x v="3"/>
    <x v="0"/>
    <x v="6"/>
    <n v="79499.44"/>
    <n v="1082.6600000000001"/>
    <n v="660"/>
    <n v="120.45369700000001"/>
  </r>
  <r>
    <x v="3"/>
    <x v="3"/>
    <x v="0"/>
    <x v="8"/>
    <n v="338433.5"/>
    <n v="12515.34"/>
    <n v="41297"/>
    <n v="8.1951110249999992"/>
  </r>
  <r>
    <x v="2"/>
    <x v="0"/>
    <x v="4"/>
    <x v="4"/>
    <n v="470"/>
    <n v="13.93"/>
    <n v="1"/>
    <n v="470"/>
  </r>
  <r>
    <x v="1"/>
    <x v="0"/>
    <x v="0"/>
    <x v="5"/>
    <n v="2922.58"/>
    <n v="98.35"/>
    <n v="17"/>
    <n v="171.9164706"/>
  </r>
  <r>
    <x v="0"/>
    <x v="6"/>
    <x v="8"/>
    <x v="8"/>
    <n v="24069721.289999999"/>
    <n v="317913.15000000002"/>
    <n v="149623"/>
    <n v="160.8691263"/>
  </r>
  <r>
    <x v="3"/>
    <x v="1"/>
    <x v="8"/>
    <x v="7"/>
    <n v="8839643.0399999991"/>
    <n v="223988.06"/>
    <n v="114357"/>
    <n v="77.298661559999999"/>
  </r>
  <r>
    <x v="3"/>
    <x v="7"/>
    <x v="4"/>
    <x v="6"/>
    <n v="7769655.5"/>
    <n v="245333.83"/>
    <n v="42398"/>
    <n v="183.25523609999999"/>
  </r>
  <r>
    <x v="3"/>
    <x v="8"/>
    <x v="3"/>
    <x v="7"/>
    <n v="0"/>
    <n v="0"/>
    <n v="2"/>
    <n v="0"/>
  </r>
  <r>
    <x v="2"/>
    <x v="5"/>
    <x v="2"/>
    <x v="8"/>
    <n v="5783182.9400000004"/>
    <n v="220435.6"/>
    <n v="168819"/>
    <n v="34.256706530000002"/>
  </r>
  <r>
    <x v="2"/>
    <x v="3"/>
    <x v="8"/>
    <x v="1"/>
    <n v="3793027.8"/>
    <n v="64927.63"/>
    <n v="31924"/>
    <n v="118.8143027"/>
  </r>
  <r>
    <x v="0"/>
    <x v="8"/>
    <x v="0"/>
    <x v="8"/>
    <n v="24042.97"/>
    <n v="851.76"/>
    <n v="1149"/>
    <n v="20.925126200000001"/>
  </r>
  <r>
    <x v="2"/>
    <x v="6"/>
    <x v="9"/>
    <x v="6"/>
    <n v="4392585.6100000003"/>
    <n v="133939.26999999999"/>
    <n v="11113"/>
    <n v="395.26550980000002"/>
  </r>
  <r>
    <x v="1"/>
    <x v="7"/>
    <x v="1"/>
    <x v="4"/>
    <n v="24634948.289999999"/>
    <n v="802412.54"/>
    <n v="130487"/>
    <n v="188.79235700000001"/>
  </r>
  <r>
    <x v="1"/>
    <x v="8"/>
    <x v="6"/>
    <x v="6"/>
    <n v="-1938.58"/>
    <n v="8.7100000000000009"/>
    <n v="8"/>
    <n v="-242.32249999999999"/>
  </r>
  <r>
    <x v="1"/>
    <x v="7"/>
    <x v="0"/>
    <x v="2"/>
    <n v="579832.25"/>
    <n v="24136.2"/>
    <n v="38715"/>
    <n v="14.97694046"/>
  </r>
  <r>
    <x v="0"/>
    <x v="2"/>
    <x v="5"/>
    <x v="4"/>
    <n v="11372324.060000001"/>
    <n v="438338.16"/>
    <n v="136894"/>
    <n v="83.073940859999993"/>
  </r>
  <r>
    <x v="0"/>
    <x v="8"/>
    <x v="0"/>
    <x v="2"/>
    <n v="0"/>
    <n v="0"/>
    <n v="382"/>
    <n v="0"/>
  </r>
  <r>
    <x v="3"/>
    <x v="2"/>
    <x v="0"/>
    <x v="7"/>
    <n v="3670.61"/>
    <n v="120.09"/>
    <n v="282"/>
    <n v="13.01634752"/>
  </r>
  <r>
    <x v="1"/>
    <x v="3"/>
    <x v="1"/>
    <x v="5"/>
    <n v="303025774.5"/>
    <n v="12586072.91"/>
    <n v="6079429"/>
    <n v="49.844446650000002"/>
  </r>
  <r>
    <x v="2"/>
    <x v="9"/>
    <x v="9"/>
    <x v="2"/>
    <n v="96734.7"/>
    <n v="1374.39"/>
    <n v="670"/>
    <n v="144.3801493"/>
  </r>
  <r>
    <x v="2"/>
    <x v="9"/>
    <x v="6"/>
    <x v="8"/>
    <n v="1908.98"/>
    <n v="139.99"/>
    <n v="100"/>
    <n v="19.0898"/>
  </r>
  <r>
    <x v="0"/>
    <x v="7"/>
    <x v="9"/>
    <x v="2"/>
    <n v="391514293.5"/>
    <n v="8160141.1299999999"/>
    <n v="2356144"/>
    <n v="166.16738770000001"/>
  </r>
  <r>
    <x v="3"/>
    <x v="2"/>
    <x v="4"/>
    <x v="1"/>
    <n v="62610.67"/>
    <n v="2159.58"/>
    <n v="1137"/>
    <n v="55.06655233"/>
  </r>
  <r>
    <x v="2"/>
    <x v="9"/>
    <x v="5"/>
    <x v="8"/>
    <n v="-287.20999999999998"/>
    <n v="26.37"/>
    <n v="29"/>
    <n v="-9.9037931029999999"/>
  </r>
  <r>
    <x v="0"/>
    <x v="8"/>
    <x v="6"/>
    <x v="0"/>
    <n v="-87.74"/>
    <n v="93.46"/>
    <n v="278"/>
    <n v="-0.31561151079999999"/>
  </r>
  <r>
    <x v="3"/>
    <x v="5"/>
    <x v="3"/>
    <x v="7"/>
    <n v="4843.34"/>
    <n v="195.28"/>
    <n v="180"/>
    <n v="26.907444439999999"/>
  </r>
  <r>
    <x v="3"/>
    <x v="2"/>
    <x v="8"/>
    <x v="6"/>
    <n v="19845449.190000001"/>
    <n v="630877.02"/>
    <n v="89302"/>
    <n v="222.22849650000001"/>
  </r>
  <r>
    <x v="1"/>
    <x v="7"/>
    <x v="3"/>
    <x v="8"/>
    <n v="5395915.2699999996"/>
    <n v="195740.96"/>
    <n v="97242"/>
    <n v="55.48955462"/>
  </r>
  <r>
    <x v="0"/>
    <x v="6"/>
    <x v="6"/>
    <x v="0"/>
    <n v="8992335.75"/>
    <n v="261364.73"/>
    <n v="233632"/>
    <n v="38.48931546"/>
  </r>
  <r>
    <x v="0"/>
    <x v="7"/>
    <x v="3"/>
    <x v="8"/>
    <n v="10721944.189999999"/>
    <n v="382704.1"/>
    <n v="182457"/>
    <n v="58.764224939999998"/>
  </r>
  <r>
    <x v="0"/>
    <x v="2"/>
    <x v="0"/>
    <x v="2"/>
    <n v="247496.77"/>
    <n v="4115.3100000000004"/>
    <n v="6634"/>
    <n v="37.307321369999997"/>
  </r>
  <r>
    <x v="3"/>
    <x v="8"/>
    <x v="3"/>
    <x v="0"/>
    <n v="10"/>
    <n v="0.59"/>
    <n v="17"/>
    <n v="0.58823529409999997"/>
  </r>
  <r>
    <x v="1"/>
    <x v="5"/>
    <x v="9"/>
    <x v="3"/>
    <n v="1246.1099999999999"/>
    <n v="35.65"/>
    <n v="96"/>
    <n v="12.9803125"/>
  </r>
  <r>
    <x v="2"/>
    <x v="1"/>
    <x v="5"/>
    <x v="6"/>
    <n v="1747652.88"/>
    <n v="48846.1"/>
    <n v="4270"/>
    <n v="409.2863888"/>
  </r>
  <r>
    <x v="2"/>
    <x v="2"/>
    <x v="9"/>
    <x v="1"/>
    <n v="1347521.58"/>
    <n v="47070.91"/>
    <n v="42813"/>
    <n v="31.474589030000001"/>
  </r>
  <r>
    <x v="2"/>
    <x v="0"/>
    <x v="0"/>
    <x v="8"/>
    <n v="441.96"/>
    <n v="18.53"/>
    <n v="11"/>
    <n v="40.178181819999999"/>
  </r>
  <r>
    <x v="3"/>
    <x v="4"/>
    <x v="9"/>
    <x v="2"/>
    <n v="30915677.010000002"/>
    <n v="1039876.07"/>
    <n v="179759"/>
    <n v="171.98402870000001"/>
  </r>
  <r>
    <x v="1"/>
    <x v="0"/>
    <x v="7"/>
    <x v="4"/>
    <n v="9700"/>
    <n v="281.60000000000002"/>
    <n v="1"/>
    <n v="9700"/>
  </r>
  <r>
    <x v="3"/>
    <x v="5"/>
    <x v="9"/>
    <x v="5"/>
    <n v="9288331.6999999993"/>
    <n v="350881.78"/>
    <n v="222007"/>
    <n v="41.838012769999999"/>
  </r>
  <r>
    <x v="0"/>
    <x v="2"/>
    <x v="3"/>
    <x v="3"/>
    <n v="593.20000000000005"/>
    <n v="17.7"/>
    <n v="36"/>
    <n v="16.47777778"/>
  </r>
  <r>
    <x v="2"/>
    <x v="6"/>
    <x v="4"/>
    <x v="1"/>
    <n v="142242.10999999999"/>
    <n v="5157.47"/>
    <n v="4446"/>
    <n v="31.9932771"/>
  </r>
  <r>
    <x v="0"/>
    <x v="5"/>
    <x v="2"/>
    <x v="2"/>
    <n v="3839007.01"/>
    <n v="102004.07"/>
    <n v="43843"/>
    <n v="87.562598589999993"/>
  </r>
  <r>
    <x v="3"/>
    <x v="5"/>
    <x v="7"/>
    <x v="0"/>
    <n v="78806.009999999995"/>
    <n v="3099.63"/>
    <n v="2278"/>
    <n v="34.594385430000003"/>
  </r>
  <r>
    <x v="1"/>
    <x v="4"/>
    <x v="9"/>
    <x v="8"/>
    <n v="186084799.80000001"/>
    <n v="6734529.75"/>
    <n v="3353513"/>
    <n v="55.489511989999997"/>
  </r>
  <r>
    <x v="0"/>
    <x v="7"/>
    <x v="8"/>
    <x v="5"/>
    <n v="695576515.70000005"/>
    <n v="23474170.77"/>
    <n v="8414691"/>
    <n v="82.66215785"/>
  </r>
  <r>
    <x v="0"/>
    <x v="5"/>
    <x v="7"/>
    <x v="4"/>
    <n v="757890.37"/>
    <n v="27779.4"/>
    <n v="9932"/>
    <n v="76.307930929999998"/>
  </r>
  <r>
    <x v="2"/>
    <x v="4"/>
    <x v="7"/>
    <x v="8"/>
    <n v="103261109.2"/>
    <n v="3865963.34"/>
    <n v="2140187"/>
    <n v="48.248638620000001"/>
  </r>
  <r>
    <x v="0"/>
    <x v="5"/>
    <x v="9"/>
    <x v="8"/>
    <n v="9781054.3599999994"/>
    <n v="377407.22"/>
    <n v="301797"/>
    <n v="32.40938233"/>
  </r>
  <r>
    <x v="1"/>
    <x v="8"/>
    <x v="2"/>
    <x v="4"/>
    <n v="3887.34"/>
    <n v="189.66"/>
    <n v="54"/>
    <n v="71.987777780000002"/>
  </r>
  <r>
    <x v="3"/>
    <x v="6"/>
    <x v="4"/>
    <x v="5"/>
    <n v="26157825.739999998"/>
    <n v="1004210.57"/>
    <n v="534099"/>
    <n v="48.975612650000002"/>
  </r>
  <r>
    <x v="0"/>
    <x v="7"/>
    <x v="8"/>
    <x v="1"/>
    <n v="20737662.300000001"/>
    <n v="323237.07"/>
    <n v="197025"/>
    <n v="105.2539642"/>
  </r>
  <r>
    <x v="1"/>
    <x v="2"/>
    <x v="1"/>
    <x v="3"/>
    <n v="8846.57"/>
    <n v="232.44"/>
    <n v="432"/>
    <n v="20.4781713"/>
  </r>
  <r>
    <x v="3"/>
    <x v="0"/>
    <x v="9"/>
    <x v="2"/>
    <n v="12268.08"/>
    <n v="230.55"/>
    <n v="87"/>
    <n v="141.01241379999999"/>
  </r>
  <r>
    <x v="0"/>
    <x v="8"/>
    <x v="0"/>
    <x v="0"/>
    <n v="207.34"/>
    <n v="71.84"/>
    <n v="333"/>
    <n v="0.62264264260000002"/>
  </r>
  <r>
    <x v="1"/>
    <x v="6"/>
    <x v="6"/>
    <x v="3"/>
    <n v="1277.1500000000001"/>
    <n v="31.6"/>
    <n v="104"/>
    <n v="12.28028846"/>
  </r>
  <r>
    <x v="2"/>
    <x v="3"/>
    <x v="1"/>
    <x v="4"/>
    <n v="21792522.239999998"/>
    <n v="755602.37"/>
    <n v="92462"/>
    <n v="235.6916597"/>
  </r>
  <r>
    <x v="1"/>
    <x v="1"/>
    <x v="1"/>
    <x v="7"/>
    <n v="13236472.76"/>
    <n v="408735.7"/>
    <n v="294319"/>
    <n v="44.973218719999998"/>
  </r>
  <r>
    <x v="3"/>
    <x v="6"/>
    <x v="0"/>
    <x v="7"/>
    <n v="90382328.409999996"/>
    <n v="2362147.33"/>
    <n v="781373"/>
    <n v="115.6711691"/>
  </r>
  <r>
    <x v="3"/>
    <x v="3"/>
    <x v="0"/>
    <x v="2"/>
    <n v="559.38"/>
    <n v="19.89"/>
    <n v="2725"/>
    <n v="0.2052770642"/>
  </r>
  <r>
    <x v="0"/>
    <x v="8"/>
    <x v="8"/>
    <x v="8"/>
    <n v="28130.77"/>
    <n v="607.28"/>
    <n v="1585"/>
    <n v="17.74811987"/>
  </r>
  <r>
    <x v="1"/>
    <x v="8"/>
    <x v="4"/>
    <x v="3"/>
    <n v="0"/>
    <n v="0"/>
    <n v="101"/>
    <n v="0"/>
  </r>
  <r>
    <x v="0"/>
    <x v="4"/>
    <x v="7"/>
    <x v="1"/>
    <n v="11544703.41"/>
    <n v="391519.69"/>
    <n v="279539"/>
    <n v="41.299079589999998"/>
  </r>
  <r>
    <x v="1"/>
    <x v="1"/>
    <x v="3"/>
    <x v="7"/>
    <n v="3079919.16"/>
    <n v="82990.820000000007"/>
    <n v="47688"/>
    <n v="64.584783590000001"/>
  </r>
  <r>
    <x v="2"/>
    <x v="6"/>
    <x v="5"/>
    <x v="6"/>
    <n v="539746.74"/>
    <n v="17662.05"/>
    <n v="2649"/>
    <n v="203.7549037"/>
  </r>
  <r>
    <x v="1"/>
    <x v="8"/>
    <x v="4"/>
    <x v="4"/>
    <n v="5455.8"/>
    <n v="151.59"/>
    <n v="47"/>
    <n v="116.0808511"/>
  </r>
  <r>
    <x v="0"/>
    <x v="6"/>
    <x v="8"/>
    <x v="1"/>
    <n v="553417.30000000005"/>
    <n v="10262.969999999999"/>
    <n v="5173"/>
    <n v="106.9818867"/>
  </r>
  <r>
    <x v="3"/>
    <x v="9"/>
    <x v="9"/>
    <x v="8"/>
    <n v="1791.82"/>
    <n v="175.89"/>
    <n v="115"/>
    <n v="15.58104348"/>
  </r>
  <r>
    <x v="0"/>
    <x v="6"/>
    <x v="7"/>
    <x v="1"/>
    <n v="438906.39"/>
    <n v="16358.66"/>
    <n v="14719"/>
    <n v="29.819035939999999"/>
  </r>
  <r>
    <x v="3"/>
    <x v="5"/>
    <x v="0"/>
    <x v="0"/>
    <n v="614112.61"/>
    <n v="22203.39"/>
    <n v="13993"/>
    <n v="43.887129989999998"/>
  </r>
  <r>
    <x v="3"/>
    <x v="3"/>
    <x v="3"/>
    <x v="7"/>
    <n v="338739.89"/>
    <n v="12673.21"/>
    <n v="6473"/>
    <n v="52.331205009999998"/>
  </r>
  <r>
    <x v="2"/>
    <x v="7"/>
    <x v="1"/>
    <x v="5"/>
    <n v="245275534.90000001"/>
    <n v="9094665.3499999996"/>
    <n v="4335586"/>
    <n v="56.572637440000001"/>
  </r>
  <r>
    <x v="3"/>
    <x v="3"/>
    <x v="7"/>
    <x v="5"/>
    <n v="582770113"/>
    <n v="23206163.969999999"/>
    <n v="12425213"/>
    <n v="46.902223159999998"/>
  </r>
  <r>
    <x v="1"/>
    <x v="6"/>
    <x v="5"/>
    <x v="3"/>
    <n v="288.64999999999998"/>
    <n v="7.76"/>
    <n v="28"/>
    <n v="10.308928570000001"/>
  </r>
  <r>
    <x v="2"/>
    <x v="0"/>
    <x v="6"/>
    <x v="4"/>
    <n v="540"/>
    <n v="16.260000000000002"/>
    <n v="2"/>
    <n v="270"/>
  </r>
  <r>
    <x v="3"/>
    <x v="3"/>
    <x v="0"/>
    <x v="0"/>
    <n v="5358400.1100000003"/>
    <n v="184314.2"/>
    <n v="77559"/>
    <n v="69.088050519999996"/>
  </r>
  <r>
    <x v="3"/>
    <x v="5"/>
    <x v="3"/>
    <x v="6"/>
    <n v="336232.92"/>
    <n v="11026.29"/>
    <n v="2778"/>
    <n v="121.03416850000001"/>
  </r>
  <r>
    <x v="3"/>
    <x v="1"/>
    <x v="8"/>
    <x v="3"/>
    <n v="40578621.979999997"/>
    <n v="1176472.9099999999"/>
    <n v="1703302"/>
    <n v="23.823503980000002"/>
  </r>
  <r>
    <x v="2"/>
    <x v="4"/>
    <x v="1"/>
    <x v="3"/>
    <n v="142161.45000000001"/>
    <n v="5085.72"/>
    <n v="10242"/>
    <n v="13.880243119999999"/>
  </r>
  <r>
    <x v="3"/>
    <x v="8"/>
    <x v="6"/>
    <x v="0"/>
    <n v="0"/>
    <n v="0"/>
    <n v="32"/>
    <n v="0"/>
  </r>
  <r>
    <x v="0"/>
    <x v="4"/>
    <x v="9"/>
    <x v="2"/>
    <n v="36607894.119999997"/>
    <n v="1257223.74"/>
    <n v="170130"/>
    <n v="215.17600730000001"/>
  </r>
  <r>
    <x v="1"/>
    <x v="3"/>
    <x v="4"/>
    <x v="1"/>
    <n v="540672.14"/>
    <n v="19206.77"/>
    <n v="10986"/>
    <n v="49.214649549999997"/>
  </r>
  <r>
    <x v="0"/>
    <x v="8"/>
    <x v="4"/>
    <x v="2"/>
    <n v="14839.53"/>
    <n v="431.79"/>
    <n v="637"/>
    <n v="23.295965460000001"/>
  </r>
  <r>
    <x v="2"/>
    <x v="8"/>
    <x v="0"/>
    <x v="2"/>
    <n v="0"/>
    <n v="0"/>
    <n v="257"/>
    <n v="0"/>
  </r>
  <r>
    <x v="0"/>
    <x v="6"/>
    <x v="0"/>
    <x v="4"/>
    <n v="6484031.8099999996"/>
    <n v="202385.14"/>
    <n v="19642"/>
    <n v="330.11056969999999"/>
  </r>
  <r>
    <x v="3"/>
    <x v="4"/>
    <x v="8"/>
    <x v="2"/>
    <n v="285018052.19999999"/>
    <n v="7201845.3499999996"/>
    <n v="451071"/>
    <n v="631.86959960000002"/>
  </r>
  <r>
    <x v="2"/>
    <x v="1"/>
    <x v="0"/>
    <x v="0"/>
    <n v="11683508.18"/>
    <n v="373318.43"/>
    <n v="324824"/>
    <n v="35.968734390000002"/>
  </r>
  <r>
    <x v="0"/>
    <x v="2"/>
    <x v="0"/>
    <x v="1"/>
    <n v="9754.3700000000008"/>
    <n v="288.95"/>
    <n v="1301"/>
    <n v="7.4975941580000001"/>
  </r>
  <r>
    <x v="1"/>
    <x v="3"/>
    <x v="7"/>
    <x v="4"/>
    <n v="30162189.93"/>
    <n v="1119361.97"/>
    <n v="176719"/>
    <n v="170.67881740000001"/>
  </r>
  <r>
    <x v="2"/>
    <x v="3"/>
    <x v="2"/>
    <x v="2"/>
    <n v="43133706.340000004"/>
    <n v="1397046.08"/>
    <n v="186251"/>
    <n v="231.58912620000001"/>
  </r>
  <r>
    <x v="2"/>
    <x v="3"/>
    <x v="6"/>
    <x v="1"/>
    <n v="3534108.9"/>
    <n v="123343.27"/>
    <n v="88817"/>
    <n v="39.790906020000001"/>
  </r>
  <r>
    <x v="1"/>
    <x v="8"/>
    <x v="2"/>
    <x v="2"/>
    <n v="29403.18"/>
    <n v="748.19"/>
    <n v="621"/>
    <n v="47.34811594"/>
  </r>
  <r>
    <x v="3"/>
    <x v="6"/>
    <x v="1"/>
    <x v="5"/>
    <n v="15638485.4"/>
    <n v="627200.88"/>
    <n v="354027"/>
    <n v="44.173143289999999"/>
  </r>
  <r>
    <x v="1"/>
    <x v="8"/>
    <x v="0"/>
    <x v="2"/>
    <n v="15984.77"/>
    <n v="574.48"/>
    <n v="662"/>
    <n v="24.146178249999998"/>
  </r>
  <r>
    <x v="1"/>
    <x v="8"/>
    <x v="3"/>
    <x v="1"/>
    <n v="0"/>
    <n v="0"/>
    <n v="1"/>
    <n v="0"/>
  </r>
  <r>
    <x v="3"/>
    <x v="2"/>
    <x v="7"/>
    <x v="1"/>
    <n v="74557.440000000002"/>
    <n v="2560.2399999999998"/>
    <n v="1271"/>
    <n v="58.660456330000002"/>
  </r>
  <r>
    <x v="2"/>
    <x v="0"/>
    <x v="6"/>
    <x v="5"/>
    <n v="21750.959999999999"/>
    <n v="1041.8499999999999"/>
    <n v="1171"/>
    <n v="18.574688299999998"/>
  </r>
  <r>
    <x v="1"/>
    <x v="7"/>
    <x v="4"/>
    <x v="2"/>
    <n v="273978763.60000002"/>
    <n v="7338362.4100000001"/>
    <n v="1935761"/>
    <n v="141.53542899999999"/>
  </r>
  <r>
    <x v="1"/>
    <x v="6"/>
    <x v="7"/>
    <x v="5"/>
    <n v="25553872.260000002"/>
    <n v="1041607.72"/>
    <n v="640987"/>
    <n v="39.866443869999998"/>
  </r>
  <r>
    <x v="3"/>
    <x v="4"/>
    <x v="3"/>
    <x v="8"/>
    <n v="18236269.149999999"/>
    <n v="633782.38"/>
    <n v="292717"/>
    <n v="62.300000169999997"/>
  </r>
  <r>
    <x v="1"/>
    <x v="8"/>
    <x v="1"/>
    <x v="0"/>
    <n v="-6.83"/>
    <n v="0.65"/>
    <n v="73"/>
    <n v="-9.356164384E-2"/>
  </r>
  <r>
    <x v="1"/>
    <x v="8"/>
    <x v="1"/>
    <x v="7"/>
    <n v="10"/>
    <n v="0.59"/>
    <n v="50"/>
    <n v="0.2"/>
  </r>
  <r>
    <x v="0"/>
    <x v="6"/>
    <x v="6"/>
    <x v="7"/>
    <n v="930936.06"/>
    <n v="26479.13"/>
    <n v="16800"/>
    <n v="55.412860709999997"/>
  </r>
  <r>
    <x v="0"/>
    <x v="4"/>
    <x v="6"/>
    <x v="7"/>
    <n v="45448563.759999998"/>
    <n v="1473799.26"/>
    <n v="817557"/>
    <n v="55.59069736"/>
  </r>
  <r>
    <x v="0"/>
    <x v="9"/>
    <x v="0"/>
    <x v="7"/>
    <n v="27.01"/>
    <n v="2.29"/>
    <n v="5"/>
    <n v="5.4020000000000001"/>
  </r>
  <r>
    <x v="1"/>
    <x v="1"/>
    <x v="0"/>
    <x v="11"/>
    <n v="554406200"/>
    <n v="13923983.640000001"/>
    <n v="813776"/>
    <n v="681.27617429999998"/>
  </r>
  <r>
    <x v="0"/>
    <x v="9"/>
    <x v="0"/>
    <x v="5"/>
    <n v="6263.82"/>
    <n v="231.66"/>
    <n v="111"/>
    <n v="56.430810809999997"/>
  </r>
  <r>
    <x v="1"/>
    <x v="3"/>
    <x v="6"/>
    <x v="6"/>
    <n v="18954464.920000002"/>
    <n v="675014.24"/>
    <n v="90388"/>
    <n v="209.70112090000001"/>
  </r>
  <r>
    <x v="0"/>
    <x v="1"/>
    <x v="8"/>
    <x v="9"/>
    <n v="543442.34"/>
    <n v="11593.04"/>
    <n v="9478"/>
    <n v="57.337237809999998"/>
  </r>
  <r>
    <x v="0"/>
    <x v="8"/>
    <x v="0"/>
    <x v="6"/>
    <n v="10218.799999999999"/>
    <n v="88.36"/>
    <n v="37"/>
    <n v="276.18378380000001"/>
  </r>
  <r>
    <x v="3"/>
    <x v="6"/>
    <x v="8"/>
    <x v="10"/>
    <n v="4552704.82"/>
    <n v="8803.6"/>
    <n v="34872"/>
    <n v="130.55473789999999"/>
  </r>
  <r>
    <x v="0"/>
    <x v="3"/>
    <x v="0"/>
    <x v="2"/>
    <n v="143489.93"/>
    <n v="4841.28"/>
    <n v="11601"/>
    <n v="12.36875528"/>
  </r>
  <r>
    <x v="0"/>
    <x v="7"/>
    <x v="5"/>
    <x v="7"/>
    <n v="28.45"/>
    <n v="1.1299999999999999"/>
    <n v="1"/>
    <n v="28.45"/>
  </r>
  <r>
    <x v="0"/>
    <x v="1"/>
    <x v="4"/>
    <x v="6"/>
    <n v="5814570.96"/>
    <n v="176212.44"/>
    <n v="14117"/>
    <n v="411.884321"/>
  </r>
  <r>
    <x v="1"/>
    <x v="6"/>
    <x v="1"/>
    <x v="1"/>
    <n v="21422.19"/>
    <n v="656.8"/>
    <n v="510"/>
    <n v="42.004294119999997"/>
  </r>
  <r>
    <x v="0"/>
    <x v="8"/>
    <x v="0"/>
    <x v="11"/>
    <n v="22376.86"/>
    <n v="647.80999999999995"/>
    <n v="260"/>
    <n v="86.064846149999994"/>
  </r>
  <r>
    <x v="2"/>
    <x v="8"/>
    <x v="0"/>
    <x v="7"/>
    <n v="0"/>
    <n v="0"/>
    <n v="32407"/>
    <n v="0"/>
  </r>
  <r>
    <x v="1"/>
    <x v="9"/>
    <x v="2"/>
    <x v="1"/>
    <n v="888.32"/>
    <n v="9.01"/>
    <n v="16"/>
    <n v="55.52"/>
  </r>
  <r>
    <x v="1"/>
    <x v="8"/>
    <x v="4"/>
    <x v="5"/>
    <n v="26481.16"/>
    <n v="1407.09"/>
    <n v="636"/>
    <n v="41.637044029999998"/>
  </r>
  <r>
    <x v="0"/>
    <x v="1"/>
    <x v="5"/>
    <x v="2"/>
    <n v="5630270.9500000002"/>
    <n v="191783.02"/>
    <n v="58212"/>
    <n v="96.720108400000001"/>
  </r>
  <r>
    <x v="2"/>
    <x v="2"/>
    <x v="8"/>
    <x v="5"/>
    <n v="214180423.69999999"/>
    <n v="8456613.1500000004"/>
    <n v="5947305"/>
    <n v="36.013021649999999"/>
  </r>
  <r>
    <x v="0"/>
    <x v="8"/>
    <x v="2"/>
    <x v="4"/>
    <n v="8601.8700000000008"/>
    <n v="64.48"/>
    <n v="47"/>
    <n v="183.01851060000001"/>
  </r>
  <r>
    <x v="3"/>
    <x v="4"/>
    <x v="1"/>
    <x v="1"/>
    <n v="21274.97"/>
    <n v="731.52"/>
    <n v="542"/>
    <n v="39.252712180000003"/>
  </r>
  <r>
    <x v="3"/>
    <x v="2"/>
    <x v="0"/>
    <x v="6"/>
    <n v="55452.02"/>
    <n v="911.26"/>
    <n v="892"/>
    <n v="62.165941699999998"/>
  </r>
  <r>
    <x v="1"/>
    <x v="4"/>
    <x v="3"/>
    <x v="6"/>
    <n v="3266790.35"/>
    <n v="102440.49"/>
    <n v="8191"/>
    <n v="398.82680379999999"/>
  </r>
  <r>
    <x v="1"/>
    <x v="8"/>
    <x v="4"/>
    <x v="7"/>
    <n v="28.94"/>
    <n v="9.4"/>
    <n v="38"/>
    <n v="0.76157894739999998"/>
  </r>
  <r>
    <x v="3"/>
    <x v="1"/>
    <x v="3"/>
    <x v="5"/>
    <n v="37327007.979999997"/>
    <n v="996539.75"/>
    <n v="358735"/>
    <n v="104.0517596"/>
  </r>
  <r>
    <x v="0"/>
    <x v="8"/>
    <x v="8"/>
    <x v="6"/>
    <n v="9904.66"/>
    <n v="286.85000000000002"/>
    <n v="48"/>
    <n v="206.34708330000001"/>
  </r>
  <r>
    <x v="3"/>
    <x v="1"/>
    <x v="0"/>
    <x v="11"/>
    <n v="301517581.89999998"/>
    <n v="7166373.9400000004"/>
    <n v="472506"/>
    <n v="638.12434540000004"/>
  </r>
  <r>
    <x v="0"/>
    <x v="1"/>
    <x v="1"/>
    <x v="4"/>
    <n v="3835909.7"/>
    <n v="135324.82"/>
    <n v="14178"/>
    <n v="270.5536535"/>
  </r>
  <r>
    <x v="0"/>
    <x v="7"/>
    <x v="4"/>
    <x v="5"/>
    <n v="564116818.20000005"/>
    <n v="20711930.050000001"/>
    <n v="8788768"/>
    <n v="64.186108700000005"/>
  </r>
  <r>
    <x v="3"/>
    <x v="1"/>
    <x v="4"/>
    <x v="7"/>
    <n v="13626207.060000001"/>
    <n v="435587.33"/>
    <n v="378694"/>
    <n v="35.982104440000001"/>
  </r>
  <r>
    <x v="0"/>
    <x v="4"/>
    <x v="5"/>
    <x v="0"/>
    <n v="41706144.759999998"/>
    <n v="1399244.26"/>
    <n v="893018"/>
    <n v="46.702468209999999"/>
  </r>
  <r>
    <x v="3"/>
    <x v="1"/>
    <x v="6"/>
    <x v="2"/>
    <n v="6582843.2800000003"/>
    <n v="200977.71"/>
    <n v="35684"/>
    <n v="184.47604749999999"/>
  </r>
  <r>
    <x v="2"/>
    <x v="3"/>
    <x v="0"/>
    <x v="6"/>
    <n v="118100.53"/>
    <n v="1903.2"/>
    <n v="760"/>
    <n v="155.39543420000001"/>
  </r>
  <r>
    <x v="0"/>
    <x v="3"/>
    <x v="2"/>
    <x v="4"/>
    <n v="36412555.039999999"/>
    <n v="1251808.18"/>
    <n v="112409"/>
    <n v="323.9291786"/>
  </r>
  <r>
    <x v="3"/>
    <x v="4"/>
    <x v="4"/>
    <x v="5"/>
    <n v="697897438.79999995"/>
    <n v="23358704.109999999"/>
    <n v="10181455"/>
    <n v="68.545943460000004"/>
  </r>
  <r>
    <x v="3"/>
    <x v="3"/>
    <x v="2"/>
    <x v="5"/>
    <n v="234383255.69999999"/>
    <n v="8698233.3200000003"/>
    <n v="3647470"/>
    <n v="64.259131850000003"/>
  </r>
  <r>
    <x v="3"/>
    <x v="2"/>
    <x v="2"/>
    <x v="7"/>
    <n v="447921.91999999998"/>
    <n v="17627.68"/>
    <n v="11103"/>
    <n v="40.342422769999999"/>
  </r>
  <r>
    <x v="3"/>
    <x v="6"/>
    <x v="2"/>
    <x v="1"/>
    <n v="4849.6000000000004"/>
    <n v="92.29"/>
    <n v="48"/>
    <n v="101.0333333"/>
  </r>
  <r>
    <x v="1"/>
    <x v="6"/>
    <x v="2"/>
    <x v="1"/>
    <n v="11717.73"/>
    <n v="360.11"/>
    <n v="216"/>
    <n v="54.248750000000001"/>
  </r>
  <r>
    <x v="1"/>
    <x v="3"/>
    <x v="0"/>
    <x v="4"/>
    <n v="23151901.48"/>
    <n v="755717.83"/>
    <n v="73044"/>
    <n v="316.95829199999997"/>
  </r>
  <r>
    <x v="3"/>
    <x v="6"/>
    <x v="6"/>
    <x v="4"/>
    <n v="1592377.91"/>
    <n v="52815.74"/>
    <n v="7303"/>
    <n v="218.044353"/>
  </r>
  <r>
    <x v="3"/>
    <x v="2"/>
    <x v="2"/>
    <x v="6"/>
    <n v="9790537.7799999993"/>
    <n v="309740.38"/>
    <n v="38573"/>
    <n v="253.81841650000001"/>
  </r>
  <r>
    <x v="1"/>
    <x v="3"/>
    <x v="2"/>
    <x v="5"/>
    <n v="238319148.19999999"/>
    <n v="8947092.3100000005"/>
    <n v="3723283"/>
    <n v="64.007798539999996"/>
  </r>
  <r>
    <x v="3"/>
    <x v="8"/>
    <x v="0"/>
    <x v="4"/>
    <n v="5517.25"/>
    <n v="54.05"/>
    <n v="86"/>
    <n v="64.154069770000007"/>
  </r>
  <r>
    <x v="0"/>
    <x v="2"/>
    <x v="9"/>
    <x v="1"/>
    <n v="4979132.3499999996"/>
    <n v="169001.93"/>
    <n v="153716"/>
    <n v="32.391763709999999"/>
  </r>
  <r>
    <x v="2"/>
    <x v="2"/>
    <x v="1"/>
    <x v="8"/>
    <n v="71275781.859999999"/>
    <n v="2653777.14"/>
    <n v="1355157"/>
    <n v="52.595958889999999"/>
  </r>
  <r>
    <x v="0"/>
    <x v="4"/>
    <x v="1"/>
    <x v="3"/>
    <n v="139835.07"/>
    <n v="6290.7"/>
    <n v="11178"/>
    <n v="12.50984702"/>
  </r>
  <r>
    <x v="0"/>
    <x v="2"/>
    <x v="2"/>
    <x v="4"/>
    <n v="26451048.530000001"/>
    <n v="876195.9"/>
    <n v="100205"/>
    <n v="263.96934809999999"/>
  </r>
  <r>
    <x v="3"/>
    <x v="7"/>
    <x v="5"/>
    <x v="2"/>
    <n v="71453974.640000001"/>
    <n v="2284991.83"/>
    <n v="823711"/>
    <n v="86.746413050000001"/>
  </r>
  <r>
    <x v="2"/>
    <x v="7"/>
    <x v="0"/>
    <x v="2"/>
    <n v="24565.38"/>
    <n v="840.82"/>
    <n v="8913"/>
    <n v="2.7561292489999998"/>
  </r>
  <r>
    <x v="2"/>
    <x v="3"/>
    <x v="9"/>
    <x v="7"/>
    <n v="9061886.1300000008"/>
    <n v="334473.84000000003"/>
    <n v="181199"/>
    <n v="50.010685100000003"/>
  </r>
  <r>
    <x v="1"/>
    <x v="8"/>
    <x v="9"/>
    <x v="2"/>
    <n v="26788.16"/>
    <n v="839.59"/>
    <n v="728"/>
    <n v="36.796923079999999"/>
  </r>
  <r>
    <x v="0"/>
    <x v="8"/>
    <x v="3"/>
    <x v="4"/>
    <n v="3838.25"/>
    <n v="73.540000000000006"/>
    <n v="26"/>
    <n v="147.625"/>
  </r>
  <r>
    <x v="1"/>
    <x v="4"/>
    <x v="4"/>
    <x v="5"/>
    <n v="757249115.29999995"/>
    <n v="26227431.829999998"/>
    <n v="11176303"/>
    <n v="67.754884180000005"/>
  </r>
  <r>
    <x v="2"/>
    <x v="1"/>
    <x v="0"/>
    <x v="7"/>
    <n v="3116908206"/>
    <n v="77549652.930000007"/>
    <n v="26687723"/>
    <n v="116.79183740000001"/>
  </r>
  <r>
    <x v="3"/>
    <x v="4"/>
    <x v="3"/>
    <x v="1"/>
    <n v="1876.32"/>
    <n v="56.71"/>
    <n v="37"/>
    <n v="50.711351350000001"/>
  </r>
  <r>
    <x v="0"/>
    <x v="3"/>
    <x v="4"/>
    <x v="8"/>
    <n v="228165135.30000001"/>
    <n v="8454635.0399999991"/>
    <n v="3958045"/>
    <n v="57.645917449999999"/>
  </r>
  <r>
    <x v="2"/>
    <x v="6"/>
    <x v="8"/>
    <x v="1"/>
    <n v="106330.5"/>
    <n v="2491.12"/>
    <n v="1303"/>
    <n v="81.604374519999993"/>
  </r>
  <r>
    <x v="2"/>
    <x v="4"/>
    <x v="2"/>
    <x v="5"/>
    <n v="291682360.30000001"/>
    <n v="9788695.8399999999"/>
    <n v="3796802"/>
    <n v="76.823168620000004"/>
  </r>
  <r>
    <x v="2"/>
    <x v="7"/>
    <x v="6"/>
    <x v="5"/>
    <n v="690358496.5"/>
    <n v="25548780.329999998"/>
    <n v="12023971"/>
    <n v="57.415183089999999"/>
  </r>
  <r>
    <x v="3"/>
    <x v="1"/>
    <x v="8"/>
    <x v="0"/>
    <n v="106915199.7"/>
    <n v="2286226.94"/>
    <n v="968854"/>
    <n v="110.3522303"/>
  </r>
  <r>
    <x v="3"/>
    <x v="1"/>
    <x v="0"/>
    <x v="0"/>
    <n v="2547782.2999999998"/>
    <n v="113308.65"/>
    <n v="158121"/>
    <n v="16.112864829999999"/>
  </r>
  <r>
    <x v="3"/>
    <x v="0"/>
    <x v="8"/>
    <x v="5"/>
    <n v="10200.26"/>
    <n v="327.92"/>
    <n v="135"/>
    <n v="75.557481480000007"/>
  </r>
  <r>
    <x v="0"/>
    <x v="5"/>
    <x v="7"/>
    <x v="3"/>
    <n v="199.9"/>
    <n v="5.65"/>
    <n v="16"/>
    <n v="12.49375"/>
  </r>
  <r>
    <x v="1"/>
    <x v="4"/>
    <x v="4"/>
    <x v="7"/>
    <n v="21896314.27"/>
    <n v="713618.17"/>
    <n v="377481"/>
    <n v="58.00640104"/>
  </r>
  <r>
    <x v="0"/>
    <x v="6"/>
    <x v="5"/>
    <x v="5"/>
    <n v="14929916.859999999"/>
    <n v="633839.86"/>
    <n v="493193"/>
    <n v="30.27195613"/>
  </r>
  <r>
    <x v="3"/>
    <x v="4"/>
    <x v="7"/>
    <x v="2"/>
    <n v="27138704.309999999"/>
    <n v="940362.85"/>
    <n v="154814"/>
    <n v="175.29877339999999"/>
  </r>
  <r>
    <x v="3"/>
    <x v="7"/>
    <x v="8"/>
    <x v="5"/>
    <n v="625555700.29999995"/>
    <n v="21326804.149999999"/>
    <n v="7832037"/>
    <n v="79.871392369999995"/>
  </r>
  <r>
    <x v="0"/>
    <x v="2"/>
    <x v="3"/>
    <x v="7"/>
    <n v="263081.28000000003"/>
    <n v="10357.27"/>
    <n v="5838"/>
    <n v="45.063597119999997"/>
  </r>
  <r>
    <x v="2"/>
    <x v="2"/>
    <x v="8"/>
    <x v="1"/>
    <n v="1635533.98"/>
    <n v="31790.29"/>
    <n v="24055"/>
    <n v="67.991435460000005"/>
  </r>
  <r>
    <x v="0"/>
    <x v="5"/>
    <x v="4"/>
    <x v="9"/>
    <n v="13928.82"/>
    <n v="545.83000000000004"/>
    <n v="477"/>
    <n v="29.2008805"/>
  </r>
  <r>
    <x v="2"/>
    <x v="4"/>
    <x v="0"/>
    <x v="7"/>
    <n v="1293304774"/>
    <n v="35370754.75"/>
    <n v="14819598"/>
    <n v="87.269895869999999"/>
  </r>
  <r>
    <x v="0"/>
    <x v="4"/>
    <x v="3"/>
    <x v="7"/>
    <n v="3618603.43"/>
    <n v="121380.47"/>
    <n v="56479"/>
    <n v="64.069891999999996"/>
  </r>
  <r>
    <x v="1"/>
    <x v="8"/>
    <x v="1"/>
    <x v="6"/>
    <n v="4610.37"/>
    <n v="132.94"/>
    <n v="52"/>
    <n v="88.660961540000002"/>
  </r>
  <r>
    <x v="3"/>
    <x v="4"/>
    <x v="8"/>
    <x v="3"/>
    <n v="1608360.57"/>
    <n v="54570.13"/>
    <n v="80369"/>
    <n v="20.012200849999999"/>
  </r>
  <r>
    <x v="1"/>
    <x v="2"/>
    <x v="5"/>
    <x v="8"/>
    <n v="22314918.059999999"/>
    <n v="970125.46"/>
    <n v="735442"/>
    <n v="30.342186139999999"/>
  </r>
  <r>
    <x v="3"/>
    <x v="3"/>
    <x v="0"/>
    <x v="3"/>
    <n v="91.36"/>
    <n v="7.26"/>
    <n v="351"/>
    <n v="0.26028490030000001"/>
  </r>
  <r>
    <x v="1"/>
    <x v="7"/>
    <x v="9"/>
    <x v="1"/>
    <n v="1417211.96"/>
    <n v="37091.339999999997"/>
    <n v="16860"/>
    <n v="84.057648869999994"/>
  </r>
  <r>
    <x v="0"/>
    <x v="8"/>
    <x v="5"/>
    <x v="2"/>
    <n v="13462.44"/>
    <n v="717.87"/>
    <n v="150"/>
    <n v="89.749600000000001"/>
  </r>
  <r>
    <x v="1"/>
    <x v="0"/>
    <x v="1"/>
    <x v="6"/>
    <n v="757.45"/>
    <n v="22.27"/>
    <n v="1"/>
    <n v="757.45"/>
  </r>
  <r>
    <x v="2"/>
    <x v="8"/>
    <x v="5"/>
    <x v="0"/>
    <n v="-16"/>
    <n v="0"/>
    <n v="24"/>
    <n v="-0.66666666669999997"/>
  </r>
  <r>
    <x v="1"/>
    <x v="2"/>
    <x v="2"/>
    <x v="3"/>
    <n v="13152.42"/>
    <n v="364.12"/>
    <n v="607"/>
    <n v="21.66790774"/>
  </r>
  <r>
    <x v="1"/>
    <x v="5"/>
    <x v="7"/>
    <x v="8"/>
    <n v="2081143.04"/>
    <n v="91139.94"/>
    <n v="86451"/>
    <n v="24.073093889999999"/>
  </r>
  <r>
    <x v="0"/>
    <x v="1"/>
    <x v="3"/>
    <x v="8"/>
    <n v="15177115.02"/>
    <n v="480190.77"/>
    <n v="246813"/>
    <n v="61.49236475"/>
  </r>
  <r>
    <x v="3"/>
    <x v="5"/>
    <x v="7"/>
    <x v="1"/>
    <n v="3615.65"/>
    <n v="159.03"/>
    <n v="309"/>
    <n v="11.70113269"/>
  </r>
  <r>
    <x v="2"/>
    <x v="6"/>
    <x v="8"/>
    <x v="6"/>
    <n v="7083757.21"/>
    <n v="199619.87"/>
    <n v="10503"/>
    <n v="674.45084359999998"/>
  </r>
  <r>
    <x v="1"/>
    <x v="2"/>
    <x v="1"/>
    <x v="1"/>
    <n v="170553.43"/>
    <n v="6868.21"/>
    <n v="6257"/>
    <n v="27.258019820000001"/>
  </r>
  <r>
    <x v="0"/>
    <x v="4"/>
    <x v="3"/>
    <x v="1"/>
    <n v="433161.28"/>
    <n v="13147.45"/>
    <n v="8200"/>
    <n v="52.824546339999998"/>
  </r>
  <r>
    <x v="0"/>
    <x v="1"/>
    <x v="3"/>
    <x v="4"/>
    <n v="1411466.96"/>
    <n v="44275.5"/>
    <n v="3014"/>
    <n v="468.30356999999998"/>
  </r>
  <r>
    <x v="1"/>
    <x v="8"/>
    <x v="0"/>
    <x v="8"/>
    <n v="6466.69"/>
    <n v="289.61"/>
    <n v="913"/>
    <n v="7.0829025190000001"/>
  </r>
  <r>
    <x v="0"/>
    <x v="6"/>
    <x v="6"/>
    <x v="5"/>
    <n v="18328426.5"/>
    <n v="731631.27"/>
    <n v="491107"/>
    <n v="37.320637869999999"/>
  </r>
  <r>
    <x v="1"/>
    <x v="3"/>
    <x v="8"/>
    <x v="7"/>
    <n v="3292111.04"/>
    <n v="120162.66"/>
    <n v="54386"/>
    <n v="60.532325229999998"/>
  </r>
  <r>
    <x v="0"/>
    <x v="9"/>
    <x v="6"/>
    <x v="7"/>
    <n v="441.42"/>
    <n v="23.38"/>
    <n v="24"/>
    <n v="18.392499999999998"/>
  </r>
  <r>
    <x v="1"/>
    <x v="9"/>
    <x v="8"/>
    <x v="8"/>
    <n v="6960.84"/>
    <n v="212.94"/>
    <n v="120"/>
    <n v="58.006999999999998"/>
  </r>
  <r>
    <x v="3"/>
    <x v="7"/>
    <x v="3"/>
    <x v="1"/>
    <n v="25539.71"/>
    <n v="608.58000000000004"/>
    <n v="410"/>
    <n v="62.291975610000001"/>
  </r>
  <r>
    <x v="2"/>
    <x v="6"/>
    <x v="4"/>
    <x v="4"/>
    <n v="3464509.06"/>
    <n v="110331.14"/>
    <n v="10175"/>
    <n v="340.4922909"/>
  </r>
  <r>
    <x v="3"/>
    <x v="3"/>
    <x v="0"/>
    <x v="8"/>
    <n v="380931608.89999998"/>
    <n v="12804965.529999999"/>
    <n v="4311068"/>
    <n v="88.361308350000002"/>
  </r>
  <r>
    <x v="2"/>
    <x v="1"/>
    <x v="2"/>
    <x v="2"/>
    <n v="3207348.97"/>
    <n v="103371.92"/>
    <n v="22093"/>
    <n v="145.17489570000001"/>
  </r>
  <r>
    <x v="3"/>
    <x v="6"/>
    <x v="0"/>
    <x v="4"/>
    <n v="4260079.08"/>
    <n v="133730.5"/>
    <n v="14981"/>
    <n v="284.36546829999997"/>
  </r>
  <r>
    <x v="3"/>
    <x v="7"/>
    <x v="3"/>
    <x v="4"/>
    <n v="7894780.0499999998"/>
    <n v="246912.18"/>
    <n v="34202"/>
    <n v="230.82802319999999"/>
  </r>
  <r>
    <x v="3"/>
    <x v="4"/>
    <x v="0"/>
    <x v="1"/>
    <n v="-29.18"/>
    <n v="0.87"/>
    <n v="9"/>
    <n v="-3.2422222220000001"/>
  </r>
  <r>
    <x v="2"/>
    <x v="0"/>
    <x v="7"/>
    <x v="2"/>
    <n v="1129.8699999999999"/>
    <n v="25.23"/>
    <n v="19"/>
    <n v="59.466842110000002"/>
  </r>
  <r>
    <x v="2"/>
    <x v="4"/>
    <x v="1"/>
    <x v="2"/>
    <n v="13350850.130000001"/>
    <n v="500823.17"/>
    <n v="87254"/>
    <n v="153.01132480000001"/>
  </r>
  <r>
    <x v="1"/>
    <x v="3"/>
    <x v="4"/>
    <x v="6"/>
    <n v="21102844.559999999"/>
    <n v="730874.02"/>
    <n v="88310"/>
    <n v="238.96324949999999"/>
  </r>
  <r>
    <x v="3"/>
    <x v="6"/>
    <x v="2"/>
    <x v="6"/>
    <n v="2140003.25"/>
    <n v="66054.37"/>
    <n v="5455"/>
    <n v="392.30123739999999"/>
  </r>
  <r>
    <x v="0"/>
    <x v="5"/>
    <x v="3"/>
    <x v="9"/>
    <n v="266.41000000000003"/>
    <n v="9.9499999999999993"/>
    <n v="10"/>
    <n v="26.640999999999998"/>
  </r>
  <r>
    <x v="0"/>
    <x v="1"/>
    <x v="4"/>
    <x v="2"/>
    <n v="8832671.0800000001"/>
    <n v="293723.05"/>
    <n v="58366"/>
    <n v="151.33247230000001"/>
  </r>
  <r>
    <x v="2"/>
    <x v="4"/>
    <x v="3"/>
    <x v="1"/>
    <n v="114995.8"/>
    <n v="3340.48"/>
    <n v="2269"/>
    <n v="50.681269280000002"/>
  </r>
  <r>
    <x v="0"/>
    <x v="0"/>
    <x v="2"/>
    <x v="0"/>
    <n v="201.5"/>
    <n v="8.42"/>
    <n v="2"/>
    <n v="100.75"/>
  </r>
  <r>
    <x v="0"/>
    <x v="1"/>
    <x v="7"/>
    <x v="5"/>
    <n v="325669167.10000002"/>
    <n v="9374595.9000000004"/>
    <n v="6299525"/>
    <n v="51.697416410000002"/>
  </r>
  <r>
    <x v="1"/>
    <x v="5"/>
    <x v="8"/>
    <x v="1"/>
    <n v="42403.48"/>
    <n v="1345.29"/>
    <n v="558"/>
    <n v="75.99189964"/>
  </r>
  <r>
    <x v="2"/>
    <x v="7"/>
    <x v="3"/>
    <x v="1"/>
    <n v="373244.86"/>
    <n v="8905.94"/>
    <n v="4290"/>
    <n v="87.003463870000004"/>
  </r>
  <r>
    <x v="2"/>
    <x v="1"/>
    <x v="7"/>
    <x v="0"/>
    <n v="332007441.60000002"/>
    <n v="7142547.9800000004"/>
    <n v="5091837"/>
    <n v="65.203862889999996"/>
  </r>
  <r>
    <x v="3"/>
    <x v="6"/>
    <x v="7"/>
    <x v="4"/>
    <n v="1039771.24"/>
    <n v="34974.31"/>
    <n v="5289"/>
    <n v="196.5912725"/>
  </r>
  <r>
    <x v="3"/>
    <x v="2"/>
    <x v="1"/>
    <x v="1"/>
    <n v="43723.26"/>
    <n v="1563.74"/>
    <n v="819"/>
    <n v="53.386153849999999"/>
  </r>
  <r>
    <x v="1"/>
    <x v="3"/>
    <x v="6"/>
    <x v="3"/>
    <n v="187601.21"/>
    <n v="5803.07"/>
    <n v="10755"/>
    <n v="17.44316225"/>
  </r>
  <r>
    <x v="2"/>
    <x v="2"/>
    <x v="0"/>
    <x v="1"/>
    <n v="2647.6"/>
    <n v="105.02"/>
    <n v="440"/>
    <n v="6.0172727269999999"/>
  </r>
  <r>
    <x v="3"/>
    <x v="6"/>
    <x v="5"/>
    <x v="2"/>
    <n v="1770238.93"/>
    <n v="58545.36"/>
    <n v="29008"/>
    <n v="61.025886999999997"/>
  </r>
  <r>
    <x v="0"/>
    <x v="1"/>
    <x v="2"/>
    <x v="1"/>
    <n v="2473813.35"/>
    <n v="80613.75"/>
    <n v="304921"/>
    <n v="8.1129648339999996"/>
  </r>
  <r>
    <x v="3"/>
    <x v="6"/>
    <x v="5"/>
    <x v="7"/>
    <n v="78686.7"/>
    <n v="2820.24"/>
    <n v="1506"/>
    <n v="52.24880478"/>
  </r>
  <r>
    <x v="2"/>
    <x v="8"/>
    <x v="2"/>
    <x v="7"/>
    <n v="-99.45"/>
    <n v="0.01"/>
    <n v="24"/>
    <n v="-4.1437499999999998"/>
  </r>
  <r>
    <x v="3"/>
    <x v="8"/>
    <x v="7"/>
    <x v="6"/>
    <n v="2993.95"/>
    <n v="82.19"/>
    <n v="11"/>
    <n v="272.1772727"/>
  </r>
  <r>
    <x v="3"/>
    <x v="3"/>
    <x v="2"/>
    <x v="0"/>
    <n v="6356529.6200000001"/>
    <n v="225791.94"/>
    <n v="108714"/>
    <n v="58.470202729999997"/>
  </r>
  <r>
    <x v="0"/>
    <x v="9"/>
    <x v="5"/>
    <x v="8"/>
    <n v="186.33"/>
    <n v="25.51"/>
    <n v="31"/>
    <n v="6.0106451610000002"/>
  </r>
  <r>
    <x v="1"/>
    <x v="9"/>
    <x v="9"/>
    <x v="2"/>
    <n v="89677.6"/>
    <n v="1129.29"/>
    <n v="466"/>
    <n v="192.44120169999999"/>
  </r>
  <r>
    <x v="0"/>
    <x v="8"/>
    <x v="9"/>
    <x v="8"/>
    <n v="36362.089999999997"/>
    <n v="1428.41"/>
    <n v="1655"/>
    <n v="21.971051360000001"/>
  </r>
  <r>
    <x v="0"/>
    <x v="7"/>
    <x v="9"/>
    <x v="1"/>
    <n v="22267288.25"/>
    <n v="539351.61"/>
    <n v="300123"/>
    <n v="74.193874679999993"/>
  </r>
  <r>
    <x v="0"/>
    <x v="0"/>
    <x v="8"/>
    <x v="8"/>
    <n v="909.07"/>
    <n v="32.49"/>
    <n v="21"/>
    <n v="43.289047619999998"/>
  </r>
  <r>
    <x v="1"/>
    <x v="6"/>
    <x v="5"/>
    <x v="2"/>
    <n v="1831933.62"/>
    <n v="60646.71"/>
    <n v="24264"/>
    <n v="75.500066770000004"/>
  </r>
  <r>
    <x v="1"/>
    <x v="6"/>
    <x v="9"/>
    <x v="7"/>
    <n v="510123.43"/>
    <n v="17556.37"/>
    <n v="8333"/>
    <n v="61.217260289999999"/>
  </r>
  <r>
    <x v="0"/>
    <x v="1"/>
    <x v="0"/>
    <x v="0"/>
    <n v="8400216.4600000009"/>
    <n v="262827.61"/>
    <n v="210287"/>
    <n v="39.946437299999999"/>
  </r>
  <r>
    <x v="1"/>
    <x v="6"/>
    <x v="0"/>
    <x v="6"/>
    <n v="28482.27"/>
    <n v="453.98"/>
    <n v="201"/>
    <n v="141.7028358"/>
  </r>
  <r>
    <x v="2"/>
    <x v="1"/>
    <x v="9"/>
    <x v="7"/>
    <n v="52948825.920000002"/>
    <n v="1509970.72"/>
    <n v="999609"/>
    <n v="52.969537010000003"/>
  </r>
  <r>
    <x v="3"/>
    <x v="1"/>
    <x v="9"/>
    <x v="2"/>
    <n v="6415032.7000000002"/>
    <n v="196631.4"/>
    <n v="34452"/>
    <n v="186.20204050000001"/>
  </r>
  <r>
    <x v="0"/>
    <x v="5"/>
    <x v="3"/>
    <x v="7"/>
    <n v="12029.09"/>
    <n v="490.35"/>
    <n v="444"/>
    <n v="27.092545049999998"/>
  </r>
  <r>
    <x v="0"/>
    <x v="7"/>
    <x v="9"/>
    <x v="7"/>
    <n v="88.47"/>
    <n v="8.26"/>
    <n v="17"/>
    <n v="5.2041176470000003"/>
  </r>
  <r>
    <x v="2"/>
    <x v="2"/>
    <x v="0"/>
    <x v="2"/>
    <n v="37006.51"/>
    <n v="1346.97"/>
    <n v="9601"/>
    <n v="3.8544432870000001"/>
  </r>
  <r>
    <x v="2"/>
    <x v="2"/>
    <x v="3"/>
    <x v="5"/>
    <n v="20038813.09"/>
    <n v="777215.19"/>
    <n v="483848"/>
    <n v="41.415512909999997"/>
  </r>
  <r>
    <x v="1"/>
    <x v="5"/>
    <x v="2"/>
    <x v="3"/>
    <n v="365.91"/>
    <n v="10.08"/>
    <n v="86"/>
    <n v="4.2547674420000003"/>
  </r>
  <r>
    <x v="1"/>
    <x v="2"/>
    <x v="9"/>
    <x v="7"/>
    <n v="1484061.68"/>
    <n v="58763.28"/>
    <n v="37677"/>
    <n v="39.389061759999997"/>
  </r>
  <r>
    <x v="2"/>
    <x v="3"/>
    <x v="8"/>
    <x v="2"/>
    <n v="429565497.39999998"/>
    <n v="10648873.529999999"/>
    <n v="1090261"/>
    <n v="394.00244290000001"/>
  </r>
  <r>
    <x v="3"/>
    <x v="9"/>
    <x v="2"/>
    <x v="8"/>
    <n v="813.55"/>
    <n v="102.61"/>
    <n v="73"/>
    <n v="11.144520549999999"/>
  </r>
  <r>
    <x v="0"/>
    <x v="4"/>
    <x v="0"/>
    <x v="2"/>
    <n v="109464.51"/>
    <n v="2556.4499999999998"/>
    <n v="3258"/>
    <n v="33.59868324"/>
  </r>
  <r>
    <x v="0"/>
    <x v="7"/>
    <x v="0"/>
    <x v="4"/>
    <n v="39645668.649999999"/>
    <n v="1284333.28"/>
    <n v="174756"/>
    <n v="226.86298980000001"/>
  </r>
  <r>
    <x v="3"/>
    <x v="2"/>
    <x v="1"/>
    <x v="6"/>
    <n v="11204257.42"/>
    <n v="367647.82"/>
    <n v="43544"/>
    <n v="257.30886959999998"/>
  </r>
  <r>
    <x v="3"/>
    <x v="1"/>
    <x v="3"/>
    <x v="4"/>
    <n v="806169.02"/>
    <n v="21220.99"/>
    <n v="1755"/>
    <n v="459.35556700000001"/>
  </r>
  <r>
    <x v="0"/>
    <x v="4"/>
    <x v="2"/>
    <x v="6"/>
    <n v="12592685.560000001"/>
    <n v="424632.45"/>
    <n v="31847"/>
    <n v="395.41198730000002"/>
  </r>
  <r>
    <x v="3"/>
    <x v="6"/>
    <x v="6"/>
    <x v="0"/>
    <n v="4583650.55"/>
    <n v="97105.72"/>
    <n v="63483"/>
    <n v="72.202803110000005"/>
  </r>
  <r>
    <x v="3"/>
    <x v="1"/>
    <x v="6"/>
    <x v="8"/>
    <n v="88194582.870000005"/>
    <n v="2886450.73"/>
    <n v="1735830"/>
    <n v="50.808306610000002"/>
  </r>
  <r>
    <x v="1"/>
    <x v="8"/>
    <x v="2"/>
    <x v="6"/>
    <n v="836.31"/>
    <n v="28"/>
    <n v="23"/>
    <n v="36.361304349999997"/>
  </r>
  <r>
    <x v="2"/>
    <x v="2"/>
    <x v="0"/>
    <x v="8"/>
    <n v="344005.83"/>
    <n v="9648.41"/>
    <n v="55652"/>
    <n v="6.1813740749999999"/>
  </r>
  <r>
    <x v="1"/>
    <x v="0"/>
    <x v="1"/>
    <x v="2"/>
    <n v="2440.92"/>
    <n v="130.08000000000001"/>
    <n v="22"/>
    <n v="110.9509091"/>
  </r>
  <r>
    <x v="0"/>
    <x v="8"/>
    <x v="2"/>
    <x v="8"/>
    <n v="25581.07"/>
    <n v="1059.67"/>
    <n v="1118"/>
    <n v="22.881100180000001"/>
  </r>
  <r>
    <x v="1"/>
    <x v="9"/>
    <x v="4"/>
    <x v="2"/>
    <n v="65597.61"/>
    <n v="1253.83"/>
    <n v="433"/>
    <n v="151.49563509999999"/>
  </r>
  <r>
    <x v="2"/>
    <x v="5"/>
    <x v="5"/>
    <x v="8"/>
    <n v="1572011.2"/>
    <n v="71075.47"/>
    <n v="108040"/>
    <n v="14.55027027"/>
  </r>
  <r>
    <x v="0"/>
    <x v="2"/>
    <x v="0"/>
    <x v="1"/>
    <n v="9.8000000000000007"/>
    <n v="0.57999999999999996"/>
    <n v="1"/>
    <n v="9.8000000000000007"/>
  </r>
  <r>
    <x v="3"/>
    <x v="7"/>
    <x v="9"/>
    <x v="1"/>
    <n v="351844.47"/>
    <n v="7862.26"/>
    <n v="3973"/>
    <n v="88.558890009999999"/>
  </r>
  <r>
    <x v="2"/>
    <x v="5"/>
    <x v="0"/>
    <x v="11"/>
    <n v="2824444.24"/>
    <n v="99278.23"/>
    <n v="38906"/>
    <n v="72.596623660000006"/>
  </r>
  <r>
    <x v="0"/>
    <x v="6"/>
    <x v="6"/>
    <x v="8"/>
    <n v="11504556.449999999"/>
    <n v="415567.67"/>
    <n v="222107"/>
    <n v="51.797360959999999"/>
  </r>
  <r>
    <x v="2"/>
    <x v="3"/>
    <x v="7"/>
    <x v="1"/>
    <n v="2844680.82"/>
    <n v="95624.57"/>
    <n v="70499"/>
    <n v="40.350654900000002"/>
  </r>
  <r>
    <x v="3"/>
    <x v="2"/>
    <x v="6"/>
    <x v="0"/>
    <n v="3136599.2"/>
    <n v="116552.15"/>
    <n v="60208"/>
    <n v="52.096053679999997"/>
  </r>
  <r>
    <x v="2"/>
    <x v="5"/>
    <x v="0"/>
    <x v="4"/>
    <n v="15722.61"/>
    <n v="262.04000000000002"/>
    <n v="280"/>
    <n v="56.152178569999997"/>
  </r>
  <r>
    <x v="0"/>
    <x v="3"/>
    <x v="8"/>
    <x v="7"/>
    <n v="5942289.4500000002"/>
    <n v="208824.8"/>
    <n v="96969"/>
    <n v="61.280300410000002"/>
  </r>
  <r>
    <x v="1"/>
    <x v="7"/>
    <x v="3"/>
    <x v="4"/>
    <n v="11777881.109999999"/>
    <n v="373807.23"/>
    <n v="49991"/>
    <n v="235.60003019999999"/>
  </r>
  <r>
    <x v="3"/>
    <x v="9"/>
    <x v="5"/>
    <x v="5"/>
    <n v="60340.03"/>
    <n v="1926.92"/>
    <n v="1170"/>
    <n v="51.57267521"/>
  </r>
  <r>
    <x v="0"/>
    <x v="2"/>
    <x v="1"/>
    <x v="0"/>
    <n v="9768753.7699999996"/>
    <n v="391754"/>
    <n v="251294"/>
    <n v="38.873804270000001"/>
  </r>
  <r>
    <x v="2"/>
    <x v="8"/>
    <x v="7"/>
    <x v="1"/>
    <n v="13.79"/>
    <n v="1"/>
    <n v="6"/>
    <n v="2.298333333"/>
  </r>
  <r>
    <x v="2"/>
    <x v="4"/>
    <x v="7"/>
    <x v="4"/>
    <n v="26429464.550000001"/>
    <n v="915361.17"/>
    <n v="117973"/>
    <n v="224.02977419999999"/>
  </r>
  <r>
    <x v="0"/>
    <x v="1"/>
    <x v="2"/>
    <x v="7"/>
    <n v="32084402.59"/>
    <n v="944008.43"/>
    <n v="544495"/>
    <n v="58.92506376"/>
  </r>
  <r>
    <x v="2"/>
    <x v="3"/>
    <x v="0"/>
    <x v="5"/>
    <n v="992708.97"/>
    <n v="29546.13"/>
    <n v="57811"/>
    <n v="17.17162772"/>
  </r>
  <r>
    <x v="0"/>
    <x v="2"/>
    <x v="0"/>
    <x v="6"/>
    <n v="87182.32"/>
    <n v="1581.19"/>
    <n v="672"/>
    <n v="129.73559520000001"/>
  </r>
  <r>
    <x v="1"/>
    <x v="5"/>
    <x v="4"/>
    <x v="4"/>
    <n v="1053528.92"/>
    <n v="37287.56"/>
    <n v="11798"/>
    <n v="89.297246990000005"/>
  </r>
  <r>
    <x v="0"/>
    <x v="6"/>
    <x v="0"/>
    <x v="9"/>
    <n v="132.36000000000001"/>
    <n v="6.17"/>
    <n v="8"/>
    <n v="16.545000000000002"/>
  </r>
  <r>
    <x v="3"/>
    <x v="2"/>
    <x v="6"/>
    <x v="8"/>
    <n v="45523933.539999999"/>
    <n v="1836264.52"/>
    <n v="1207559"/>
    <n v="37.699138130000001"/>
  </r>
  <r>
    <x v="2"/>
    <x v="7"/>
    <x v="3"/>
    <x v="5"/>
    <n v="67364222.140000001"/>
    <n v="2246786.77"/>
    <n v="643468"/>
    <n v="104.68931190000001"/>
  </r>
  <r>
    <x v="0"/>
    <x v="0"/>
    <x v="4"/>
    <x v="5"/>
    <n v="11924.15"/>
    <n v="516.37"/>
    <n v="520"/>
    <n v="22.931057689999999"/>
  </r>
  <r>
    <x v="1"/>
    <x v="8"/>
    <x v="4"/>
    <x v="0"/>
    <n v="97.47"/>
    <n v="3.72"/>
    <n v="86"/>
    <n v="1.133372093"/>
  </r>
  <r>
    <x v="3"/>
    <x v="6"/>
    <x v="8"/>
    <x v="2"/>
    <n v="28790120.27"/>
    <n v="703194.65"/>
    <n v="71712"/>
    <n v="401.4686562"/>
  </r>
  <r>
    <x v="2"/>
    <x v="6"/>
    <x v="5"/>
    <x v="0"/>
    <n v="1886653.93"/>
    <n v="48692.7"/>
    <n v="31631"/>
    <n v="59.645725079999998"/>
  </r>
  <r>
    <x v="0"/>
    <x v="3"/>
    <x v="2"/>
    <x v="8"/>
    <n v="137074002.19999999"/>
    <n v="4841758.53"/>
    <n v="1880779"/>
    <n v="72.881503989999999"/>
  </r>
  <r>
    <x v="0"/>
    <x v="8"/>
    <x v="9"/>
    <x v="1"/>
    <n v="618.02"/>
    <n v="14.76"/>
    <n v="58"/>
    <n v="10.65551724"/>
  </r>
  <r>
    <x v="1"/>
    <x v="9"/>
    <x v="5"/>
    <x v="2"/>
    <n v="6209.62"/>
    <n v="70.14"/>
    <n v="81"/>
    <n v="76.661975310000003"/>
  </r>
  <r>
    <x v="0"/>
    <x v="5"/>
    <x v="9"/>
    <x v="4"/>
    <n v="2045320.85"/>
    <n v="71218.53"/>
    <n v="20629"/>
    <n v="99.147842839999996"/>
  </r>
  <r>
    <x v="3"/>
    <x v="7"/>
    <x v="4"/>
    <x v="8"/>
    <n v="13601560.619999999"/>
    <n v="536025.5"/>
    <n v="339982"/>
    <n v="40.006708060000001"/>
  </r>
  <r>
    <x v="1"/>
    <x v="5"/>
    <x v="1"/>
    <x v="3"/>
    <n v="531.25"/>
    <n v="12.83"/>
    <n v="27"/>
    <n v="19.675925929999998"/>
  </r>
  <r>
    <x v="2"/>
    <x v="6"/>
    <x v="6"/>
    <x v="6"/>
    <n v="1998890.71"/>
    <n v="62623.35"/>
    <n v="6429"/>
    <n v="310.91782699999999"/>
  </r>
  <r>
    <x v="1"/>
    <x v="5"/>
    <x v="8"/>
    <x v="5"/>
    <n v="7808973.9699999997"/>
    <n v="291300.14"/>
    <n v="203419"/>
    <n v="38.388616450000001"/>
  </r>
  <r>
    <x v="3"/>
    <x v="8"/>
    <x v="4"/>
    <x v="8"/>
    <n v="2423.09"/>
    <n v="334.68"/>
    <n v="704"/>
    <n v="3.4418892049999998"/>
  </r>
  <r>
    <x v="1"/>
    <x v="6"/>
    <x v="1"/>
    <x v="4"/>
    <n v="4014989.48"/>
    <n v="128138.99"/>
    <n v="10478"/>
    <n v="383.18280970000001"/>
  </r>
  <r>
    <x v="0"/>
    <x v="2"/>
    <x v="8"/>
    <x v="8"/>
    <n v="75958447.959999993"/>
    <n v="2872904.99"/>
    <n v="1714064"/>
    <n v="44.314826029999999"/>
  </r>
  <r>
    <x v="3"/>
    <x v="4"/>
    <x v="2"/>
    <x v="0"/>
    <n v="16113803.380000001"/>
    <n v="489933.6"/>
    <n v="257205"/>
    <n v="62.64965059"/>
  </r>
  <r>
    <x v="1"/>
    <x v="1"/>
    <x v="0"/>
    <x v="5"/>
    <n v="792966.23"/>
    <n v="18825.97"/>
    <n v="39584"/>
    <n v="20.032493680000002"/>
  </r>
  <r>
    <x v="1"/>
    <x v="6"/>
    <x v="4"/>
    <x v="5"/>
    <n v="30612746.780000001"/>
    <n v="1210154.45"/>
    <n v="661715"/>
    <n v="46.262736650000001"/>
  </r>
  <r>
    <x v="0"/>
    <x v="7"/>
    <x v="5"/>
    <x v="2"/>
    <n v="125855095.8"/>
    <n v="3247505.58"/>
    <n v="1303028"/>
    <n v="96.586639579999996"/>
  </r>
  <r>
    <x v="0"/>
    <x v="2"/>
    <x v="6"/>
    <x v="6"/>
    <n v="15881115.380000001"/>
    <n v="551145.03"/>
    <n v="110826"/>
    <n v="143.29774040000001"/>
  </r>
  <r>
    <x v="3"/>
    <x v="8"/>
    <x v="9"/>
    <x v="2"/>
    <n v="18793.43"/>
    <n v="1033.32"/>
    <n v="685"/>
    <n v="27.43566423"/>
  </r>
  <r>
    <x v="0"/>
    <x v="2"/>
    <x v="9"/>
    <x v="6"/>
    <n v="27458662.379999999"/>
    <n v="905663.06"/>
    <n v="132381"/>
    <n v="207.4214757"/>
  </r>
  <r>
    <x v="0"/>
    <x v="7"/>
    <x v="7"/>
    <x v="1"/>
    <n v="25836042.059999999"/>
    <n v="723159.47"/>
    <n v="477771"/>
    <n v="54.076203999999997"/>
  </r>
  <r>
    <x v="3"/>
    <x v="5"/>
    <x v="5"/>
    <x v="2"/>
    <n v="1145632.79"/>
    <n v="44224.2"/>
    <n v="68097"/>
    <n v="16.823542740000001"/>
  </r>
  <r>
    <x v="3"/>
    <x v="7"/>
    <x v="0"/>
    <x v="6"/>
    <n v="13244.58"/>
    <n v="954.5"/>
    <n v="592"/>
    <n v="22.37260135"/>
  </r>
  <r>
    <x v="0"/>
    <x v="7"/>
    <x v="6"/>
    <x v="1"/>
    <n v="34511971.130000003"/>
    <n v="888098.24"/>
    <n v="560882"/>
    <n v="61.53160759"/>
  </r>
  <r>
    <x v="0"/>
    <x v="0"/>
    <x v="4"/>
    <x v="2"/>
    <n v="5363.64"/>
    <n v="136.47"/>
    <n v="35"/>
    <n v="153.2468571"/>
  </r>
  <r>
    <x v="1"/>
    <x v="4"/>
    <x v="8"/>
    <x v="0"/>
    <n v="32326970.710000001"/>
    <n v="1015184.18"/>
    <n v="491564"/>
    <n v="65.763503249999999"/>
  </r>
  <r>
    <x v="0"/>
    <x v="6"/>
    <x v="5"/>
    <x v="6"/>
    <n v="547145.49"/>
    <n v="18906.12"/>
    <n v="3490"/>
    <n v="156.77521200000001"/>
  </r>
  <r>
    <x v="0"/>
    <x v="3"/>
    <x v="8"/>
    <x v="1"/>
    <n v="16802514.359999999"/>
    <n v="260129.31"/>
    <n v="148217"/>
    <n v="113.3642859"/>
  </r>
  <r>
    <x v="2"/>
    <x v="6"/>
    <x v="7"/>
    <x v="7"/>
    <n v="292785.90000000002"/>
    <n v="9555"/>
    <n v="6644"/>
    <n v="44.067715229999997"/>
  </r>
  <r>
    <x v="2"/>
    <x v="3"/>
    <x v="0"/>
    <x v="7"/>
    <n v="2788.73"/>
    <n v="238.24"/>
    <n v="1622"/>
    <n v="1.7193156599999999"/>
  </r>
  <r>
    <x v="1"/>
    <x v="2"/>
    <x v="9"/>
    <x v="6"/>
    <n v="18937157.370000001"/>
    <n v="619396.96"/>
    <n v="91766"/>
    <n v="206.36354829999999"/>
  </r>
  <r>
    <x v="0"/>
    <x v="6"/>
    <x v="3"/>
    <x v="4"/>
    <n v="1669995.96"/>
    <n v="51143.93"/>
    <n v="3832"/>
    <n v="435.80270350000001"/>
  </r>
  <r>
    <x v="2"/>
    <x v="4"/>
    <x v="8"/>
    <x v="1"/>
    <n v="1596650.44"/>
    <n v="35001.4"/>
    <n v="16741"/>
    <n v="95.373659880000005"/>
  </r>
  <r>
    <x v="2"/>
    <x v="1"/>
    <x v="1"/>
    <x v="3"/>
    <n v="5015779.88"/>
    <n v="174002.94"/>
    <n v="330626"/>
    <n v="15.17055489"/>
  </r>
  <r>
    <x v="2"/>
    <x v="4"/>
    <x v="2"/>
    <x v="7"/>
    <n v="13784144.24"/>
    <n v="462480.96"/>
    <n v="237656"/>
    <n v="58.000404959999997"/>
  </r>
  <r>
    <x v="2"/>
    <x v="1"/>
    <x v="3"/>
    <x v="5"/>
    <n v="45136014.479999997"/>
    <n v="1201293.1299999999"/>
    <n v="517929"/>
    <n v="87.14710796"/>
  </r>
  <r>
    <x v="1"/>
    <x v="1"/>
    <x v="8"/>
    <x v="10"/>
    <n v="169825804.90000001"/>
    <n v="26964.07"/>
    <n v="378963"/>
    <n v="448.13294400000001"/>
  </r>
  <r>
    <x v="1"/>
    <x v="3"/>
    <x v="5"/>
    <x v="6"/>
    <n v="9427420.6600000001"/>
    <n v="356272.23"/>
    <n v="58865"/>
    <n v="160.15324319999999"/>
  </r>
  <r>
    <x v="3"/>
    <x v="5"/>
    <x v="5"/>
    <x v="7"/>
    <n v="10023.52"/>
    <n v="379.89"/>
    <n v="300238"/>
    <n v="3.3385247700000002E-2"/>
  </r>
  <r>
    <x v="0"/>
    <x v="4"/>
    <x v="3"/>
    <x v="3"/>
    <n v="47646.35"/>
    <n v="1673.36"/>
    <n v="2898"/>
    <n v="16.441114559999999"/>
  </r>
  <r>
    <x v="3"/>
    <x v="7"/>
    <x v="5"/>
    <x v="5"/>
    <n v="526036646.10000002"/>
    <n v="20295413.109999999"/>
    <n v="12046687"/>
    <n v="43.666499020000003"/>
  </r>
  <r>
    <x v="1"/>
    <x v="3"/>
    <x v="8"/>
    <x v="5"/>
    <n v="592260181.20000005"/>
    <n v="21377262.059999999"/>
    <n v="8011111"/>
    <n v="73.929843340000005"/>
  </r>
  <r>
    <x v="1"/>
    <x v="7"/>
    <x v="7"/>
    <x v="2"/>
    <n v="155053103.59999999"/>
    <n v="4677707.7"/>
    <n v="1416056"/>
    <n v="109.496449"/>
  </r>
  <r>
    <x v="1"/>
    <x v="7"/>
    <x v="8"/>
    <x v="6"/>
    <n v="27648352.719999999"/>
    <n v="801002.37"/>
    <n v="104350"/>
    <n v="264.95786029999999"/>
  </r>
  <r>
    <x v="1"/>
    <x v="8"/>
    <x v="6"/>
    <x v="3"/>
    <n v="0"/>
    <n v="0"/>
    <n v="22"/>
    <n v="0"/>
  </r>
  <r>
    <x v="0"/>
    <x v="4"/>
    <x v="8"/>
    <x v="2"/>
    <n v="376245452.10000002"/>
    <n v="8338967.9100000001"/>
    <n v="577540"/>
    <n v="651.4621535"/>
  </r>
  <r>
    <x v="2"/>
    <x v="4"/>
    <x v="0"/>
    <x v="1"/>
    <n v="6331.79"/>
    <n v="176.67"/>
    <n v="526"/>
    <n v="12.037623569999999"/>
  </r>
  <r>
    <x v="3"/>
    <x v="4"/>
    <x v="5"/>
    <x v="5"/>
    <n v="388465042.69999999"/>
    <n v="13209049.91"/>
    <n v="6300867"/>
    <n v="61.652633299999998"/>
  </r>
  <r>
    <x v="1"/>
    <x v="3"/>
    <x v="0"/>
    <x v="6"/>
    <n v="111558.9"/>
    <n v="1947.98"/>
    <n v="739"/>
    <n v="150.95926929999999"/>
  </r>
  <r>
    <x v="3"/>
    <x v="3"/>
    <x v="2"/>
    <x v="4"/>
    <n v="21271734.73"/>
    <n v="698073.9"/>
    <n v="81338"/>
    <n v="261.52271669999999"/>
  </r>
  <r>
    <x v="0"/>
    <x v="7"/>
    <x v="0"/>
    <x v="5"/>
    <n v="77190928.739999995"/>
    <n v="2655933.71"/>
    <n v="1084515"/>
    <n v="71.175528909999997"/>
  </r>
  <r>
    <x v="3"/>
    <x v="4"/>
    <x v="7"/>
    <x v="7"/>
    <n v="4852543.7300000004"/>
    <n v="155265.53"/>
    <n v="82124"/>
    <n v="59.088009960000001"/>
  </r>
  <r>
    <x v="2"/>
    <x v="8"/>
    <x v="9"/>
    <x v="5"/>
    <n v="23787.63"/>
    <n v="399.29"/>
    <n v="571"/>
    <n v="41.6595972"/>
  </r>
  <r>
    <x v="1"/>
    <x v="8"/>
    <x v="1"/>
    <x v="8"/>
    <n v="17313.16"/>
    <n v="1042.3699999999999"/>
    <n v="1057"/>
    <n v="16.37952696"/>
  </r>
  <r>
    <x v="2"/>
    <x v="1"/>
    <x v="0"/>
    <x v="5"/>
    <n v="60233349.340000004"/>
    <n v="1548620.22"/>
    <n v="749343"/>
    <n v="80.381546689999993"/>
  </r>
  <r>
    <x v="3"/>
    <x v="8"/>
    <x v="0"/>
    <x v="7"/>
    <n v="0"/>
    <n v="0"/>
    <n v="212055"/>
    <n v="0"/>
  </r>
  <r>
    <x v="1"/>
    <x v="1"/>
    <x v="6"/>
    <x v="4"/>
    <n v="7230868.7300000004"/>
    <n v="221297.85"/>
    <n v="24354"/>
    <n v="296.90682149999998"/>
  </r>
  <r>
    <x v="1"/>
    <x v="7"/>
    <x v="0"/>
    <x v="1"/>
    <n v="25"/>
    <n v="0"/>
    <n v="1"/>
    <n v="25"/>
  </r>
  <r>
    <x v="2"/>
    <x v="4"/>
    <x v="5"/>
    <x v="5"/>
    <n v="455540834.60000002"/>
    <n v="16190419.15"/>
    <n v="8244380"/>
    <n v="55.254711039999997"/>
  </r>
  <r>
    <x v="3"/>
    <x v="8"/>
    <x v="0"/>
    <x v="11"/>
    <n v="1460.96"/>
    <n v="53.14"/>
    <n v="386"/>
    <n v="3.7848704660000001"/>
  </r>
  <r>
    <x v="0"/>
    <x v="0"/>
    <x v="5"/>
    <x v="1"/>
    <n v="125.9"/>
    <n v="5.47"/>
    <n v="6"/>
    <n v="20.983333330000001"/>
  </r>
  <r>
    <x v="1"/>
    <x v="5"/>
    <x v="5"/>
    <x v="2"/>
    <n v="1211867.3500000001"/>
    <n v="46993.56"/>
    <n v="64815"/>
    <n v="18.697328550000002"/>
  </r>
  <r>
    <x v="2"/>
    <x v="0"/>
    <x v="4"/>
    <x v="5"/>
    <n v="13379.76"/>
    <n v="631.86"/>
    <n v="761"/>
    <n v="17.581813400000001"/>
  </r>
  <r>
    <x v="2"/>
    <x v="5"/>
    <x v="9"/>
    <x v="6"/>
    <n v="1306624.8899999999"/>
    <n v="44585.93"/>
    <n v="13284"/>
    <n v="98.360801719999998"/>
  </r>
  <r>
    <x v="1"/>
    <x v="8"/>
    <x v="4"/>
    <x v="2"/>
    <n v="18315.580000000002"/>
    <n v="753.84"/>
    <n v="541"/>
    <n v="33.855046209999998"/>
  </r>
  <r>
    <x v="1"/>
    <x v="4"/>
    <x v="0"/>
    <x v="3"/>
    <n v="168.66"/>
    <n v="4.58"/>
    <n v="10"/>
    <n v="16.866"/>
  </r>
  <r>
    <x v="2"/>
    <x v="5"/>
    <x v="0"/>
    <x v="0"/>
    <n v="834.88"/>
    <n v="41"/>
    <n v="452"/>
    <n v="1.8470796460000001"/>
  </r>
  <r>
    <x v="1"/>
    <x v="5"/>
    <x v="6"/>
    <x v="5"/>
    <n v="10188149.550000001"/>
    <n v="410453.73"/>
    <n v="312369"/>
    <n v="32.615751080000003"/>
  </r>
  <r>
    <x v="2"/>
    <x v="8"/>
    <x v="1"/>
    <x v="0"/>
    <n v="118.03"/>
    <n v="5.17"/>
    <n v="167"/>
    <n v="0.70676646710000002"/>
  </r>
  <r>
    <x v="2"/>
    <x v="7"/>
    <x v="5"/>
    <x v="8"/>
    <n v="12932226.26"/>
    <n v="552720.59"/>
    <n v="407983"/>
    <n v="31.697953739999999"/>
  </r>
  <r>
    <x v="2"/>
    <x v="3"/>
    <x v="7"/>
    <x v="3"/>
    <n v="109637.8"/>
    <n v="3255.6"/>
    <n v="6813"/>
    <n v="16.092440920000001"/>
  </r>
  <r>
    <x v="3"/>
    <x v="7"/>
    <x v="9"/>
    <x v="5"/>
    <n v="615949226.5"/>
    <n v="21610874.899999999"/>
    <n v="8319216"/>
    <n v="74.039335730000005"/>
  </r>
  <r>
    <x v="0"/>
    <x v="6"/>
    <x v="4"/>
    <x v="1"/>
    <n v="515306.64"/>
    <n v="17226.23"/>
    <n v="14263"/>
    <n v="36.12890977"/>
  </r>
  <r>
    <x v="0"/>
    <x v="0"/>
    <x v="9"/>
    <x v="1"/>
    <n v="17.97"/>
    <n v="1.1200000000000001"/>
    <n v="2"/>
    <n v="8.9849999999999994"/>
  </r>
  <r>
    <x v="2"/>
    <x v="4"/>
    <x v="9"/>
    <x v="2"/>
    <n v="33980604.270000003"/>
    <n v="1154189.5"/>
    <n v="179501"/>
    <n v="189.30593289999999"/>
  </r>
  <r>
    <x v="2"/>
    <x v="0"/>
    <x v="0"/>
    <x v="4"/>
    <n v="720"/>
    <n v="21.48"/>
    <n v="2"/>
    <n v="360"/>
  </r>
  <r>
    <x v="1"/>
    <x v="1"/>
    <x v="1"/>
    <x v="2"/>
    <n v="3519428.44"/>
    <n v="128225.87"/>
    <n v="28132"/>
    <n v="125.1040964"/>
  </r>
  <r>
    <x v="2"/>
    <x v="3"/>
    <x v="0"/>
    <x v="1"/>
    <n v="4995.0600000000004"/>
    <n v="172.61"/>
    <n v="594"/>
    <n v="8.4091919189999995"/>
  </r>
  <r>
    <x v="0"/>
    <x v="4"/>
    <x v="3"/>
    <x v="2"/>
    <n v="4956559.93"/>
    <n v="168911.8"/>
    <n v="21480"/>
    <n v="230.75232449999999"/>
  </r>
  <r>
    <x v="1"/>
    <x v="8"/>
    <x v="9"/>
    <x v="4"/>
    <n v="6478.71"/>
    <n v="83.05"/>
    <n v="59"/>
    <n v="109.8086441"/>
  </r>
  <r>
    <x v="1"/>
    <x v="6"/>
    <x v="6"/>
    <x v="6"/>
    <n v="1419272.74"/>
    <n v="46699.86"/>
    <n v="5287"/>
    <n v="268.44576130000002"/>
  </r>
  <r>
    <x v="0"/>
    <x v="8"/>
    <x v="1"/>
    <x v="2"/>
    <n v="32077.66"/>
    <n v="666.35"/>
    <n v="820"/>
    <n v="39.11909756"/>
  </r>
  <r>
    <x v="2"/>
    <x v="6"/>
    <x v="2"/>
    <x v="1"/>
    <n v="43006.2"/>
    <n v="1488.14"/>
    <n v="1155"/>
    <n v="37.234805190000003"/>
  </r>
  <r>
    <x v="1"/>
    <x v="1"/>
    <x v="9"/>
    <x v="3"/>
    <n v="28178763.649999999"/>
    <n v="858170.85"/>
    <n v="1770777"/>
    <n v="15.91321982"/>
  </r>
  <r>
    <x v="1"/>
    <x v="0"/>
    <x v="5"/>
    <x v="4"/>
    <n v="770"/>
    <n v="41.35"/>
    <n v="4"/>
    <n v="192.5"/>
  </r>
  <r>
    <x v="1"/>
    <x v="2"/>
    <x v="7"/>
    <x v="7"/>
    <n v="678518.06"/>
    <n v="27053.74"/>
    <n v="18021"/>
    <n v="37.651521000000002"/>
  </r>
  <r>
    <x v="2"/>
    <x v="5"/>
    <x v="3"/>
    <x v="5"/>
    <n v="838005.27"/>
    <n v="29404.92"/>
    <n v="13951"/>
    <n v="60.067756430000003"/>
  </r>
  <r>
    <x v="2"/>
    <x v="7"/>
    <x v="0"/>
    <x v="8"/>
    <n v="128126.37"/>
    <n v="6105.8"/>
    <n v="14646"/>
    <n v="8.7482158949999995"/>
  </r>
  <r>
    <x v="3"/>
    <x v="8"/>
    <x v="9"/>
    <x v="7"/>
    <n v="26.48"/>
    <n v="1.07"/>
    <n v="27"/>
    <n v="0.98074074069999995"/>
  </r>
  <r>
    <x v="3"/>
    <x v="7"/>
    <x v="6"/>
    <x v="1"/>
    <n v="446724.42"/>
    <n v="10608.39"/>
    <n v="5303"/>
    <n v="84.239943429999997"/>
  </r>
  <r>
    <x v="3"/>
    <x v="6"/>
    <x v="3"/>
    <x v="5"/>
    <n v="2975790.05"/>
    <n v="102262.47"/>
    <n v="35739"/>
    <n v="83.264502359999994"/>
  </r>
  <r>
    <x v="2"/>
    <x v="6"/>
    <x v="0"/>
    <x v="0"/>
    <n v="4025.08"/>
    <n v="156.16999999999999"/>
    <n v="1423"/>
    <n v="2.828587491"/>
  </r>
  <r>
    <x v="3"/>
    <x v="2"/>
    <x v="0"/>
    <x v="6"/>
    <n v="20486192.960000001"/>
    <n v="643261.66"/>
    <n v="72028"/>
    <n v="284.41985010000002"/>
  </r>
  <r>
    <x v="2"/>
    <x v="8"/>
    <x v="1"/>
    <x v="6"/>
    <n v="27590.71"/>
    <n v="240.02"/>
    <n v="66"/>
    <n v="418.04106059999998"/>
  </r>
  <r>
    <x v="0"/>
    <x v="1"/>
    <x v="4"/>
    <x v="1"/>
    <n v="7190571.0099999998"/>
    <n v="222749.83"/>
    <n v="518270"/>
    <n v="13.8741795"/>
  </r>
  <r>
    <x v="1"/>
    <x v="0"/>
    <x v="6"/>
    <x v="6"/>
    <n v="1260"/>
    <n v="37.14"/>
    <n v="3"/>
    <n v="420"/>
  </r>
  <r>
    <x v="1"/>
    <x v="0"/>
    <x v="2"/>
    <x v="2"/>
    <n v="7759.01"/>
    <n v="95.61"/>
    <n v="50"/>
    <n v="155.18020000000001"/>
  </r>
  <r>
    <x v="2"/>
    <x v="8"/>
    <x v="7"/>
    <x v="5"/>
    <n v="15892.18"/>
    <n v="685.48"/>
    <n v="571"/>
    <n v="27.832189140000001"/>
  </r>
  <r>
    <x v="1"/>
    <x v="1"/>
    <x v="4"/>
    <x v="3"/>
    <n v="41443760.729999997"/>
    <n v="1250687.6399999999"/>
    <n v="2886927"/>
    <n v="14.35566633"/>
  </r>
  <r>
    <x v="2"/>
    <x v="9"/>
    <x v="9"/>
    <x v="8"/>
    <n v="4780.17"/>
    <n v="257.97000000000003"/>
    <n v="216"/>
    <n v="22.130416669999999"/>
  </r>
  <r>
    <x v="1"/>
    <x v="2"/>
    <x v="5"/>
    <x v="2"/>
    <n v="23294564.010000002"/>
    <n v="876788.86"/>
    <n v="386744"/>
    <n v="60.232515589999998"/>
  </r>
  <r>
    <x v="0"/>
    <x v="6"/>
    <x v="6"/>
    <x v="9"/>
    <n v="54946.13"/>
    <n v="2143.2600000000002"/>
    <n v="2105"/>
    <n v="26.102674579999999"/>
  </r>
  <r>
    <x v="1"/>
    <x v="2"/>
    <x v="0"/>
    <x v="8"/>
    <n v="360219220.19999999"/>
    <n v="12218612.380000001"/>
    <n v="4702617"/>
    <n v="76.599735890000005"/>
  </r>
  <r>
    <x v="1"/>
    <x v="8"/>
    <x v="0"/>
    <x v="8"/>
    <n v="9101.86"/>
    <n v="709.53"/>
    <n v="3211"/>
    <n v="2.8345873560000001"/>
  </r>
  <r>
    <x v="2"/>
    <x v="8"/>
    <x v="7"/>
    <x v="2"/>
    <n v="4107.91"/>
    <n v="186.01"/>
    <n v="264"/>
    <n v="15.560265149999999"/>
  </r>
  <r>
    <x v="1"/>
    <x v="6"/>
    <x v="9"/>
    <x v="6"/>
    <n v="3334308.83"/>
    <n v="102757.19"/>
    <n v="8878"/>
    <n v="375.56981639999998"/>
  </r>
  <r>
    <x v="2"/>
    <x v="9"/>
    <x v="4"/>
    <x v="2"/>
    <n v="92180.56"/>
    <n v="1396.51"/>
    <n v="543"/>
    <n v="169.76162059999999"/>
  </r>
  <r>
    <x v="2"/>
    <x v="4"/>
    <x v="3"/>
    <x v="8"/>
    <n v="29175967.719999999"/>
    <n v="1001166.47"/>
    <n v="424578"/>
    <n v="68.717568310000004"/>
  </r>
  <r>
    <x v="0"/>
    <x v="6"/>
    <x v="0"/>
    <x v="3"/>
    <n v="0"/>
    <n v="0"/>
    <n v="1"/>
    <n v="0"/>
  </r>
  <r>
    <x v="0"/>
    <x v="2"/>
    <x v="7"/>
    <x v="4"/>
    <n v="15599027.949999999"/>
    <n v="579842.23"/>
    <n v="149226"/>
    <n v="104.5329095"/>
  </r>
  <r>
    <x v="0"/>
    <x v="6"/>
    <x v="3"/>
    <x v="3"/>
    <n v="0"/>
    <n v="0"/>
    <n v="1"/>
    <n v="0"/>
  </r>
  <r>
    <x v="0"/>
    <x v="4"/>
    <x v="3"/>
    <x v="4"/>
    <n v="5765249.6299999999"/>
    <n v="190884.36"/>
    <n v="15221"/>
    <n v="378.76943890000001"/>
  </r>
  <r>
    <x v="0"/>
    <x v="2"/>
    <x v="5"/>
    <x v="3"/>
    <n v="4837.41"/>
    <n v="147.24"/>
    <n v="253"/>
    <n v="19.12019763"/>
  </r>
  <r>
    <x v="0"/>
    <x v="4"/>
    <x v="0"/>
    <x v="1"/>
    <n v="19378.41"/>
    <n v="565.27"/>
    <n v="2043"/>
    <n v="9.4852716590000004"/>
  </r>
  <r>
    <x v="2"/>
    <x v="2"/>
    <x v="9"/>
    <x v="6"/>
    <n v="24241242.370000001"/>
    <n v="794679.34"/>
    <n v="117353"/>
    <n v="206.56687400000001"/>
  </r>
  <r>
    <x v="2"/>
    <x v="8"/>
    <x v="0"/>
    <x v="4"/>
    <n v="11487.92"/>
    <n v="137.56"/>
    <n v="73"/>
    <n v="157.36876710000001"/>
  </r>
  <r>
    <x v="2"/>
    <x v="2"/>
    <x v="2"/>
    <x v="4"/>
    <n v="24145310.34"/>
    <n v="787288.51"/>
    <n v="95359"/>
    <n v="253.2043157"/>
  </r>
  <r>
    <x v="2"/>
    <x v="7"/>
    <x v="8"/>
    <x v="10"/>
    <n v="284633654"/>
    <n v="1240507.02"/>
    <n v="5881375"/>
    <n v="48.395766969999997"/>
  </r>
  <r>
    <x v="0"/>
    <x v="3"/>
    <x v="2"/>
    <x v="9"/>
    <n v="264721.53000000003"/>
    <n v="9559.85"/>
    <n v="5828"/>
    <n v="45.422362730000003"/>
  </r>
  <r>
    <x v="1"/>
    <x v="2"/>
    <x v="0"/>
    <x v="3"/>
    <n v="109.86"/>
    <n v="4.53"/>
    <n v="37"/>
    <n v="2.9691891890000002"/>
  </r>
  <r>
    <x v="3"/>
    <x v="3"/>
    <x v="9"/>
    <x v="5"/>
    <n v="550558211.70000005"/>
    <n v="21040418.16"/>
    <n v="9847524"/>
    <n v="55.908288390000003"/>
  </r>
  <r>
    <x v="1"/>
    <x v="6"/>
    <x v="3"/>
    <x v="7"/>
    <n v="58532.42"/>
    <n v="2026.33"/>
    <n v="994"/>
    <n v="58.885734409999998"/>
  </r>
  <r>
    <x v="1"/>
    <x v="8"/>
    <x v="9"/>
    <x v="8"/>
    <n v="10850.72"/>
    <n v="522.15"/>
    <n v="1133"/>
    <n v="9.5769814649999994"/>
  </r>
  <r>
    <x v="0"/>
    <x v="3"/>
    <x v="3"/>
    <x v="6"/>
    <n v="8798003.0299999993"/>
    <n v="287649.07"/>
    <n v="24133"/>
    <n v="364.56317200000001"/>
  </r>
  <r>
    <x v="1"/>
    <x v="7"/>
    <x v="9"/>
    <x v="4"/>
    <n v="44888688.840000004"/>
    <n v="1377214.37"/>
    <n v="223679"/>
    <n v="200.68351899999999"/>
  </r>
  <r>
    <x v="2"/>
    <x v="3"/>
    <x v="5"/>
    <x v="7"/>
    <n v="2492373.38"/>
    <n v="94692.63"/>
    <n v="54400"/>
    <n v="45.815687130000001"/>
  </r>
  <r>
    <x v="1"/>
    <x v="1"/>
    <x v="0"/>
    <x v="7"/>
    <n v="2013919033"/>
    <n v="49242239.490000002"/>
    <n v="15463149"/>
    <n v="130.2399035"/>
  </r>
  <r>
    <x v="2"/>
    <x v="1"/>
    <x v="0"/>
    <x v="5"/>
    <n v="716870.13"/>
    <n v="15949.75"/>
    <n v="43145"/>
    <n v="16.6153698"/>
  </r>
  <r>
    <x v="2"/>
    <x v="0"/>
    <x v="0"/>
    <x v="5"/>
    <n v="406.67"/>
    <n v="17.440000000000001"/>
    <n v="8"/>
    <n v="50.833750000000002"/>
  </r>
  <r>
    <x v="0"/>
    <x v="9"/>
    <x v="6"/>
    <x v="5"/>
    <n v="41838.51"/>
    <n v="1473.86"/>
    <n v="752"/>
    <n v="55.636316489999999"/>
  </r>
  <r>
    <x v="2"/>
    <x v="5"/>
    <x v="6"/>
    <x v="0"/>
    <n v="361894.09"/>
    <n v="14677.98"/>
    <n v="12403"/>
    <n v="29.17794808"/>
  </r>
  <r>
    <x v="3"/>
    <x v="4"/>
    <x v="0"/>
    <x v="6"/>
    <n v="37339.25"/>
    <n v="360.61"/>
    <n v="281"/>
    <n v="132.8798932"/>
  </r>
  <r>
    <x v="0"/>
    <x v="8"/>
    <x v="4"/>
    <x v="6"/>
    <n v="15431.27"/>
    <n v="35.520000000000003"/>
    <n v="25"/>
    <n v="617.25080000000003"/>
  </r>
  <r>
    <x v="3"/>
    <x v="1"/>
    <x v="5"/>
    <x v="2"/>
    <n v="3313603.04"/>
    <n v="102156.82"/>
    <n v="18529"/>
    <n v="178.83334450000001"/>
  </r>
  <r>
    <x v="1"/>
    <x v="6"/>
    <x v="0"/>
    <x v="11"/>
    <n v="106392928.5"/>
    <n v="3085280.91"/>
    <n v="213698"/>
    <n v="497.86581310000003"/>
  </r>
  <r>
    <x v="1"/>
    <x v="3"/>
    <x v="5"/>
    <x v="1"/>
    <n v="483246.36"/>
    <n v="16956.57"/>
    <n v="7904"/>
    <n v="61.139468620000002"/>
  </r>
  <r>
    <x v="2"/>
    <x v="1"/>
    <x v="1"/>
    <x v="7"/>
    <n v="15647787.83"/>
    <n v="495097.96"/>
    <n v="377580"/>
    <n v="41.442311109999999"/>
  </r>
  <r>
    <x v="0"/>
    <x v="0"/>
    <x v="4"/>
    <x v="1"/>
    <n v="81.87"/>
    <n v="4.4800000000000004"/>
    <n v="7"/>
    <n v="11.69571429"/>
  </r>
  <r>
    <x v="2"/>
    <x v="5"/>
    <x v="8"/>
    <x v="2"/>
    <n v="11917007.82"/>
    <n v="359006.2"/>
    <n v="172694"/>
    <n v="69.006495999999999"/>
  </r>
  <r>
    <x v="0"/>
    <x v="4"/>
    <x v="7"/>
    <x v="2"/>
    <n v="34502738.630000003"/>
    <n v="1208589.58"/>
    <n v="186884"/>
    <n v="184.62114800000001"/>
  </r>
  <r>
    <x v="0"/>
    <x v="1"/>
    <x v="0"/>
    <x v="7"/>
    <n v="45135.17"/>
    <n v="1509.47"/>
    <n v="13522"/>
    <n v="3.3379063750000002"/>
  </r>
  <r>
    <x v="0"/>
    <x v="4"/>
    <x v="6"/>
    <x v="3"/>
    <n v="1713141.65"/>
    <n v="67765.5"/>
    <n v="115652"/>
    <n v="14.812901200000001"/>
  </r>
  <r>
    <x v="2"/>
    <x v="0"/>
    <x v="6"/>
    <x v="6"/>
    <n v="340"/>
    <n v="10.16"/>
    <n v="1"/>
    <n v="340"/>
  </r>
  <r>
    <x v="0"/>
    <x v="2"/>
    <x v="3"/>
    <x v="4"/>
    <n v="10425134.57"/>
    <n v="336636.75"/>
    <n v="34292"/>
    <n v="304.0106897"/>
  </r>
  <r>
    <x v="0"/>
    <x v="8"/>
    <x v="6"/>
    <x v="6"/>
    <n v="10010.709999999999"/>
    <n v="157.02000000000001"/>
    <n v="21"/>
    <n v="476.70047620000003"/>
  </r>
  <r>
    <x v="3"/>
    <x v="0"/>
    <x v="1"/>
    <x v="8"/>
    <n v="369.54"/>
    <n v="19.41"/>
    <n v="12"/>
    <n v="30.795000000000002"/>
  </r>
  <r>
    <x v="2"/>
    <x v="0"/>
    <x v="1"/>
    <x v="2"/>
    <n v="127"/>
    <n v="6.43"/>
    <n v="7"/>
    <n v="18.14285714"/>
  </r>
  <r>
    <x v="2"/>
    <x v="4"/>
    <x v="6"/>
    <x v="1"/>
    <n v="2917616.18"/>
    <n v="94501.2"/>
    <n v="65826"/>
    <n v="44.323157719999998"/>
  </r>
  <r>
    <x v="1"/>
    <x v="1"/>
    <x v="4"/>
    <x v="0"/>
    <n v="379993089.80000001"/>
    <n v="7988039.3099999996"/>
    <n v="4931261"/>
    <n v="77.057995879999993"/>
  </r>
  <r>
    <x v="0"/>
    <x v="4"/>
    <x v="0"/>
    <x v="0"/>
    <n v="18928130.300000001"/>
    <n v="619872.03"/>
    <n v="286212"/>
    <n v="66.13325193"/>
  </r>
  <r>
    <x v="1"/>
    <x v="3"/>
    <x v="3"/>
    <x v="6"/>
    <n v="6659413.1900000004"/>
    <n v="213492.01"/>
    <n v="19155"/>
    <n v="347.65926339999999"/>
  </r>
  <r>
    <x v="1"/>
    <x v="3"/>
    <x v="7"/>
    <x v="6"/>
    <n v="13473708.1"/>
    <n v="494445.02"/>
    <n v="71868"/>
    <n v="187.4785454"/>
  </r>
  <r>
    <x v="3"/>
    <x v="8"/>
    <x v="5"/>
    <x v="5"/>
    <n v="10000.719999999999"/>
    <n v="515.88"/>
    <n v="382"/>
    <n v="26.179895290000001"/>
  </r>
  <r>
    <x v="0"/>
    <x v="1"/>
    <x v="6"/>
    <x v="0"/>
    <n v="1013748376"/>
    <n v="23255190.449999999"/>
    <n v="19643078"/>
    <n v="51.608427949999999"/>
  </r>
  <r>
    <x v="2"/>
    <x v="5"/>
    <x v="5"/>
    <x v="1"/>
    <n v="39381.99"/>
    <n v="1394.36"/>
    <n v="5564"/>
    <n v="7.0779996409999999"/>
  </r>
  <r>
    <x v="3"/>
    <x v="1"/>
    <x v="8"/>
    <x v="6"/>
    <n v="5013038.5199999996"/>
    <n v="113154.16"/>
    <n v="4700"/>
    <n v="1066.60394"/>
  </r>
  <r>
    <x v="3"/>
    <x v="1"/>
    <x v="1"/>
    <x v="4"/>
    <n v="2590502.7000000002"/>
    <n v="76525.279999999999"/>
    <n v="12357"/>
    <n v="209.6384802"/>
  </r>
  <r>
    <x v="1"/>
    <x v="3"/>
    <x v="6"/>
    <x v="1"/>
    <n v="628845.15"/>
    <n v="22402.57"/>
    <n v="12520"/>
    <n v="50.227248400000001"/>
  </r>
  <r>
    <x v="2"/>
    <x v="8"/>
    <x v="4"/>
    <x v="6"/>
    <n v="3231.56"/>
    <n v="36.020000000000003"/>
    <n v="24"/>
    <n v="134.64833329999999"/>
  </r>
  <r>
    <x v="3"/>
    <x v="5"/>
    <x v="0"/>
    <x v="6"/>
    <n v="1742082.55"/>
    <n v="56797.7"/>
    <n v="13547"/>
    <n v="128.59544919999999"/>
  </r>
  <r>
    <x v="1"/>
    <x v="0"/>
    <x v="9"/>
    <x v="2"/>
    <n v="6504.95"/>
    <n v="39.56"/>
    <n v="74"/>
    <n v="87.90472973"/>
  </r>
  <r>
    <x v="0"/>
    <x v="7"/>
    <x v="8"/>
    <x v="8"/>
    <n v="28111065.43"/>
    <n v="982226.4"/>
    <n v="531645"/>
    <n v="52.875632099999997"/>
  </r>
  <r>
    <x v="0"/>
    <x v="5"/>
    <x v="4"/>
    <x v="3"/>
    <n v="300.85000000000002"/>
    <n v="11.91"/>
    <n v="30"/>
    <n v="10.028333330000001"/>
  </r>
  <r>
    <x v="1"/>
    <x v="1"/>
    <x v="2"/>
    <x v="8"/>
    <n v="53199989.119999997"/>
    <n v="1640328.06"/>
    <n v="855848"/>
    <n v="62.160557859999997"/>
  </r>
  <r>
    <x v="0"/>
    <x v="2"/>
    <x v="0"/>
    <x v="4"/>
    <n v="144350.82999999999"/>
    <n v="2088.77"/>
    <n v="1017"/>
    <n v="141.9378859"/>
  </r>
  <r>
    <x v="0"/>
    <x v="2"/>
    <x v="9"/>
    <x v="2"/>
    <n v="70198710.900000006"/>
    <n v="1977377.82"/>
    <n v="446107"/>
    <n v="157.35846090000001"/>
  </r>
  <r>
    <x v="0"/>
    <x v="5"/>
    <x v="4"/>
    <x v="6"/>
    <n v="988945.48"/>
    <n v="34673.769999999997"/>
    <n v="11317"/>
    <n v="87.385833700000006"/>
  </r>
  <r>
    <x v="2"/>
    <x v="5"/>
    <x v="1"/>
    <x v="3"/>
    <n v="69.86"/>
    <n v="5.44"/>
    <n v="8"/>
    <n v="8.7324999999999999"/>
  </r>
  <r>
    <x v="0"/>
    <x v="7"/>
    <x v="0"/>
    <x v="7"/>
    <n v="269.2"/>
    <n v="10.52"/>
    <n v="9"/>
    <n v="29.91111111"/>
  </r>
  <r>
    <x v="2"/>
    <x v="6"/>
    <x v="4"/>
    <x v="2"/>
    <n v="7906788.0700000003"/>
    <n v="216960.93"/>
    <n v="29305"/>
    <n v="269.81020539999997"/>
  </r>
  <r>
    <x v="0"/>
    <x v="7"/>
    <x v="8"/>
    <x v="6"/>
    <n v="37769341.189999998"/>
    <n v="1221187.28"/>
    <n v="138382"/>
    <n v="272.9353615"/>
  </r>
  <r>
    <x v="0"/>
    <x v="4"/>
    <x v="7"/>
    <x v="8"/>
    <n v="138204242.19999999"/>
    <n v="5148746.07"/>
    <n v="2731813"/>
    <n v="50.590667140000001"/>
  </r>
  <r>
    <x v="1"/>
    <x v="9"/>
    <x v="8"/>
    <x v="2"/>
    <n v="224107.98"/>
    <n v="2807.89"/>
    <n v="1998"/>
    <n v="112.1661562"/>
  </r>
  <r>
    <x v="2"/>
    <x v="7"/>
    <x v="3"/>
    <x v="2"/>
    <n v="48646797.600000001"/>
    <n v="1165306.21"/>
    <n v="304289"/>
    <n v="159.87037849999999"/>
  </r>
  <r>
    <x v="0"/>
    <x v="2"/>
    <x v="4"/>
    <x v="5"/>
    <n v="216553370.59999999"/>
    <n v="9462301.5299999993"/>
    <n v="7934007"/>
    <n v="27.294325629999999"/>
  </r>
  <r>
    <x v="1"/>
    <x v="5"/>
    <x v="0"/>
    <x v="4"/>
    <n v="18049.41"/>
    <n v="280.86"/>
    <n v="250"/>
    <n v="72.197640000000007"/>
  </r>
  <r>
    <x v="1"/>
    <x v="5"/>
    <x v="0"/>
    <x v="0"/>
    <n v="225.23"/>
    <n v="14.36"/>
    <n v="282"/>
    <n v="0.79868794330000004"/>
  </r>
  <r>
    <x v="0"/>
    <x v="4"/>
    <x v="0"/>
    <x v="4"/>
    <n v="14150864.939999999"/>
    <n v="451210.77"/>
    <n v="47334"/>
    <n v="298.95772469999997"/>
  </r>
  <r>
    <x v="1"/>
    <x v="3"/>
    <x v="3"/>
    <x v="2"/>
    <n v="11880370.310000001"/>
    <n v="396421.08"/>
    <n v="49531"/>
    <n v="239.85726740000001"/>
  </r>
  <r>
    <x v="2"/>
    <x v="4"/>
    <x v="0"/>
    <x v="8"/>
    <n v="315906.38"/>
    <n v="8886.7800000000007"/>
    <n v="79806"/>
    <n v="3.9584289400000001"/>
  </r>
  <r>
    <x v="0"/>
    <x v="1"/>
    <x v="6"/>
    <x v="9"/>
    <n v="1752949.26"/>
    <n v="43204.56"/>
    <n v="41294"/>
    <n v="42.45045915"/>
  </r>
  <r>
    <x v="0"/>
    <x v="7"/>
    <x v="6"/>
    <x v="2"/>
    <n v="359704516.30000001"/>
    <n v="7712645.9199999999"/>
    <n v="2591891"/>
    <n v="138.78072660000001"/>
  </r>
  <r>
    <x v="0"/>
    <x v="1"/>
    <x v="0"/>
    <x v="2"/>
    <n v="14406.11"/>
    <n v="489.43"/>
    <n v="1179"/>
    <n v="12.21892282"/>
  </r>
  <r>
    <x v="3"/>
    <x v="6"/>
    <x v="1"/>
    <x v="8"/>
    <n v="12098433.98"/>
    <n v="416223.65"/>
    <n v="174638"/>
    <n v="69.277213320000001"/>
  </r>
  <r>
    <x v="0"/>
    <x v="4"/>
    <x v="9"/>
    <x v="7"/>
    <n v="44964318.43"/>
    <n v="1460431.89"/>
    <n v="753831"/>
    <n v="59.647743900000002"/>
  </r>
  <r>
    <x v="3"/>
    <x v="8"/>
    <x v="5"/>
    <x v="8"/>
    <n v="655.26"/>
    <n v="44.28"/>
    <n v="113"/>
    <n v="5.7987610619999996"/>
  </r>
  <r>
    <x v="3"/>
    <x v="8"/>
    <x v="8"/>
    <x v="6"/>
    <n v="18693.87"/>
    <n v="641.91999999999996"/>
    <n v="69"/>
    <n v="270.9256522"/>
  </r>
  <r>
    <x v="3"/>
    <x v="2"/>
    <x v="3"/>
    <x v="6"/>
    <n v="4232772.45"/>
    <n v="131939.13"/>
    <n v="15519"/>
    <n v="272.7477576"/>
  </r>
  <r>
    <x v="0"/>
    <x v="9"/>
    <x v="7"/>
    <x v="2"/>
    <n v="27226.63"/>
    <n v="491.78"/>
    <n v="307"/>
    <n v="88.686091210000001"/>
  </r>
  <r>
    <x v="1"/>
    <x v="3"/>
    <x v="0"/>
    <x v="5"/>
    <n v="76237452.769999996"/>
    <n v="2824607.9"/>
    <n v="1307670"/>
    <n v="58.300223119999998"/>
  </r>
  <r>
    <x v="3"/>
    <x v="6"/>
    <x v="7"/>
    <x v="2"/>
    <n v="2844842.67"/>
    <n v="89225.88"/>
    <n v="22363"/>
    <n v="127.2120319"/>
  </r>
  <r>
    <x v="3"/>
    <x v="8"/>
    <x v="8"/>
    <x v="10"/>
    <n v="14310.28"/>
    <n v="71.349999999999994"/>
    <n v="225"/>
    <n v="63.601244440000002"/>
  </r>
  <r>
    <x v="2"/>
    <x v="6"/>
    <x v="7"/>
    <x v="8"/>
    <n v="4942831.82"/>
    <n v="189311.33"/>
    <n v="104872"/>
    <n v="47.132044970000003"/>
  </r>
  <r>
    <x v="1"/>
    <x v="2"/>
    <x v="5"/>
    <x v="4"/>
    <n v="8599664.8699999992"/>
    <n v="330672.17"/>
    <n v="108526"/>
    <n v="79.240595529999993"/>
  </r>
  <r>
    <x v="1"/>
    <x v="1"/>
    <x v="8"/>
    <x v="0"/>
    <n v="220359276.80000001"/>
    <n v="4809232.08"/>
    <n v="2091587"/>
    <n v="105.3550614"/>
  </r>
  <r>
    <x v="2"/>
    <x v="3"/>
    <x v="5"/>
    <x v="4"/>
    <n v="27385335.41"/>
    <n v="1026038.89"/>
    <n v="180137"/>
    <n v="152.02504429999999"/>
  </r>
  <r>
    <x v="3"/>
    <x v="5"/>
    <x v="8"/>
    <x v="3"/>
    <n v="550.33000000000004"/>
    <n v="28.08"/>
    <n v="26157"/>
    <n v="2.10394923E-2"/>
  </r>
  <r>
    <x v="1"/>
    <x v="4"/>
    <x v="0"/>
    <x v="6"/>
    <n v="76968.33"/>
    <n v="1003.82"/>
    <n v="304"/>
    <n v="253.18529609999999"/>
  </r>
  <r>
    <x v="1"/>
    <x v="2"/>
    <x v="5"/>
    <x v="6"/>
    <n v="4323890.79"/>
    <n v="163552.07"/>
    <n v="48775"/>
    <n v="88.649734289999998"/>
  </r>
  <r>
    <x v="2"/>
    <x v="2"/>
    <x v="0"/>
    <x v="3"/>
    <n v="19.96"/>
    <n v="0.68"/>
    <n v="30"/>
    <n v="0.6653333333"/>
  </r>
  <r>
    <x v="0"/>
    <x v="5"/>
    <x v="2"/>
    <x v="4"/>
    <n v="1542152.85"/>
    <n v="52529.279999999999"/>
    <n v="13823"/>
    <n v="111.5642661"/>
  </r>
  <r>
    <x v="0"/>
    <x v="5"/>
    <x v="6"/>
    <x v="8"/>
    <n v="5788541.3200000003"/>
    <n v="236692.54"/>
    <n v="205996"/>
    <n v="28.100260779999999"/>
  </r>
  <r>
    <x v="1"/>
    <x v="5"/>
    <x v="1"/>
    <x v="7"/>
    <n v="25341.05"/>
    <n v="1062.6199999999999"/>
    <n v="1086"/>
    <n v="23.33430018"/>
  </r>
  <r>
    <x v="1"/>
    <x v="7"/>
    <x v="0"/>
    <x v="5"/>
    <n v="57825292.329999998"/>
    <n v="2015260.23"/>
    <n v="747411"/>
    <n v="77.367462250000003"/>
  </r>
  <r>
    <x v="1"/>
    <x v="1"/>
    <x v="6"/>
    <x v="0"/>
    <n v="310498796.19999999"/>
    <n v="6664371.6500000004"/>
    <n v="4175213"/>
    <n v="74.367175099999997"/>
  </r>
  <r>
    <x v="1"/>
    <x v="0"/>
    <x v="9"/>
    <x v="1"/>
    <n v="200"/>
    <n v="0"/>
    <n v="1"/>
    <n v="200"/>
  </r>
  <r>
    <x v="2"/>
    <x v="1"/>
    <x v="4"/>
    <x v="0"/>
    <n v="681291165"/>
    <n v="14173138.18"/>
    <n v="9687101"/>
    <n v="70.329726609999994"/>
  </r>
  <r>
    <x v="0"/>
    <x v="4"/>
    <x v="2"/>
    <x v="3"/>
    <n v="307570.59000000003"/>
    <n v="10286.39"/>
    <n v="16208"/>
    <n v="18.976467790000001"/>
  </r>
  <r>
    <x v="1"/>
    <x v="6"/>
    <x v="7"/>
    <x v="2"/>
    <n v="3338755.87"/>
    <n v="106426"/>
    <n v="21578"/>
    <n v="154.729626"/>
  </r>
  <r>
    <x v="0"/>
    <x v="5"/>
    <x v="1"/>
    <x v="9"/>
    <n v="4266.29"/>
    <n v="179.5"/>
    <n v="191"/>
    <n v="22.33659686"/>
  </r>
  <r>
    <x v="3"/>
    <x v="7"/>
    <x v="4"/>
    <x v="1"/>
    <n v="448432.43"/>
    <n v="10265.17"/>
    <n v="4962"/>
    <n v="90.373323260000006"/>
  </r>
  <r>
    <x v="2"/>
    <x v="1"/>
    <x v="4"/>
    <x v="1"/>
    <n v="2037028.86"/>
    <n v="63734.1"/>
    <n v="191399"/>
    <n v="10.64283962"/>
  </r>
  <r>
    <x v="3"/>
    <x v="4"/>
    <x v="6"/>
    <x v="2"/>
    <n v="35960612.020000003"/>
    <n v="1214480.76"/>
    <n v="203196"/>
    <n v="176.97499959999999"/>
  </r>
  <r>
    <x v="3"/>
    <x v="4"/>
    <x v="4"/>
    <x v="1"/>
    <n v="54497.05"/>
    <n v="1661.13"/>
    <n v="886"/>
    <n v="61.509085779999999"/>
  </r>
  <r>
    <x v="0"/>
    <x v="4"/>
    <x v="4"/>
    <x v="2"/>
    <n v="41435820.009999998"/>
    <n v="1419941.66"/>
    <n v="197599"/>
    <n v="209.69650659999999"/>
  </r>
  <r>
    <x v="3"/>
    <x v="5"/>
    <x v="6"/>
    <x v="0"/>
    <n v="153211.26999999999"/>
    <n v="5988.51"/>
    <n v="4172"/>
    <n v="36.723698470000002"/>
  </r>
  <r>
    <x v="0"/>
    <x v="6"/>
    <x v="4"/>
    <x v="4"/>
    <n v="3649469.23"/>
    <n v="118512.77"/>
    <n v="10660"/>
    <n v="342.35171009999999"/>
  </r>
  <r>
    <x v="3"/>
    <x v="2"/>
    <x v="8"/>
    <x v="4"/>
    <n v="36956164.280000001"/>
    <n v="1198192.72"/>
    <n v="185818"/>
    <n v="198.88366189999999"/>
  </r>
  <r>
    <x v="1"/>
    <x v="8"/>
    <x v="0"/>
    <x v="0"/>
    <n v="197.3"/>
    <n v="7.14"/>
    <n v="318"/>
    <n v="0.62044025160000005"/>
  </r>
  <r>
    <x v="0"/>
    <x v="8"/>
    <x v="6"/>
    <x v="2"/>
    <n v="29255.49"/>
    <n v="691.09"/>
    <n v="499"/>
    <n v="58.628236469999997"/>
  </r>
  <r>
    <x v="0"/>
    <x v="4"/>
    <x v="2"/>
    <x v="1"/>
    <n v="2645427.61"/>
    <n v="84694.44"/>
    <n v="53752"/>
    <n v="49.21542659"/>
  </r>
  <r>
    <x v="0"/>
    <x v="4"/>
    <x v="2"/>
    <x v="2"/>
    <n v="17111373.489999998"/>
    <n v="599598.96"/>
    <n v="75410"/>
    <n v="226.91119860000001"/>
  </r>
  <r>
    <x v="1"/>
    <x v="4"/>
    <x v="7"/>
    <x v="6"/>
    <n v="11607747.52"/>
    <n v="407766.55"/>
    <n v="40321"/>
    <n v="287.88342349999999"/>
  </r>
  <r>
    <x v="3"/>
    <x v="9"/>
    <x v="2"/>
    <x v="1"/>
    <n v="111"/>
    <n v="0.45"/>
    <n v="8"/>
    <n v="13.875"/>
  </r>
  <r>
    <x v="2"/>
    <x v="4"/>
    <x v="0"/>
    <x v="11"/>
    <n v="1203898303"/>
    <n v="32970496.460000001"/>
    <n v="2938319"/>
    <n v="409.72348590000001"/>
  </r>
  <r>
    <x v="3"/>
    <x v="8"/>
    <x v="5"/>
    <x v="2"/>
    <n v="2814.95"/>
    <n v="163.95"/>
    <n v="466"/>
    <n v="6.0406652359999997"/>
  </r>
  <r>
    <x v="0"/>
    <x v="8"/>
    <x v="9"/>
    <x v="9"/>
    <n v="25.94"/>
    <n v="1.05"/>
    <n v="1"/>
    <n v="25.94"/>
  </r>
  <r>
    <x v="0"/>
    <x v="8"/>
    <x v="5"/>
    <x v="9"/>
    <n v="0"/>
    <n v="0"/>
    <n v="1"/>
    <n v="0"/>
  </r>
  <r>
    <x v="3"/>
    <x v="9"/>
    <x v="3"/>
    <x v="8"/>
    <n v="997.99"/>
    <n v="62.51"/>
    <n v="38"/>
    <n v="26.26289474"/>
  </r>
  <r>
    <x v="1"/>
    <x v="8"/>
    <x v="1"/>
    <x v="5"/>
    <n v="17245.02"/>
    <n v="599.70000000000005"/>
    <n v="558"/>
    <n v="30.905053760000001"/>
  </r>
  <r>
    <x v="0"/>
    <x v="5"/>
    <x v="7"/>
    <x v="9"/>
    <n v="17976.84"/>
    <n v="714.6"/>
    <n v="643"/>
    <n v="27.957760499999999"/>
  </r>
  <r>
    <x v="1"/>
    <x v="3"/>
    <x v="7"/>
    <x v="3"/>
    <n v="98421.13"/>
    <n v="3145.65"/>
    <n v="5904"/>
    <n v="16.670245600000001"/>
  </r>
  <r>
    <x v="2"/>
    <x v="7"/>
    <x v="7"/>
    <x v="4"/>
    <n v="28968137.34"/>
    <n v="993919.03"/>
    <n v="201524"/>
    <n v="143.7453472"/>
  </r>
  <r>
    <x v="2"/>
    <x v="6"/>
    <x v="3"/>
    <x v="7"/>
    <n v="59807.1"/>
    <n v="2074.17"/>
    <n v="1152"/>
    <n v="51.915885420000002"/>
  </r>
  <r>
    <x v="1"/>
    <x v="8"/>
    <x v="7"/>
    <x v="2"/>
    <n v="-1636.54"/>
    <n v="180.83"/>
    <n v="214"/>
    <n v="-7.6473831780000001"/>
  </r>
  <r>
    <x v="0"/>
    <x v="1"/>
    <x v="5"/>
    <x v="1"/>
    <n v="2462303.34"/>
    <n v="71845.86"/>
    <n v="96124"/>
    <n v="25.615905909999999"/>
  </r>
  <r>
    <x v="0"/>
    <x v="7"/>
    <x v="6"/>
    <x v="8"/>
    <n v="32238210.34"/>
    <n v="1278645.8899999999"/>
    <n v="748861"/>
    <n v="43.049658530000002"/>
  </r>
  <r>
    <x v="2"/>
    <x v="2"/>
    <x v="2"/>
    <x v="2"/>
    <n v="34501616.359999999"/>
    <n v="1070150.8"/>
    <n v="199513"/>
    <n v="172.9291643"/>
  </r>
  <r>
    <x v="1"/>
    <x v="5"/>
    <x v="3"/>
    <x v="7"/>
    <n v="7213.21"/>
    <n v="295.02999999999997"/>
    <n v="292"/>
    <n v="24.702773969999999"/>
  </r>
  <r>
    <x v="0"/>
    <x v="7"/>
    <x v="6"/>
    <x v="6"/>
    <n v="15939594.550000001"/>
    <n v="547997.91"/>
    <n v="87700"/>
    <n v="181.75136319999999"/>
  </r>
  <r>
    <x v="1"/>
    <x v="3"/>
    <x v="0"/>
    <x v="7"/>
    <n v="8283.8799999999992"/>
    <n v="300.51"/>
    <n v="1281"/>
    <n v="6.4667291179999999"/>
  </r>
  <r>
    <x v="1"/>
    <x v="2"/>
    <x v="1"/>
    <x v="2"/>
    <n v="33836047.159999996"/>
    <n v="1159066"/>
    <n v="226109"/>
    <n v="149.64484899999999"/>
  </r>
  <r>
    <x v="2"/>
    <x v="1"/>
    <x v="2"/>
    <x v="4"/>
    <n v="3858889.5"/>
    <n v="119111.4"/>
    <n v="13453"/>
    <n v="286.84230280000003"/>
  </r>
  <r>
    <x v="1"/>
    <x v="6"/>
    <x v="2"/>
    <x v="7"/>
    <n v="245194.1"/>
    <n v="8821.35"/>
    <n v="3934"/>
    <n v="62.326919169999996"/>
  </r>
  <r>
    <x v="2"/>
    <x v="3"/>
    <x v="7"/>
    <x v="5"/>
    <n v="607791674.89999998"/>
    <n v="24648859.949999999"/>
    <n v="13930687"/>
    <n v="43.629698589999997"/>
  </r>
  <r>
    <x v="0"/>
    <x v="3"/>
    <x v="8"/>
    <x v="0"/>
    <n v="25051828.120000001"/>
    <n v="918332.31"/>
    <n v="423777"/>
    <n v="59.115591739999999"/>
  </r>
  <r>
    <x v="0"/>
    <x v="4"/>
    <x v="3"/>
    <x v="6"/>
    <n v="4381597.53"/>
    <n v="146829.97"/>
    <n v="9944"/>
    <n v="440.62726570000001"/>
  </r>
  <r>
    <x v="3"/>
    <x v="6"/>
    <x v="9"/>
    <x v="7"/>
    <n v="397659.19"/>
    <n v="12697.69"/>
    <n v="6982"/>
    <n v="56.954911199999998"/>
  </r>
  <r>
    <x v="2"/>
    <x v="8"/>
    <x v="2"/>
    <x v="0"/>
    <n v="-2"/>
    <n v="0"/>
    <n v="77"/>
    <n v="-2.5974025969999998E-2"/>
  </r>
  <r>
    <x v="3"/>
    <x v="6"/>
    <x v="9"/>
    <x v="4"/>
    <n v="3610210.9"/>
    <n v="111617.85"/>
    <n v="9988"/>
    <n v="361.45483580000001"/>
  </r>
  <r>
    <x v="0"/>
    <x v="1"/>
    <x v="3"/>
    <x v="9"/>
    <n v="44910.75"/>
    <n v="978.4"/>
    <n v="974"/>
    <n v="46.109599590000002"/>
  </r>
  <r>
    <x v="0"/>
    <x v="4"/>
    <x v="9"/>
    <x v="3"/>
    <n v="1218131.57"/>
    <n v="42553.27"/>
    <n v="67873"/>
    <n v="17.947218629999998"/>
  </r>
  <r>
    <x v="3"/>
    <x v="2"/>
    <x v="0"/>
    <x v="0"/>
    <n v="4778.5600000000004"/>
    <n v="271.98"/>
    <n v="637"/>
    <n v="7.5016640499999996"/>
  </r>
  <r>
    <x v="1"/>
    <x v="2"/>
    <x v="4"/>
    <x v="6"/>
    <n v="13202105.869999999"/>
    <n v="443597.29"/>
    <n v="81273"/>
    <n v="162.44147340000001"/>
  </r>
  <r>
    <x v="1"/>
    <x v="1"/>
    <x v="8"/>
    <x v="2"/>
    <n v="84868871.030000001"/>
    <n v="2033455.73"/>
    <n v="90621"/>
    <n v="936.5254304"/>
  </r>
  <r>
    <x v="3"/>
    <x v="8"/>
    <x v="9"/>
    <x v="6"/>
    <n v="5902.15"/>
    <n v="25.86"/>
    <n v="25"/>
    <n v="236.08600000000001"/>
  </r>
  <r>
    <x v="3"/>
    <x v="6"/>
    <x v="3"/>
    <x v="4"/>
    <n v="1259128.6000000001"/>
    <n v="38436.19"/>
    <n v="3123"/>
    <n v="403.1791867"/>
  </r>
  <r>
    <x v="0"/>
    <x v="8"/>
    <x v="8"/>
    <x v="2"/>
    <n v="120104.24"/>
    <n v="2487.06"/>
    <n v="1931"/>
    <n v="62.197949250000001"/>
  </r>
  <r>
    <x v="0"/>
    <x v="8"/>
    <x v="2"/>
    <x v="7"/>
    <n v="162.6"/>
    <n v="7.72"/>
    <n v="17"/>
    <n v="9.5647058820000002"/>
  </r>
  <r>
    <x v="3"/>
    <x v="4"/>
    <x v="8"/>
    <x v="7"/>
    <n v="6298959.3700000001"/>
    <n v="202834.46"/>
    <n v="80514"/>
    <n v="78.234336510000006"/>
  </r>
  <r>
    <x v="2"/>
    <x v="1"/>
    <x v="0"/>
    <x v="1"/>
    <n v="23"/>
    <n v="0.91"/>
    <n v="5"/>
    <n v="4.5999999999999996"/>
  </r>
  <r>
    <x v="0"/>
    <x v="0"/>
    <x v="9"/>
    <x v="2"/>
    <n v="1657.48"/>
    <n v="16.940000000000001"/>
    <n v="20"/>
    <n v="82.873999999999995"/>
  </r>
  <r>
    <x v="0"/>
    <x v="2"/>
    <x v="2"/>
    <x v="3"/>
    <n v="3822.96"/>
    <n v="147.59"/>
    <n v="246"/>
    <n v="15.540487799999999"/>
  </r>
  <r>
    <x v="1"/>
    <x v="2"/>
    <x v="1"/>
    <x v="6"/>
    <n v="13985444.539999999"/>
    <n v="458046.42"/>
    <n v="55203"/>
    <n v="253.34573370000001"/>
  </r>
  <r>
    <x v="0"/>
    <x v="6"/>
    <x v="7"/>
    <x v="3"/>
    <n v="3570.48"/>
    <n v="216.7"/>
    <n v="382"/>
    <n v="9.3468062829999994"/>
  </r>
  <r>
    <x v="0"/>
    <x v="1"/>
    <x v="7"/>
    <x v="7"/>
    <n v="53430566.340000004"/>
    <n v="1590437.4"/>
    <n v="1104446"/>
    <n v="48.377708230000003"/>
  </r>
  <r>
    <x v="1"/>
    <x v="8"/>
    <x v="7"/>
    <x v="5"/>
    <n v="16975.77"/>
    <n v="601.03"/>
    <n v="533"/>
    <n v="31.849474669999999"/>
  </r>
  <r>
    <x v="0"/>
    <x v="7"/>
    <x v="7"/>
    <x v="6"/>
    <n v="11349149.77"/>
    <n v="399270.49"/>
    <n v="69553"/>
    <n v="163.1726851"/>
  </r>
  <r>
    <x v="0"/>
    <x v="5"/>
    <x v="5"/>
    <x v="5"/>
    <n v="8061799.46"/>
    <n v="353619.04"/>
    <n v="328975"/>
    <n v="24.505811869999999"/>
  </r>
  <r>
    <x v="0"/>
    <x v="4"/>
    <x v="4"/>
    <x v="6"/>
    <n v="24920230.100000001"/>
    <n v="863119.11"/>
    <n v="78321"/>
    <n v="318.18069359999998"/>
  </r>
  <r>
    <x v="0"/>
    <x v="6"/>
    <x v="2"/>
    <x v="3"/>
    <n v="176.59"/>
    <n v="12.62"/>
    <n v="35"/>
    <n v="5.0454285710000004"/>
  </r>
  <r>
    <x v="1"/>
    <x v="4"/>
    <x v="4"/>
    <x v="1"/>
    <n v="472103.9"/>
    <n v="15177.12"/>
    <n v="9436"/>
    <n v="50.032206440000003"/>
  </r>
  <r>
    <x v="1"/>
    <x v="3"/>
    <x v="5"/>
    <x v="7"/>
    <n v="1822212.12"/>
    <n v="70197.05"/>
    <n v="38509"/>
    <n v="47.319123320000003"/>
  </r>
  <r>
    <x v="1"/>
    <x v="9"/>
    <x v="7"/>
    <x v="5"/>
    <n v="71382.16"/>
    <n v="2224.79"/>
    <n v="968"/>
    <n v="73.741900830000006"/>
  </r>
  <r>
    <x v="2"/>
    <x v="3"/>
    <x v="7"/>
    <x v="4"/>
    <n v="33924220.140000001"/>
    <n v="1243123.54"/>
    <n v="200068"/>
    <n v="169.56344910000001"/>
  </r>
  <r>
    <x v="2"/>
    <x v="6"/>
    <x v="0"/>
    <x v="8"/>
    <n v="81200.66"/>
    <n v="2479.16"/>
    <n v="6361"/>
    <n v="12.76539223"/>
  </r>
  <r>
    <x v="0"/>
    <x v="5"/>
    <x v="0"/>
    <x v="0"/>
    <n v="1715049.1"/>
    <n v="70521.53"/>
    <n v="64563"/>
    <n v="26.563962329999999"/>
  </r>
  <r>
    <x v="3"/>
    <x v="6"/>
    <x v="0"/>
    <x v="5"/>
    <n v="52391.68"/>
    <n v="2092.41"/>
    <n v="3194"/>
    <n v="16.40315592"/>
  </r>
  <r>
    <x v="2"/>
    <x v="1"/>
    <x v="6"/>
    <x v="6"/>
    <n v="4078325.05"/>
    <n v="119192.64"/>
    <n v="9573"/>
    <n v="426.02371770000002"/>
  </r>
  <r>
    <x v="2"/>
    <x v="6"/>
    <x v="7"/>
    <x v="4"/>
    <n v="1445341.94"/>
    <n v="48332.77"/>
    <n v="6410"/>
    <n v="225.4823619"/>
  </r>
  <r>
    <x v="3"/>
    <x v="5"/>
    <x v="2"/>
    <x v="4"/>
    <n v="1022136.16"/>
    <n v="34331.71"/>
    <n v="9500"/>
    <n v="107.59327999999999"/>
  </r>
  <r>
    <x v="1"/>
    <x v="6"/>
    <x v="4"/>
    <x v="8"/>
    <n v="10976296.619999999"/>
    <n v="401720.01"/>
    <n v="238149"/>
    <n v="46.090038669999998"/>
  </r>
  <r>
    <x v="3"/>
    <x v="5"/>
    <x v="8"/>
    <x v="10"/>
    <n v="3937032.75"/>
    <n v="47222.97"/>
    <n v="235694"/>
    <n v="16.704000740000001"/>
  </r>
  <r>
    <x v="1"/>
    <x v="4"/>
    <x v="3"/>
    <x v="1"/>
    <n v="19560.02"/>
    <n v="581.87"/>
    <n v="357"/>
    <n v="54.789971989999998"/>
  </r>
  <r>
    <x v="0"/>
    <x v="1"/>
    <x v="0"/>
    <x v="8"/>
    <n v="247640645.5"/>
    <n v="6561438.9500000002"/>
    <n v="3670848"/>
    <n v="67.461427290000003"/>
  </r>
  <r>
    <x v="3"/>
    <x v="2"/>
    <x v="7"/>
    <x v="5"/>
    <n v="290581381.30000001"/>
    <n v="12783051.380000001"/>
    <n v="10586450"/>
    <n v="27.448425230000002"/>
  </r>
  <r>
    <x v="3"/>
    <x v="9"/>
    <x v="3"/>
    <x v="1"/>
    <n v="535"/>
    <n v="0"/>
    <n v="5"/>
    <n v="107"/>
  </r>
  <r>
    <x v="0"/>
    <x v="6"/>
    <x v="7"/>
    <x v="0"/>
    <n v="5189336.57"/>
    <n v="158839.45000000001"/>
    <n v="165549"/>
    <n v="31.346227219999999"/>
  </r>
  <r>
    <x v="0"/>
    <x v="4"/>
    <x v="7"/>
    <x v="5"/>
    <n v="646261261.89999998"/>
    <n v="23363595.23"/>
    <n v="11933390"/>
    <n v="54.155714500000002"/>
  </r>
  <r>
    <x v="1"/>
    <x v="0"/>
    <x v="8"/>
    <x v="8"/>
    <n v="330.84"/>
    <n v="11.46"/>
    <n v="12"/>
    <n v="27.57"/>
  </r>
  <r>
    <x v="3"/>
    <x v="6"/>
    <x v="6"/>
    <x v="7"/>
    <n v="269569.31"/>
    <n v="8706.7199999999993"/>
    <n v="4934"/>
    <n v="54.63504459"/>
  </r>
  <r>
    <x v="0"/>
    <x v="2"/>
    <x v="9"/>
    <x v="8"/>
    <n v="159430325.80000001"/>
    <n v="5767343.9400000004"/>
    <n v="3173611"/>
    <n v="50.236253210000001"/>
  </r>
  <r>
    <x v="0"/>
    <x v="7"/>
    <x v="2"/>
    <x v="6"/>
    <n v="12763172.25"/>
    <n v="415111.12"/>
    <n v="51482"/>
    <n v="247.9152374"/>
  </r>
  <r>
    <x v="0"/>
    <x v="2"/>
    <x v="6"/>
    <x v="7"/>
    <n v="2227370.25"/>
    <n v="86814.73"/>
    <n v="54376"/>
    <n v="40.962377699999998"/>
  </r>
  <r>
    <x v="1"/>
    <x v="4"/>
    <x v="0"/>
    <x v="1"/>
    <n v="622.52"/>
    <n v="19.66"/>
    <n v="85"/>
    <n v="7.3237647060000004"/>
  </r>
  <r>
    <x v="3"/>
    <x v="7"/>
    <x v="8"/>
    <x v="1"/>
    <n v="399302.46"/>
    <n v="10275.209999999999"/>
    <n v="3652"/>
    <n v="109.33802300000001"/>
  </r>
  <r>
    <x v="3"/>
    <x v="2"/>
    <x v="5"/>
    <x v="1"/>
    <n v="60861.8"/>
    <n v="2058.94"/>
    <n v="1311"/>
    <n v="46.423951180000003"/>
  </r>
  <r>
    <x v="1"/>
    <x v="8"/>
    <x v="4"/>
    <x v="6"/>
    <n v="18905.62"/>
    <n v="529.19000000000005"/>
    <n v="15"/>
    <n v="1260.374667"/>
  </r>
  <r>
    <x v="1"/>
    <x v="3"/>
    <x v="3"/>
    <x v="1"/>
    <n v="22919.1"/>
    <n v="727.02"/>
    <n v="339"/>
    <n v="67.607964600000003"/>
  </r>
  <r>
    <x v="1"/>
    <x v="6"/>
    <x v="3"/>
    <x v="3"/>
    <n v="87.7"/>
    <n v="2.2000000000000002"/>
    <n v="12"/>
    <n v="7.3083333330000002"/>
  </r>
  <r>
    <x v="0"/>
    <x v="8"/>
    <x v="8"/>
    <x v="1"/>
    <n v="224.94"/>
    <n v="14.08"/>
    <n v="52"/>
    <n v="4.3257692309999998"/>
  </r>
  <r>
    <x v="1"/>
    <x v="7"/>
    <x v="2"/>
    <x v="6"/>
    <n v="8385292.6600000001"/>
    <n v="261546.81"/>
    <n v="34264"/>
    <n v="244.72602910000001"/>
  </r>
  <r>
    <x v="3"/>
    <x v="4"/>
    <x v="0"/>
    <x v="8"/>
    <n v="317465.07"/>
    <n v="12363.3"/>
    <n v="50531"/>
    <n v="6.2825803960000002"/>
  </r>
  <r>
    <x v="0"/>
    <x v="7"/>
    <x v="3"/>
    <x v="5"/>
    <n v="60772528.990000002"/>
    <n v="2040166.21"/>
    <n v="579428"/>
    <n v="104.8836594"/>
  </r>
  <r>
    <x v="0"/>
    <x v="5"/>
    <x v="0"/>
    <x v="0"/>
    <n v="3059.1"/>
    <n v="270.45"/>
    <n v="1231"/>
    <n v="2.4850528029999999"/>
  </r>
  <r>
    <x v="0"/>
    <x v="7"/>
    <x v="8"/>
    <x v="4"/>
    <n v="85063177.269999996"/>
    <n v="2758594.68"/>
    <n v="315657"/>
    <n v="269.47977479999997"/>
  </r>
  <r>
    <x v="3"/>
    <x v="0"/>
    <x v="4"/>
    <x v="8"/>
    <n v="133.05000000000001"/>
    <n v="6.83"/>
    <n v="8"/>
    <n v="16.631250000000001"/>
  </r>
  <r>
    <x v="0"/>
    <x v="1"/>
    <x v="0"/>
    <x v="8"/>
    <n v="171842.04"/>
    <n v="4960.82"/>
    <n v="63683"/>
    <n v="2.6983973739999998"/>
  </r>
  <r>
    <x v="3"/>
    <x v="2"/>
    <x v="2"/>
    <x v="0"/>
    <n v="2345709.66"/>
    <n v="87441.39"/>
    <n v="42757"/>
    <n v="54.86141825"/>
  </r>
  <r>
    <x v="0"/>
    <x v="1"/>
    <x v="3"/>
    <x v="3"/>
    <n v="1136689.6000000001"/>
    <n v="37490.480000000003"/>
    <n v="87189"/>
    <n v="13.03707578"/>
  </r>
  <r>
    <x v="1"/>
    <x v="6"/>
    <x v="4"/>
    <x v="2"/>
    <n v="7070858.1500000004"/>
    <n v="209768.17"/>
    <n v="30149"/>
    <n v="234.53043719999999"/>
  </r>
  <r>
    <x v="3"/>
    <x v="8"/>
    <x v="6"/>
    <x v="4"/>
    <n v="1006.9"/>
    <n v="50.94"/>
    <n v="27"/>
    <n v="37.292592589999998"/>
  </r>
  <r>
    <x v="2"/>
    <x v="5"/>
    <x v="0"/>
    <x v="2"/>
    <n v="63163.68"/>
    <n v="659.08"/>
    <n v="1762"/>
    <n v="35.847718499999999"/>
  </r>
  <r>
    <x v="3"/>
    <x v="6"/>
    <x v="3"/>
    <x v="3"/>
    <n v="15561.91"/>
    <n v="625.27"/>
    <n v="1326"/>
    <n v="11.73598039"/>
  </r>
  <r>
    <x v="1"/>
    <x v="0"/>
    <x v="1"/>
    <x v="4"/>
    <n v="400"/>
    <n v="26.46"/>
    <n v="2"/>
    <n v="200"/>
  </r>
  <r>
    <x v="3"/>
    <x v="2"/>
    <x v="9"/>
    <x v="4"/>
    <n v="22278041.420000002"/>
    <n v="738234.04"/>
    <n v="129966"/>
    <n v="171.4143808"/>
  </r>
  <r>
    <x v="1"/>
    <x v="4"/>
    <x v="7"/>
    <x v="3"/>
    <n v="1132848.8999999999"/>
    <n v="43036.01"/>
    <n v="68589"/>
    <n v="16.516480779999998"/>
  </r>
  <r>
    <x v="0"/>
    <x v="6"/>
    <x v="3"/>
    <x v="8"/>
    <n v="6737486.3300000001"/>
    <n v="218953.8"/>
    <n v="86355"/>
    <n v="78.020801689999999"/>
  </r>
  <r>
    <x v="3"/>
    <x v="2"/>
    <x v="5"/>
    <x v="8"/>
    <n v="16259666.789999999"/>
    <n v="695770.04"/>
    <n v="520504"/>
    <n v="31.23831285"/>
  </r>
  <r>
    <x v="2"/>
    <x v="5"/>
    <x v="1"/>
    <x v="6"/>
    <n v="926426.37"/>
    <n v="31177.08"/>
    <n v="8062"/>
    <n v="114.9127226"/>
  </r>
  <r>
    <x v="2"/>
    <x v="8"/>
    <x v="3"/>
    <x v="8"/>
    <n v="7336.58"/>
    <n v="277.08"/>
    <n v="468"/>
    <n v="15.67645299"/>
  </r>
  <r>
    <x v="0"/>
    <x v="6"/>
    <x v="8"/>
    <x v="6"/>
    <n v="7842885.5800000001"/>
    <n v="233092.57"/>
    <n v="11270"/>
    <n v="695.90821470000003"/>
  </r>
  <r>
    <x v="0"/>
    <x v="1"/>
    <x v="1"/>
    <x v="1"/>
    <n v="3007947.05"/>
    <n v="96812.27"/>
    <n v="314855"/>
    <n v="9.5534358669999992"/>
  </r>
  <r>
    <x v="1"/>
    <x v="6"/>
    <x v="5"/>
    <x v="7"/>
    <n v="105709.59"/>
    <n v="3672.6"/>
    <n v="2060"/>
    <n v="51.31533495"/>
  </r>
  <r>
    <x v="1"/>
    <x v="2"/>
    <x v="3"/>
    <x v="4"/>
    <n v="10107595.880000001"/>
    <n v="321864.03000000003"/>
    <n v="33454"/>
    <n v="302.13415079999999"/>
  </r>
  <r>
    <x v="2"/>
    <x v="3"/>
    <x v="9"/>
    <x v="5"/>
    <n v="513360264.30000001"/>
    <n v="19876633.469999999"/>
    <n v="9881010"/>
    <n v="51.954229810000001"/>
  </r>
  <r>
    <x v="0"/>
    <x v="0"/>
    <x v="9"/>
    <x v="5"/>
    <n v="8465.5300000000007"/>
    <n v="348.05"/>
    <n v="308"/>
    <n v="27.48548701"/>
  </r>
  <r>
    <x v="2"/>
    <x v="7"/>
    <x v="6"/>
    <x v="2"/>
    <n v="283726316.89999998"/>
    <n v="7422201.7800000003"/>
    <n v="2204245"/>
    <n v="128.71814019999999"/>
  </r>
  <r>
    <x v="0"/>
    <x v="3"/>
    <x v="9"/>
    <x v="1"/>
    <n v="9236793.3599999994"/>
    <n v="318463.5"/>
    <n v="218452"/>
    <n v="42.282942519999999"/>
  </r>
  <r>
    <x v="0"/>
    <x v="8"/>
    <x v="1"/>
    <x v="8"/>
    <n v="49280.23"/>
    <n v="2022.81"/>
    <n v="1477"/>
    <n v="33.365084629999998"/>
  </r>
  <r>
    <x v="3"/>
    <x v="5"/>
    <x v="1"/>
    <x v="0"/>
    <n v="153867.28"/>
    <n v="5959.53"/>
    <n v="4131"/>
    <n v="37.246981359999999"/>
  </r>
  <r>
    <x v="1"/>
    <x v="0"/>
    <x v="1"/>
    <x v="5"/>
    <n v="5663.17"/>
    <n v="222.58"/>
    <n v="168"/>
    <n v="33.709345239999998"/>
  </r>
  <r>
    <x v="2"/>
    <x v="1"/>
    <x v="1"/>
    <x v="8"/>
    <n v="68615343.329999998"/>
    <n v="2615943.77"/>
    <n v="1810195"/>
    <n v="37.904945779999998"/>
  </r>
  <r>
    <x v="0"/>
    <x v="6"/>
    <x v="9"/>
    <x v="4"/>
    <n v="4965856.5199999996"/>
    <n v="155925.34"/>
    <n v="12641"/>
    <n v="392.83731669999997"/>
  </r>
  <r>
    <x v="1"/>
    <x v="0"/>
    <x v="5"/>
    <x v="6"/>
    <n v="23"/>
    <n v="0.97"/>
    <n v="1"/>
    <n v="23"/>
  </r>
  <r>
    <x v="2"/>
    <x v="2"/>
    <x v="3"/>
    <x v="1"/>
    <n v="59536.99"/>
    <n v="1901.55"/>
    <n v="1791"/>
    <n v="33.242317139999997"/>
  </r>
  <r>
    <x v="1"/>
    <x v="0"/>
    <x v="3"/>
    <x v="2"/>
    <n v="573"/>
    <n v="7.09"/>
    <n v="10"/>
    <n v="57.3"/>
  </r>
  <r>
    <x v="3"/>
    <x v="1"/>
    <x v="7"/>
    <x v="1"/>
    <n v="8535.7099999999991"/>
    <n v="223.31"/>
    <n v="170"/>
    <n v="50.21005882"/>
  </r>
  <r>
    <x v="2"/>
    <x v="1"/>
    <x v="2"/>
    <x v="5"/>
    <n v="161828069.30000001"/>
    <n v="4398967.58"/>
    <n v="2248179"/>
    <n v="71.981843679999997"/>
  </r>
  <r>
    <x v="2"/>
    <x v="0"/>
    <x v="1"/>
    <x v="1"/>
    <n v="34.94"/>
    <n v="1.92"/>
    <n v="3"/>
    <n v="11.64666667"/>
  </r>
  <r>
    <x v="1"/>
    <x v="2"/>
    <x v="9"/>
    <x v="8"/>
    <n v="106327744.3"/>
    <n v="4014596.7"/>
    <n v="2314887"/>
    <n v="45.932153210000003"/>
  </r>
  <r>
    <x v="2"/>
    <x v="5"/>
    <x v="3"/>
    <x v="8"/>
    <n v="2138581.2599999998"/>
    <n v="79910.22"/>
    <n v="58529"/>
    <n v="36.538831350000002"/>
  </r>
  <r>
    <x v="1"/>
    <x v="3"/>
    <x v="1"/>
    <x v="6"/>
    <n v="13190101.15"/>
    <n v="463560.16"/>
    <n v="45086"/>
    <n v="292.5542552"/>
  </r>
  <r>
    <x v="0"/>
    <x v="4"/>
    <x v="5"/>
    <x v="9"/>
    <n v="939140.34"/>
    <n v="32556.57"/>
    <n v="24490"/>
    <n v="38.347910980000002"/>
  </r>
  <r>
    <x v="2"/>
    <x v="1"/>
    <x v="2"/>
    <x v="7"/>
    <n v="21128565.719999999"/>
    <n v="607173.29"/>
    <n v="383568"/>
    <n v="55.084276369999998"/>
  </r>
  <r>
    <x v="3"/>
    <x v="0"/>
    <x v="2"/>
    <x v="8"/>
    <n v="234.56"/>
    <n v="10.37"/>
    <n v="9"/>
    <n v="26.062222219999999"/>
  </r>
  <r>
    <x v="0"/>
    <x v="7"/>
    <x v="2"/>
    <x v="9"/>
    <n v="162955.82999999999"/>
    <n v="5451.46"/>
    <n v="2186"/>
    <n v="74.545210429999997"/>
  </r>
  <r>
    <x v="1"/>
    <x v="0"/>
    <x v="3"/>
    <x v="5"/>
    <n v="2180.69"/>
    <n v="59.86"/>
    <n v="22"/>
    <n v="99.122272730000006"/>
  </r>
  <r>
    <x v="2"/>
    <x v="8"/>
    <x v="6"/>
    <x v="6"/>
    <n v="3747.09"/>
    <n v="90.07"/>
    <n v="19"/>
    <n v="197.21526320000001"/>
  </r>
  <r>
    <x v="2"/>
    <x v="2"/>
    <x v="5"/>
    <x v="0"/>
    <n v="2357903.5099999998"/>
    <n v="89705.81"/>
    <n v="50407"/>
    <n v="46.777302949999999"/>
  </r>
  <r>
    <x v="0"/>
    <x v="7"/>
    <x v="6"/>
    <x v="7"/>
    <n v="169.99"/>
    <n v="9.7899999999999991"/>
    <n v="14"/>
    <n v="12.14214286"/>
  </r>
  <r>
    <x v="1"/>
    <x v="5"/>
    <x v="8"/>
    <x v="10"/>
    <n v="5053196.0999999996"/>
    <n v="53825.14"/>
    <n v="285722"/>
    <n v="17.68570884"/>
  </r>
  <r>
    <x v="1"/>
    <x v="3"/>
    <x v="9"/>
    <x v="2"/>
    <n v="87112469.780000001"/>
    <n v="2799840.59"/>
    <n v="380378"/>
    <n v="229.01553129999999"/>
  </r>
  <r>
    <x v="0"/>
    <x v="0"/>
    <x v="8"/>
    <x v="6"/>
    <n v="523.5"/>
    <n v="16.079999999999998"/>
    <n v="3"/>
    <n v="174.5"/>
  </r>
  <r>
    <x v="0"/>
    <x v="5"/>
    <x v="9"/>
    <x v="0"/>
    <n v="1858006.61"/>
    <n v="81833.66"/>
    <n v="84713"/>
    <n v="21.93295728"/>
  </r>
  <r>
    <x v="0"/>
    <x v="7"/>
    <x v="8"/>
    <x v="10"/>
    <n v="460372006.69999999"/>
    <n v="1974225.89"/>
    <n v="8410994"/>
    <n v="54.734554170000003"/>
  </r>
  <r>
    <x v="0"/>
    <x v="3"/>
    <x v="2"/>
    <x v="1"/>
    <n v="2709413.33"/>
    <n v="89714.38"/>
    <n v="55990"/>
    <n v="48.391022149999998"/>
  </r>
  <r>
    <x v="1"/>
    <x v="6"/>
    <x v="8"/>
    <x v="4"/>
    <n v="9798372.5099999998"/>
    <n v="295164.75"/>
    <n v="13745"/>
    <n v="712.86813459999996"/>
  </r>
  <r>
    <x v="2"/>
    <x v="3"/>
    <x v="6"/>
    <x v="2"/>
    <n v="97760909.599999994"/>
    <n v="3088195.54"/>
    <n v="505849"/>
    <n v="193.26105140000001"/>
  </r>
  <r>
    <x v="1"/>
    <x v="5"/>
    <x v="1"/>
    <x v="0"/>
    <n v="241699.64"/>
    <n v="9483.1299999999992"/>
    <n v="6977"/>
    <n v="34.642344850000001"/>
  </r>
  <r>
    <x v="0"/>
    <x v="6"/>
    <x v="1"/>
    <x v="8"/>
    <n v="12681363.27"/>
    <n v="435993.96"/>
    <n v="197461"/>
    <n v="64.222116110000002"/>
  </r>
  <r>
    <x v="3"/>
    <x v="8"/>
    <x v="6"/>
    <x v="5"/>
    <n v="33380.53"/>
    <n v="1337.54"/>
    <n v="638"/>
    <n v="52.320579940000002"/>
  </r>
  <r>
    <x v="1"/>
    <x v="7"/>
    <x v="8"/>
    <x v="5"/>
    <n v="666010109.89999998"/>
    <n v="22576289.989999998"/>
    <n v="8104577"/>
    <n v="82.177035259999997"/>
  </r>
  <r>
    <x v="1"/>
    <x v="1"/>
    <x v="9"/>
    <x v="5"/>
    <n v="357419587.30000001"/>
    <n v="10065369.119999999"/>
    <n v="4709464"/>
    <n v="75.893899450000006"/>
  </r>
  <r>
    <x v="3"/>
    <x v="2"/>
    <x v="7"/>
    <x v="3"/>
    <n v="12911.97"/>
    <n v="485.9"/>
    <n v="1138"/>
    <n v="11.346195079999999"/>
  </r>
  <r>
    <x v="3"/>
    <x v="9"/>
    <x v="7"/>
    <x v="2"/>
    <n v="18117.68"/>
    <n v="383.98"/>
    <n v="132"/>
    <n v="137.25515150000001"/>
  </r>
  <r>
    <x v="1"/>
    <x v="4"/>
    <x v="2"/>
    <x v="1"/>
    <n v="122901.46"/>
    <n v="3739.44"/>
    <n v="2258"/>
    <n v="54.429344550000003"/>
  </r>
  <r>
    <x v="3"/>
    <x v="1"/>
    <x v="1"/>
    <x v="7"/>
    <n v="9410791.7100000009"/>
    <n v="350473.84"/>
    <n v="385086"/>
    <n v="24.43815592"/>
  </r>
  <r>
    <x v="3"/>
    <x v="4"/>
    <x v="7"/>
    <x v="4"/>
    <n v="20619851.07"/>
    <n v="680356.75"/>
    <n v="93261"/>
    <n v="221.09832700000001"/>
  </r>
  <r>
    <x v="2"/>
    <x v="5"/>
    <x v="4"/>
    <x v="4"/>
    <n v="1309315.33"/>
    <n v="46004.46"/>
    <n v="14141"/>
    <n v="92.590009899999998"/>
  </r>
  <r>
    <x v="3"/>
    <x v="2"/>
    <x v="0"/>
    <x v="4"/>
    <n v="78362.92"/>
    <n v="1434.72"/>
    <n v="1523"/>
    <n v="51.453000660000001"/>
  </r>
  <r>
    <x v="0"/>
    <x v="4"/>
    <x v="1"/>
    <x v="0"/>
    <n v="37545712.619999997"/>
    <n v="1388270.53"/>
    <n v="737197"/>
    <n v="50.930365449999996"/>
  </r>
  <r>
    <x v="0"/>
    <x v="3"/>
    <x v="8"/>
    <x v="4"/>
    <n v="148256509.5"/>
    <n v="4813056.2300000004"/>
    <n v="318467"/>
    <n v="465.5317804"/>
  </r>
  <r>
    <x v="3"/>
    <x v="9"/>
    <x v="6"/>
    <x v="8"/>
    <n v="664.52"/>
    <n v="46.23"/>
    <n v="57"/>
    <n v="11.65824561"/>
  </r>
  <r>
    <x v="0"/>
    <x v="3"/>
    <x v="0"/>
    <x v="0"/>
    <n v="22086678.93"/>
    <n v="787567.88"/>
    <n v="352286"/>
    <n v="62.695307020000001"/>
  </r>
  <r>
    <x v="0"/>
    <x v="6"/>
    <x v="1"/>
    <x v="6"/>
    <n v="3789348.89"/>
    <n v="120714.27"/>
    <n v="10513"/>
    <n v="360.44410629999999"/>
  </r>
  <r>
    <x v="2"/>
    <x v="7"/>
    <x v="0"/>
    <x v="6"/>
    <n v="108135.29"/>
    <n v="1426.81"/>
    <n v="939"/>
    <n v="115.16005319999999"/>
  </r>
  <r>
    <x v="1"/>
    <x v="2"/>
    <x v="7"/>
    <x v="3"/>
    <n v="13236.69"/>
    <n v="376.09"/>
    <n v="755"/>
    <n v="17.532039739999998"/>
  </r>
  <r>
    <x v="0"/>
    <x v="5"/>
    <x v="0"/>
    <x v="9"/>
    <n v="633.51"/>
    <n v="24.57"/>
    <n v="27"/>
    <n v="23.463333330000001"/>
  </r>
  <r>
    <x v="1"/>
    <x v="3"/>
    <x v="0"/>
    <x v="1"/>
    <n v="1151.1300000000001"/>
    <n v="48.45"/>
    <n v="82"/>
    <n v="14.038170729999999"/>
  </r>
  <r>
    <x v="3"/>
    <x v="6"/>
    <x v="0"/>
    <x v="4"/>
    <n v="6952.2"/>
    <n v="160.88"/>
    <n v="263"/>
    <n v="26.434220530000001"/>
  </r>
  <r>
    <x v="0"/>
    <x v="0"/>
    <x v="6"/>
    <x v="1"/>
    <n v="230.04"/>
    <n v="10.85"/>
    <n v="15"/>
    <n v="15.336"/>
  </r>
  <r>
    <x v="1"/>
    <x v="3"/>
    <x v="2"/>
    <x v="8"/>
    <n v="99213115.599999994"/>
    <n v="3605501.08"/>
    <n v="1475735"/>
    <n v="67.229628349999999"/>
  </r>
  <r>
    <x v="3"/>
    <x v="1"/>
    <x v="9"/>
    <x v="0"/>
    <n v="171956152.5"/>
    <n v="3684097.74"/>
    <n v="2128116"/>
    <n v="80.802058009999996"/>
  </r>
  <r>
    <x v="3"/>
    <x v="0"/>
    <x v="3"/>
    <x v="6"/>
    <n v="0"/>
    <n v="0"/>
    <n v="1"/>
    <n v="0"/>
  </r>
  <r>
    <x v="2"/>
    <x v="7"/>
    <x v="3"/>
    <x v="6"/>
    <n v="5375819.7999999998"/>
    <n v="167508.31"/>
    <n v="20763"/>
    <n v="258.91344220000002"/>
  </r>
  <r>
    <x v="0"/>
    <x v="2"/>
    <x v="5"/>
    <x v="0"/>
    <n v="6285585.3899999997"/>
    <n v="263812.49"/>
    <n v="183249"/>
    <n v="34.30078958"/>
  </r>
  <r>
    <x v="2"/>
    <x v="2"/>
    <x v="1"/>
    <x v="1"/>
    <n v="697565.31"/>
    <n v="28144.03"/>
    <n v="30732"/>
    <n v="22.698337559999999"/>
  </r>
  <r>
    <x v="0"/>
    <x v="3"/>
    <x v="6"/>
    <x v="5"/>
    <n v="710405068.39999998"/>
    <n v="28792824.559999999"/>
    <n v="16260642"/>
    <n v="43.688623630000002"/>
  </r>
  <r>
    <x v="1"/>
    <x v="9"/>
    <x v="0"/>
    <x v="5"/>
    <n v="10424.15"/>
    <n v="384.69"/>
    <n v="118"/>
    <n v="88.340254239999993"/>
  </r>
  <r>
    <x v="2"/>
    <x v="7"/>
    <x v="7"/>
    <x v="8"/>
    <n v="16015649.1"/>
    <n v="665609.97"/>
    <n v="457469"/>
    <n v="35.009255490000001"/>
  </r>
  <r>
    <x v="3"/>
    <x v="8"/>
    <x v="8"/>
    <x v="1"/>
    <n v="-350.01"/>
    <n v="0"/>
    <n v="8"/>
    <n v="-43.751249999999999"/>
  </r>
  <r>
    <x v="1"/>
    <x v="4"/>
    <x v="9"/>
    <x v="1"/>
    <n v="398563.38"/>
    <n v="12473.83"/>
    <n v="7549"/>
    <n v="52.796844620000002"/>
  </r>
  <r>
    <x v="2"/>
    <x v="7"/>
    <x v="8"/>
    <x v="4"/>
    <n v="73042478.530000001"/>
    <n v="2248385.06"/>
    <n v="288025"/>
    <n v="253.5977034"/>
  </r>
  <r>
    <x v="3"/>
    <x v="6"/>
    <x v="7"/>
    <x v="6"/>
    <n v="687446.36"/>
    <n v="22337.72"/>
    <n v="2771"/>
    <n v="248.08601949999999"/>
  </r>
  <r>
    <x v="0"/>
    <x v="6"/>
    <x v="0"/>
    <x v="2"/>
    <n v="20913.22"/>
    <n v="633.33000000000004"/>
    <n v="2199"/>
    <n v="9.5103319689999992"/>
  </r>
  <r>
    <x v="1"/>
    <x v="6"/>
    <x v="3"/>
    <x v="0"/>
    <n v="894418.13"/>
    <n v="22702.51"/>
    <n v="9949"/>
    <n v="89.900304550000001"/>
  </r>
  <r>
    <x v="0"/>
    <x v="2"/>
    <x v="0"/>
    <x v="9"/>
    <n v="89.98"/>
    <n v="7.32"/>
    <n v="59"/>
    <n v="1.5250847460000001"/>
  </r>
  <r>
    <x v="1"/>
    <x v="5"/>
    <x v="3"/>
    <x v="0"/>
    <n v="82499.23"/>
    <n v="3131.96"/>
    <n v="2109"/>
    <n v="39.117700329999998"/>
  </r>
  <r>
    <x v="2"/>
    <x v="3"/>
    <x v="3"/>
    <x v="2"/>
    <n v="12548729.550000001"/>
    <n v="406467.67"/>
    <n v="55404"/>
    <n v="226.49501029999999"/>
  </r>
  <r>
    <x v="3"/>
    <x v="4"/>
    <x v="0"/>
    <x v="5"/>
    <n v="79205533.799999997"/>
    <n v="2502496.04"/>
    <n v="873835"/>
    <n v="90.641292460000003"/>
  </r>
  <r>
    <x v="3"/>
    <x v="3"/>
    <x v="7"/>
    <x v="0"/>
    <n v="5682364.4699999997"/>
    <n v="198726.3"/>
    <n v="100284"/>
    <n v="56.66272257"/>
  </r>
  <r>
    <x v="0"/>
    <x v="5"/>
    <x v="3"/>
    <x v="0"/>
    <n v="352521.73"/>
    <n v="14301.5"/>
    <n v="12826"/>
    <n v="27.48493139"/>
  </r>
  <r>
    <x v="0"/>
    <x v="6"/>
    <x v="3"/>
    <x v="6"/>
    <n v="1865193.59"/>
    <n v="55910.55"/>
    <n v="4264"/>
    <n v="437.42814019999997"/>
  </r>
  <r>
    <x v="1"/>
    <x v="3"/>
    <x v="2"/>
    <x v="0"/>
    <n v="11619145.949999999"/>
    <n v="421417.25"/>
    <n v="194333"/>
    <n v="59.789875879999997"/>
  </r>
  <r>
    <x v="1"/>
    <x v="7"/>
    <x v="4"/>
    <x v="5"/>
    <n v="690296076.60000002"/>
    <n v="24917269.550000001"/>
    <n v="10920198"/>
    <n v="63.212780260000002"/>
  </r>
  <r>
    <x v="2"/>
    <x v="5"/>
    <x v="4"/>
    <x v="1"/>
    <n v="112707.44"/>
    <n v="3155.2"/>
    <n v="2770"/>
    <n v="40.688606499999999"/>
  </r>
  <r>
    <x v="0"/>
    <x v="7"/>
    <x v="2"/>
    <x v="8"/>
    <n v="28558035.09"/>
    <n v="1051762.18"/>
    <n v="518446"/>
    <n v="55.083914409999998"/>
  </r>
  <r>
    <x v="3"/>
    <x v="4"/>
    <x v="9"/>
    <x v="4"/>
    <n v="24009401.710000001"/>
    <n v="788488.81"/>
    <n v="110428"/>
    <n v="217.42132169999999"/>
  </r>
  <r>
    <x v="1"/>
    <x v="0"/>
    <x v="5"/>
    <x v="8"/>
    <n v="923.48"/>
    <n v="36.090000000000003"/>
    <n v="26"/>
    <n v="35.518461539999997"/>
  </r>
  <r>
    <x v="2"/>
    <x v="2"/>
    <x v="2"/>
    <x v="7"/>
    <n v="921301.82"/>
    <n v="35978.410000000003"/>
    <n v="21168"/>
    <n v="43.52332861"/>
  </r>
  <r>
    <x v="2"/>
    <x v="9"/>
    <x v="8"/>
    <x v="10"/>
    <n v="234365.76"/>
    <n v="761.16"/>
    <n v="4274"/>
    <n v="54.835226949999999"/>
  </r>
  <r>
    <x v="2"/>
    <x v="6"/>
    <x v="0"/>
    <x v="6"/>
    <n v="4744038.75"/>
    <n v="146212.69"/>
    <n v="14175"/>
    <n v="334.67645499999998"/>
  </r>
  <r>
    <x v="3"/>
    <x v="6"/>
    <x v="0"/>
    <x v="7"/>
    <n v="361.24"/>
    <n v="10.19"/>
    <n v="97"/>
    <n v="3.7241237109999998"/>
  </r>
  <r>
    <x v="3"/>
    <x v="6"/>
    <x v="1"/>
    <x v="4"/>
    <n v="3602049.84"/>
    <n v="114024.72"/>
    <n v="10179"/>
    <n v="353.8706985"/>
  </r>
  <r>
    <x v="1"/>
    <x v="1"/>
    <x v="1"/>
    <x v="5"/>
    <n v="178931874.90000001"/>
    <n v="5401055.96"/>
    <n v="2313726"/>
    <n v="77.334945840000003"/>
  </r>
  <r>
    <x v="0"/>
    <x v="1"/>
    <x v="9"/>
    <x v="9"/>
    <n v="1131392.93"/>
    <n v="26973.08"/>
    <n v="24937"/>
    <n v="45.370049729999998"/>
  </r>
  <r>
    <x v="1"/>
    <x v="9"/>
    <x v="1"/>
    <x v="1"/>
    <n v="596.9"/>
    <n v="2.2599999999999998"/>
    <n v="21"/>
    <n v="28.423809519999999"/>
  </r>
  <r>
    <x v="3"/>
    <x v="3"/>
    <x v="9"/>
    <x v="6"/>
    <n v="15767543.17"/>
    <n v="521981.62"/>
    <n v="60044"/>
    <n v="262.59981299999998"/>
  </r>
  <r>
    <x v="2"/>
    <x v="8"/>
    <x v="9"/>
    <x v="6"/>
    <n v="4218.16"/>
    <n v="100.19"/>
    <n v="35"/>
    <n v="120.51885710000001"/>
  </r>
  <r>
    <x v="0"/>
    <x v="2"/>
    <x v="4"/>
    <x v="1"/>
    <n v="7298095.5499999998"/>
    <n v="256269.65"/>
    <n v="251396"/>
    <n v="29.030277130000002"/>
  </r>
  <r>
    <x v="3"/>
    <x v="3"/>
    <x v="6"/>
    <x v="1"/>
    <n v="83137.399999999994"/>
    <n v="2716.92"/>
    <n v="1267"/>
    <n v="65.617521699999998"/>
  </r>
  <r>
    <x v="1"/>
    <x v="2"/>
    <x v="0"/>
    <x v="1"/>
    <n v="2.98"/>
    <n v="0.39"/>
    <n v="1"/>
    <n v="2.98"/>
  </r>
  <r>
    <x v="0"/>
    <x v="8"/>
    <x v="0"/>
    <x v="9"/>
    <n v="0"/>
    <n v="0"/>
    <n v="1"/>
    <n v="0"/>
  </r>
  <r>
    <x v="2"/>
    <x v="6"/>
    <x v="2"/>
    <x v="7"/>
    <n v="286589.56"/>
    <n v="9067.6299999999992"/>
    <n v="5294"/>
    <n v="54.134786550000001"/>
  </r>
  <r>
    <x v="1"/>
    <x v="3"/>
    <x v="9"/>
    <x v="6"/>
    <n v="23970018.16"/>
    <n v="808640.98"/>
    <n v="87813"/>
    <n v="272.96662409999999"/>
  </r>
  <r>
    <x v="0"/>
    <x v="8"/>
    <x v="6"/>
    <x v="9"/>
    <n v="0"/>
    <n v="0"/>
    <n v="4"/>
    <n v="0"/>
  </r>
  <r>
    <x v="2"/>
    <x v="1"/>
    <x v="7"/>
    <x v="7"/>
    <n v="25826992.350000001"/>
    <n v="774608.29"/>
    <n v="560431"/>
    <n v="46.084160850000004"/>
  </r>
  <r>
    <x v="3"/>
    <x v="5"/>
    <x v="5"/>
    <x v="1"/>
    <n v="2994.18"/>
    <n v="197.94"/>
    <n v="10122"/>
    <n v="0.29580912860000003"/>
  </r>
  <r>
    <x v="0"/>
    <x v="5"/>
    <x v="6"/>
    <x v="5"/>
    <n v="8847555.6899999995"/>
    <n v="358146.53"/>
    <n v="272682"/>
    <n v="32.446423639999999"/>
  </r>
  <r>
    <x v="1"/>
    <x v="1"/>
    <x v="6"/>
    <x v="7"/>
    <n v="25103666.09"/>
    <n v="742947.3"/>
    <n v="511653"/>
    <n v="49.063850090000003"/>
  </r>
  <r>
    <x v="2"/>
    <x v="0"/>
    <x v="5"/>
    <x v="5"/>
    <n v="17114.57"/>
    <n v="811.76"/>
    <n v="971"/>
    <n v="17.625715759999999"/>
  </r>
  <r>
    <x v="0"/>
    <x v="5"/>
    <x v="8"/>
    <x v="8"/>
    <n v="4296205.59"/>
    <n v="174793.60000000001"/>
    <n v="256545"/>
    <n v="16.74640157"/>
  </r>
  <r>
    <x v="0"/>
    <x v="2"/>
    <x v="7"/>
    <x v="6"/>
    <n v="9639219.9000000004"/>
    <n v="344115.20000000001"/>
    <n v="82303"/>
    <n v="117.1186943"/>
  </r>
  <r>
    <x v="3"/>
    <x v="5"/>
    <x v="7"/>
    <x v="2"/>
    <n v="1982233.6000000001"/>
    <n v="71898.820000000007"/>
    <n v="35830"/>
    <n v="55.323293329999998"/>
  </r>
  <r>
    <x v="2"/>
    <x v="7"/>
    <x v="4"/>
    <x v="2"/>
    <n v="317864166"/>
    <n v="7801117.4299999997"/>
    <n v="2201372"/>
    <n v="144.39366269999999"/>
  </r>
  <r>
    <x v="2"/>
    <x v="6"/>
    <x v="6"/>
    <x v="1"/>
    <n v="167635.95000000001"/>
    <n v="5824.12"/>
    <n v="4895"/>
    <n v="34.246363639999998"/>
  </r>
  <r>
    <x v="0"/>
    <x v="5"/>
    <x v="8"/>
    <x v="9"/>
    <n v="189003.56"/>
    <n v="367.55"/>
    <n v="3064"/>
    <n v="61.685234989999998"/>
  </r>
  <r>
    <x v="0"/>
    <x v="6"/>
    <x v="2"/>
    <x v="5"/>
    <n v="5705729"/>
    <n v="213866.7"/>
    <n v="108203"/>
    <n v="52.731707989999997"/>
  </r>
  <r>
    <x v="2"/>
    <x v="6"/>
    <x v="9"/>
    <x v="4"/>
    <n v="4574308.37"/>
    <n v="142797.19"/>
    <n v="12449"/>
    <n v="367.44384050000002"/>
  </r>
  <r>
    <x v="1"/>
    <x v="9"/>
    <x v="8"/>
    <x v="1"/>
    <n v="314.54000000000002"/>
    <n v="3.52"/>
    <n v="5"/>
    <n v="62.908000000000001"/>
  </r>
  <r>
    <x v="1"/>
    <x v="4"/>
    <x v="8"/>
    <x v="7"/>
    <n v="12733996.800000001"/>
    <n v="403667.08"/>
    <n v="176327"/>
    <n v="72.218076640000007"/>
  </r>
  <r>
    <x v="0"/>
    <x v="3"/>
    <x v="2"/>
    <x v="7"/>
    <n v="4651071.38"/>
    <n v="171944.4"/>
    <n v="90484"/>
    <n v="51.402141589999999"/>
  </r>
  <r>
    <x v="2"/>
    <x v="0"/>
    <x v="5"/>
    <x v="8"/>
    <n v="893.25"/>
    <n v="38.54"/>
    <n v="22"/>
    <n v="40.602272730000003"/>
  </r>
  <r>
    <x v="3"/>
    <x v="6"/>
    <x v="2"/>
    <x v="2"/>
    <n v="4554823.79"/>
    <n v="130973.78"/>
    <n v="17926"/>
    <n v="254.09035979999999"/>
  </r>
  <r>
    <x v="3"/>
    <x v="9"/>
    <x v="7"/>
    <x v="8"/>
    <n v="448.58"/>
    <n v="27.51"/>
    <n v="25"/>
    <n v="17.943200000000001"/>
  </r>
  <r>
    <x v="0"/>
    <x v="6"/>
    <x v="0"/>
    <x v="7"/>
    <n v="106334121.2"/>
    <n v="2453197.35"/>
    <n v="876991"/>
    <n v="121.24881689999999"/>
  </r>
  <r>
    <x v="3"/>
    <x v="1"/>
    <x v="4"/>
    <x v="1"/>
    <n v="11951.8"/>
    <n v="295.06"/>
    <n v="214"/>
    <n v="55.849532709999998"/>
  </r>
  <r>
    <x v="1"/>
    <x v="6"/>
    <x v="0"/>
    <x v="8"/>
    <n v="84268.46"/>
    <n v="2824.63"/>
    <n v="6668"/>
    <n v="12.63774145"/>
  </r>
  <r>
    <x v="3"/>
    <x v="5"/>
    <x v="0"/>
    <x v="5"/>
    <n v="32793.15"/>
    <n v="1090.49"/>
    <n v="1594"/>
    <n v="20.572866999999999"/>
  </r>
  <r>
    <x v="2"/>
    <x v="6"/>
    <x v="7"/>
    <x v="5"/>
    <n v="18963459.66"/>
    <n v="767959.34"/>
    <n v="524192"/>
    <n v="36.176552979999997"/>
  </r>
  <r>
    <x v="3"/>
    <x v="6"/>
    <x v="1"/>
    <x v="0"/>
    <n v="2911175.9"/>
    <n v="68265.09"/>
    <n v="39763"/>
    <n v="73.213185620000004"/>
  </r>
  <r>
    <x v="3"/>
    <x v="3"/>
    <x v="1"/>
    <x v="0"/>
    <n v="5960442"/>
    <n v="217421.26"/>
    <n v="99256"/>
    <n v="60.05120093"/>
  </r>
  <r>
    <x v="1"/>
    <x v="4"/>
    <x v="0"/>
    <x v="4"/>
    <n v="6044219.5"/>
    <n v="194216.79"/>
    <n v="21092"/>
    <n v="286.5645505"/>
  </r>
  <r>
    <x v="3"/>
    <x v="2"/>
    <x v="3"/>
    <x v="4"/>
    <n v="7099407.9500000002"/>
    <n v="221404.47"/>
    <n v="25273"/>
    <n v="280.908794"/>
  </r>
  <r>
    <x v="3"/>
    <x v="0"/>
    <x v="6"/>
    <x v="5"/>
    <n v="11524.62"/>
    <n v="326.85000000000002"/>
    <n v="169"/>
    <n v="68.193017749999996"/>
  </r>
  <r>
    <x v="2"/>
    <x v="9"/>
    <x v="6"/>
    <x v="2"/>
    <n v="43352.78"/>
    <n v="668.66"/>
    <n v="379"/>
    <n v="114.3872823"/>
  </r>
  <r>
    <x v="0"/>
    <x v="3"/>
    <x v="7"/>
    <x v="6"/>
    <n v="22018843.109999999"/>
    <n v="811488.63"/>
    <n v="109031"/>
    <n v="201.9502995"/>
  </r>
  <r>
    <x v="2"/>
    <x v="6"/>
    <x v="7"/>
    <x v="2"/>
    <n v="3720814.1"/>
    <n v="107020.29"/>
    <n v="20406"/>
    <n v="182.33921889999999"/>
  </r>
  <r>
    <x v="2"/>
    <x v="3"/>
    <x v="5"/>
    <x v="0"/>
    <n v="8291626.96"/>
    <n v="302553.28000000003"/>
    <n v="150567"/>
    <n v="55.069350919999998"/>
  </r>
  <r>
    <x v="0"/>
    <x v="4"/>
    <x v="7"/>
    <x v="9"/>
    <n v="1763672.64"/>
    <n v="61466.01"/>
    <n v="43939"/>
    <n v="40.1391165"/>
  </r>
  <r>
    <x v="3"/>
    <x v="3"/>
    <x v="4"/>
    <x v="2"/>
    <n v="85302199.590000004"/>
    <n v="2636573.2799999998"/>
    <n v="394945"/>
    <n v="215.98500949999999"/>
  </r>
  <r>
    <x v="0"/>
    <x v="2"/>
    <x v="0"/>
    <x v="3"/>
    <n v="24.95"/>
    <n v="0.77"/>
    <n v="16"/>
    <n v="1.559375"/>
  </r>
  <r>
    <x v="3"/>
    <x v="4"/>
    <x v="2"/>
    <x v="8"/>
    <n v="69088948.640000001"/>
    <n v="2450728.9"/>
    <n v="1170152"/>
    <n v="59.042712950000002"/>
  </r>
  <r>
    <x v="0"/>
    <x v="0"/>
    <x v="1"/>
    <x v="0"/>
    <n v="784"/>
    <n v="24.22"/>
    <n v="6"/>
    <n v="130.66666670000001"/>
  </r>
  <r>
    <x v="1"/>
    <x v="9"/>
    <x v="2"/>
    <x v="8"/>
    <n v="1556.36"/>
    <n v="126.44"/>
    <n v="111"/>
    <n v="14.021261259999999"/>
  </r>
  <r>
    <x v="3"/>
    <x v="5"/>
    <x v="4"/>
    <x v="8"/>
    <n v="4214070.0999999996"/>
    <n v="178993.5"/>
    <n v="162231"/>
    <n v="25.975738920000001"/>
  </r>
  <r>
    <x v="0"/>
    <x v="3"/>
    <x v="7"/>
    <x v="9"/>
    <n v="1409757.96"/>
    <n v="54221.37"/>
    <n v="37518"/>
    <n v="37.575509359999998"/>
  </r>
  <r>
    <x v="1"/>
    <x v="6"/>
    <x v="8"/>
    <x v="6"/>
    <n v="6100651.3499999996"/>
    <n v="178145.71"/>
    <n v="9438"/>
    <n v="646.39238720000003"/>
  </r>
  <r>
    <x v="0"/>
    <x v="9"/>
    <x v="7"/>
    <x v="1"/>
    <n v="1283"/>
    <n v="1.75"/>
    <n v="16"/>
    <n v="80.1875"/>
  </r>
  <r>
    <x v="0"/>
    <x v="8"/>
    <x v="9"/>
    <x v="7"/>
    <n v="405.85"/>
    <n v="19.54"/>
    <n v="45"/>
    <n v="9.0188888889999994"/>
  </r>
  <r>
    <x v="1"/>
    <x v="3"/>
    <x v="0"/>
    <x v="8"/>
    <n v="470456.97"/>
    <n v="13778.29"/>
    <n v="55455"/>
    <n v="8.4835807410000008"/>
  </r>
  <r>
    <x v="3"/>
    <x v="8"/>
    <x v="7"/>
    <x v="2"/>
    <n v="1455.65"/>
    <n v="344.85"/>
    <n v="308"/>
    <n v="4.7261363640000003"/>
  </r>
  <r>
    <x v="2"/>
    <x v="8"/>
    <x v="5"/>
    <x v="1"/>
    <n v="-1"/>
    <n v="0"/>
    <n v="2"/>
    <n v="-0.5"/>
  </r>
  <r>
    <x v="0"/>
    <x v="6"/>
    <x v="3"/>
    <x v="5"/>
    <n v="1725458.07"/>
    <n v="61390.74"/>
    <n v="26781"/>
    <n v="64.428440690000002"/>
  </r>
  <r>
    <x v="3"/>
    <x v="7"/>
    <x v="9"/>
    <x v="4"/>
    <n v="33672746.259999998"/>
    <n v="1024110.22"/>
    <n v="179545"/>
    <n v="187.54488430000001"/>
  </r>
  <r>
    <x v="3"/>
    <x v="8"/>
    <x v="9"/>
    <x v="0"/>
    <n v="70.5"/>
    <n v="2.34"/>
    <n v="68"/>
    <n v="1.036764706"/>
  </r>
  <r>
    <x v="1"/>
    <x v="1"/>
    <x v="5"/>
    <x v="8"/>
    <n v="48777040.020000003"/>
    <n v="1709439.48"/>
    <n v="1251696"/>
    <n v="38.968759200000001"/>
  </r>
  <r>
    <x v="3"/>
    <x v="7"/>
    <x v="0"/>
    <x v="1"/>
    <n v="355"/>
    <n v="5.68"/>
    <n v="4"/>
    <n v="88.75"/>
  </r>
  <r>
    <x v="2"/>
    <x v="4"/>
    <x v="4"/>
    <x v="3"/>
    <n v="1671185.81"/>
    <n v="51941.09"/>
    <n v="97418"/>
    <n v="17.154794899999999"/>
  </r>
  <r>
    <x v="3"/>
    <x v="8"/>
    <x v="6"/>
    <x v="6"/>
    <n v="526.95000000000005"/>
    <n v="11.43"/>
    <n v="12"/>
    <n v="43.912500000000001"/>
  </r>
  <r>
    <x v="0"/>
    <x v="2"/>
    <x v="6"/>
    <x v="8"/>
    <n v="99835012.159999996"/>
    <n v="3862536.48"/>
    <n v="2431873"/>
    <n v="41.052724449999999"/>
  </r>
  <r>
    <x v="0"/>
    <x v="5"/>
    <x v="2"/>
    <x v="5"/>
    <n v="2522569.38"/>
    <n v="93065.27"/>
    <n v="50605"/>
    <n v="49.848224090000002"/>
  </r>
  <r>
    <x v="2"/>
    <x v="6"/>
    <x v="1"/>
    <x v="0"/>
    <n v="2818176.01"/>
    <n v="86633.22"/>
    <n v="58917"/>
    <n v="47.832985559999997"/>
  </r>
  <r>
    <x v="0"/>
    <x v="6"/>
    <x v="2"/>
    <x v="0"/>
    <n v="3763979.15"/>
    <n v="115119.8"/>
    <n v="69092"/>
    <n v="54.477785419999996"/>
  </r>
  <r>
    <x v="1"/>
    <x v="0"/>
    <x v="0"/>
    <x v="8"/>
    <n v="176"/>
    <n v="6.77"/>
    <n v="5"/>
    <n v="35.200000000000003"/>
  </r>
  <r>
    <x v="1"/>
    <x v="2"/>
    <x v="4"/>
    <x v="2"/>
    <n v="52986884.530000001"/>
    <n v="1822771.83"/>
    <n v="429545"/>
    <n v="123.35584059999999"/>
  </r>
  <r>
    <x v="3"/>
    <x v="5"/>
    <x v="4"/>
    <x v="6"/>
    <n v="506121.22"/>
    <n v="17809.7"/>
    <n v="6217"/>
    <n v="81.409235969999997"/>
  </r>
  <r>
    <x v="0"/>
    <x v="6"/>
    <x v="4"/>
    <x v="9"/>
    <n v="52947.33"/>
    <n v="1992.85"/>
    <n v="1877"/>
    <n v="28.208486950000001"/>
  </r>
  <r>
    <x v="0"/>
    <x v="3"/>
    <x v="4"/>
    <x v="2"/>
    <n v="122649523.40000001"/>
    <n v="3246981.14"/>
    <n v="497141"/>
    <n v="246.70973309999999"/>
  </r>
  <r>
    <x v="0"/>
    <x v="6"/>
    <x v="0"/>
    <x v="9"/>
    <n v="0.99"/>
    <n v="0.1"/>
    <n v="24"/>
    <n v="4.1250000000000002E-2"/>
  </r>
  <r>
    <x v="3"/>
    <x v="5"/>
    <x v="6"/>
    <x v="5"/>
    <n v="11201128.17"/>
    <n v="447988.54"/>
    <n v="343058"/>
    <n v="32.650829219999999"/>
  </r>
  <r>
    <x v="3"/>
    <x v="0"/>
    <x v="0"/>
    <x v="1"/>
    <n v="44.75"/>
    <n v="0"/>
    <n v="1"/>
    <n v="44.75"/>
  </r>
  <r>
    <x v="2"/>
    <x v="8"/>
    <x v="0"/>
    <x v="8"/>
    <n v="12097.56"/>
    <n v="419.25"/>
    <n v="982"/>
    <n v="12.319307540000001"/>
  </r>
  <r>
    <x v="3"/>
    <x v="5"/>
    <x v="9"/>
    <x v="7"/>
    <n v="37605.83"/>
    <n v="1545.13"/>
    <n v="1494"/>
    <n v="25.171238290000002"/>
  </r>
  <r>
    <x v="3"/>
    <x v="4"/>
    <x v="4"/>
    <x v="3"/>
    <n v="1470496.87"/>
    <n v="47688.39"/>
    <n v="101553"/>
    <n v="14.480092859999999"/>
  </r>
  <r>
    <x v="1"/>
    <x v="4"/>
    <x v="0"/>
    <x v="5"/>
    <n v="102785770.2"/>
    <n v="3322049.41"/>
    <n v="1213779"/>
    <n v="84.682442350000002"/>
  </r>
  <r>
    <x v="2"/>
    <x v="0"/>
    <x v="4"/>
    <x v="8"/>
    <n v="411.8"/>
    <n v="18.940000000000001"/>
    <n v="12"/>
    <n v="34.316666669999996"/>
  </r>
  <r>
    <x v="2"/>
    <x v="4"/>
    <x v="8"/>
    <x v="0"/>
    <n v="44168795.539999999"/>
    <n v="1400043.8"/>
    <n v="704340"/>
    <n v="62.709480560000003"/>
  </r>
  <r>
    <x v="1"/>
    <x v="3"/>
    <x v="6"/>
    <x v="2"/>
    <n v="93773357.209999993"/>
    <n v="3129290"/>
    <n v="480198"/>
    <n v="195.2806076"/>
  </r>
  <r>
    <x v="1"/>
    <x v="5"/>
    <x v="7"/>
    <x v="1"/>
    <n v="14324.45"/>
    <n v="492.83"/>
    <n v="361"/>
    <n v="39.679916900000002"/>
  </r>
  <r>
    <x v="0"/>
    <x v="4"/>
    <x v="6"/>
    <x v="5"/>
    <n v="797839237"/>
    <n v="28653144.780000001"/>
    <n v="14460842"/>
    <n v="55.17239155"/>
  </r>
  <r>
    <x v="1"/>
    <x v="5"/>
    <x v="1"/>
    <x v="6"/>
    <n v="886346.76"/>
    <n v="30993.87"/>
    <n v="7626"/>
    <n v="116.22695520000001"/>
  </r>
  <r>
    <x v="1"/>
    <x v="1"/>
    <x v="1"/>
    <x v="0"/>
    <n v="103997382.2"/>
    <n v="2550675.1"/>
    <n v="1706123"/>
    <n v="60.955383730000001"/>
  </r>
  <r>
    <x v="0"/>
    <x v="5"/>
    <x v="5"/>
    <x v="1"/>
    <n v="206027.08"/>
    <n v="7522.3"/>
    <n v="14619"/>
    <n v="14.0931035"/>
  </r>
  <r>
    <x v="1"/>
    <x v="2"/>
    <x v="5"/>
    <x v="3"/>
    <n v="6187.2"/>
    <n v="174.85"/>
    <n v="346"/>
    <n v="17.88208092"/>
  </r>
  <r>
    <x v="0"/>
    <x v="8"/>
    <x v="1"/>
    <x v="1"/>
    <n v="220.37"/>
    <n v="9.14"/>
    <n v="35"/>
    <n v="6.2962857139999997"/>
  </r>
  <r>
    <x v="2"/>
    <x v="7"/>
    <x v="2"/>
    <x v="8"/>
    <n v="22179828.809999999"/>
    <n v="827842.63"/>
    <n v="441289"/>
    <n v="50.261458609999998"/>
  </r>
  <r>
    <x v="0"/>
    <x v="6"/>
    <x v="0"/>
    <x v="0"/>
    <n v="1861575.28"/>
    <n v="65811.289999999994"/>
    <n v="42537"/>
    <n v="43.763671160000001"/>
  </r>
  <r>
    <x v="1"/>
    <x v="2"/>
    <x v="9"/>
    <x v="0"/>
    <n v="7775024.7699999996"/>
    <n v="289177.3"/>
    <n v="148705"/>
    <n v="52.284891360000003"/>
  </r>
  <r>
    <x v="1"/>
    <x v="3"/>
    <x v="7"/>
    <x v="8"/>
    <n v="66859353.780000001"/>
    <n v="2664960.4500000002"/>
    <n v="1414589"/>
    <n v="47.264155019999997"/>
  </r>
  <r>
    <x v="2"/>
    <x v="2"/>
    <x v="3"/>
    <x v="8"/>
    <n v="27737573.789999999"/>
    <n v="967718.96"/>
    <n v="473951"/>
    <n v="58.524138129999997"/>
  </r>
  <r>
    <x v="2"/>
    <x v="0"/>
    <x v="3"/>
    <x v="5"/>
    <n v="1687.29"/>
    <n v="71.430000000000007"/>
    <n v="29"/>
    <n v="58.182413789999998"/>
  </r>
  <r>
    <x v="3"/>
    <x v="3"/>
    <x v="5"/>
    <x v="5"/>
    <n v="571189389.70000005"/>
    <n v="23042054.449999999"/>
    <n v="13144248"/>
    <n v="43.455463539999997"/>
  </r>
  <r>
    <x v="3"/>
    <x v="2"/>
    <x v="1"/>
    <x v="0"/>
    <n v="2422787.54"/>
    <n v="91990.66"/>
    <n v="42620"/>
    <n v="56.846258560000003"/>
  </r>
  <r>
    <x v="0"/>
    <x v="4"/>
    <x v="8"/>
    <x v="6"/>
    <n v="109185393.8"/>
    <n v="3261085.48"/>
    <n v="124021"/>
    <n v="880.3782731"/>
  </r>
  <r>
    <x v="2"/>
    <x v="1"/>
    <x v="0"/>
    <x v="8"/>
    <n v="179451555.59999999"/>
    <n v="4946130.4000000004"/>
    <n v="2975280"/>
    <n v="60.314174010000002"/>
  </r>
  <r>
    <x v="2"/>
    <x v="1"/>
    <x v="6"/>
    <x v="0"/>
    <n v="583947074.70000005"/>
    <n v="12318442.02"/>
    <n v="8658840"/>
    <n v="67.4394116"/>
  </r>
  <r>
    <x v="3"/>
    <x v="4"/>
    <x v="6"/>
    <x v="1"/>
    <n v="59079.96"/>
    <n v="1810.91"/>
    <n v="877"/>
    <n v="67.365974910000006"/>
  </r>
  <r>
    <x v="3"/>
    <x v="8"/>
    <x v="4"/>
    <x v="4"/>
    <n v="-1502.99"/>
    <n v="30.45"/>
    <n v="41"/>
    <n v="-36.658292680000002"/>
  </r>
  <r>
    <x v="0"/>
    <x v="0"/>
    <x v="4"/>
    <x v="6"/>
    <n v="120.5"/>
    <n v="8.09"/>
    <n v="1"/>
    <n v="120.5"/>
  </r>
  <r>
    <x v="2"/>
    <x v="2"/>
    <x v="7"/>
    <x v="5"/>
    <n v="273234104.39999998"/>
    <n v="12297296.58"/>
    <n v="10968530"/>
    <n v="24.910731370000001"/>
  </r>
  <r>
    <x v="1"/>
    <x v="4"/>
    <x v="5"/>
    <x v="3"/>
    <n v="606167.26"/>
    <n v="23535.97"/>
    <n v="33446"/>
    <n v="18.123759490000001"/>
  </r>
  <r>
    <x v="0"/>
    <x v="6"/>
    <x v="8"/>
    <x v="2"/>
    <n v="34616837.770000003"/>
    <n v="635884.80000000005"/>
    <n v="69039"/>
    <n v="501.40989539999998"/>
  </r>
  <r>
    <x v="3"/>
    <x v="3"/>
    <x v="9"/>
    <x v="4"/>
    <n v="35679496.600000001"/>
    <n v="1195485.01"/>
    <n v="168850"/>
    <n v="211.3088339"/>
  </r>
  <r>
    <x v="0"/>
    <x v="3"/>
    <x v="0"/>
    <x v="5"/>
    <n v="103761372.90000001"/>
    <n v="3816322.59"/>
    <n v="2020982"/>
    <n v="51.342056939999999"/>
  </r>
  <r>
    <x v="1"/>
    <x v="3"/>
    <x v="3"/>
    <x v="8"/>
    <n v="30275132.300000001"/>
    <n v="1066904.92"/>
    <n v="419332"/>
    <n v="72.198478289999997"/>
  </r>
  <r>
    <x v="2"/>
    <x v="1"/>
    <x v="6"/>
    <x v="7"/>
    <n v="44413512.130000003"/>
    <n v="1299617.42"/>
    <n v="931742"/>
    <n v="47.667178389999997"/>
  </r>
  <r>
    <x v="2"/>
    <x v="7"/>
    <x v="1"/>
    <x v="2"/>
    <n v="104658482.5"/>
    <n v="2618237.0499999998"/>
    <n v="806998"/>
    <n v="129.68865170000001"/>
  </r>
  <r>
    <x v="2"/>
    <x v="9"/>
    <x v="3"/>
    <x v="1"/>
    <n v="215.99"/>
    <n v="2.1"/>
    <n v="5"/>
    <n v="43.198"/>
  </r>
  <r>
    <x v="0"/>
    <x v="1"/>
    <x v="3"/>
    <x v="6"/>
    <n v="1023180.05"/>
    <n v="27444.22"/>
    <n v="2021"/>
    <n v="506.27414649999997"/>
  </r>
  <r>
    <x v="1"/>
    <x v="0"/>
    <x v="8"/>
    <x v="10"/>
    <n v="19356"/>
    <n v="131.57"/>
    <n v="456"/>
    <n v="42.447368419999997"/>
  </r>
  <r>
    <x v="3"/>
    <x v="2"/>
    <x v="8"/>
    <x v="8"/>
    <n v="50104245.799999997"/>
    <n v="1966085.1"/>
    <n v="1268890"/>
    <n v="39.486674020000002"/>
  </r>
  <r>
    <x v="0"/>
    <x v="8"/>
    <x v="4"/>
    <x v="0"/>
    <n v="-723.97"/>
    <n v="102.13"/>
    <n v="322"/>
    <n v="-2.2483540369999999"/>
  </r>
  <r>
    <x v="0"/>
    <x v="9"/>
    <x v="4"/>
    <x v="7"/>
    <n v="1457.4"/>
    <n v="51.28"/>
    <n v="29"/>
    <n v="50.25517241"/>
  </r>
  <r>
    <x v="2"/>
    <x v="6"/>
    <x v="8"/>
    <x v="0"/>
    <n v="2835759.34"/>
    <n v="75211.48"/>
    <n v="42163"/>
    <n v="67.257058079999993"/>
  </r>
  <r>
    <x v="0"/>
    <x v="8"/>
    <x v="5"/>
    <x v="5"/>
    <n v="13026.75"/>
    <n v="663.63"/>
    <n v="593"/>
    <n v="21.96753794"/>
  </r>
  <r>
    <x v="0"/>
    <x v="7"/>
    <x v="3"/>
    <x v="2"/>
    <n v="59240828.359999999"/>
    <n v="1361722.91"/>
    <n v="357530"/>
    <n v="165.69470630000001"/>
  </r>
  <r>
    <x v="3"/>
    <x v="2"/>
    <x v="9"/>
    <x v="6"/>
    <n v="12647439.42"/>
    <n v="409995.52000000002"/>
    <n v="65542"/>
    <n v="192.96694360000001"/>
  </r>
  <r>
    <x v="3"/>
    <x v="5"/>
    <x v="3"/>
    <x v="2"/>
    <n v="1020231.18"/>
    <n v="33984.370000000003"/>
    <n v="11319"/>
    <n v="90.134391730000004"/>
  </r>
  <r>
    <x v="2"/>
    <x v="1"/>
    <x v="7"/>
    <x v="5"/>
    <n v="265439364.80000001"/>
    <n v="7445609.8399999999"/>
    <n v="4857383"/>
    <n v="54.646579199999998"/>
  </r>
  <r>
    <x v="2"/>
    <x v="6"/>
    <x v="0"/>
    <x v="6"/>
    <n v="67190.5"/>
    <n v="1181.51"/>
    <n v="251"/>
    <n v="267.69123509999997"/>
  </r>
  <r>
    <x v="3"/>
    <x v="8"/>
    <x v="0"/>
    <x v="0"/>
    <n v="18.75"/>
    <n v="4.49"/>
    <n v="276"/>
    <n v="6.7934782609999994E-2"/>
  </r>
  <r>
    <x v="0"/>
    <x v="7"/>
    <x v="0"/>
    <x v="9"/>
    <n v="0"/>
    <n v="1.2"/>
    <n v="65"/>
    <n v="0"/>
  </r>
  <r>
    <x v="3"/>
    <x v="3"/>
    <x v="8"/>
    <x v="5"/>
    <n v="568876407.39999998"/>
    <n v="20364423.43"/>
    <n v="7860097"/>
    <n v="72.375240070000004"/>
  </r>
  <r>
    <x v="0"/>
    <x v="6"/>
    <x v="2"/>
    <x v="7"/>
    <n v="399611.92"/>
    <n v="11991.85"/>
    <n v="7060"/>
    <n v="56.602254960000003"/>
  </r>
  <r>
    <x v="0"/>
    <x v="4"/>
    <x v="9"/>
    <x v="5"/>
    <n v="624208202.10000002"/>
    <n v="22045162.539999999"/>
    <n v="10032564"/>
    <n v="62.218212819999998"/>
  </r>
  <r>
    <x v="0"/>
    <x v="1"/>
    <x v="0"/>
    <x v="6"/>
    <n v="26719.06"/>
    <n v="535.66"/>
    <n v="74"/>
    <n v="361.06837839999997"/>
  </r>
  <r>
    <x v="2"/>
    <x v="6"/>
    <x v="1"/>
    <x v="6"/>
    <n v="3064612.43"/>
    <n v="89637.85"/>
    <n v="8239"/>
    <n v="371.96412550000002"/>
  </r>
  <r>
    <x v="0"/>
    <x v="2"/>
    <x v="8"/>
    <x v="3"/>
    <n v="8149.87"/>
    <n v="280.14999999999998"/>
    <n v="309"/>
    <n v="26.374983820000001"/>
  </r>
  <r>
    <x v="2"/>
    <x v="5"/>
    <x v="4"/>
    <x v="7"/>
    <n v="59244.23"/>
    <n v="2432.31"/>
    <n v="2235"/>
    <n v="26.507485460000002"/>
  </r>
  <r>
    <x v="3"/>
    <x v="0"/>
    <x v="1"/>
    <x v="5"/>
    <n v="9129.89"/>
    <n v="315.54000000000002"/>
    <n v="97"/>
    <n v="94.122577320000005"/>
  </r>
  <r>
    <x v="1"/>
    <x v="6"/>
    <x v="6"/>
    <x v="8"/>
    <n v="7631186.96"/>
    <n v="287270.43"/>
    <n v="177020"/>
    <n v="43.109179529999999"/>
  </r>
  <r>
    <x v="2"/>
    <x v="0"/>
    <x v="1"/>
    <x v="5"/>
    <n v="3439.51"/>
    <n v="164.04"/>
    <n v="199"/>
    <n v="17.283969849999998"/>
  </r>
  <r>
    <x v="2"/>
    <x v="6"/>
    <x v="6"/>
    <x v="8"/>
    <n v="9234597.4000000004"/>
    <n v="342616.85"/>
    <n v="186073"/>
    <n v="49.628895110000002"/>
  </r>
  <r>
    <x v="3"/>
    <x v="7"/>
    <x v="2"/>
    <x v="8"/>
    <n v="10132655.529999999"/>
    <n v="384190.28"/>
    <n v="210554"/>
    <n v="48.123785490000003"/>
  </r>
  <r>
    <x v="0"/>
    <x v="7"/>
    <x v="4"/>
    <x v="4"/>
    <n v="54311103.969999999"/>
    <n v="1852000.65"/>
    <n v="275519"/>
    <n v="197.1228989"/>
  </r>
  <r>
    <x v="0"/>
    <x v="3"/>
    <x v="8"/>
    <x v="5"/>
    <n v="619871484.20000005"/>
    <n v="22014542.370000001"/>
    <n v="8281806"/>
    <n v="74.84738041"/>
  </r>
  <r>
    <x v="0"/>
    <x v="2"/>
    <x v="0"/>
    <x v="5"/>
    <n v="33272335.940000001"/>
    <n v="1338663.79"/>
    <n v="1051134"/>
    <n v="31.65375294"/>
  </r>
  <r>
    <x v="3"/>
    <x v="0"/>
    <x v="4"/>
    <x v="5"/>
    <n v="17000.05"/>
    <n v="475.43"/>
    <n v="162"/>
    <n v="104.9385802"/>
  </r>
  <r>
    <x v="3"/>
    <x v="1"/>
    <x v="5"/>
    <x v="7"/>
    <n v="4365391.0999999996"/>
    <n v="132949.45000000001"/>
    <n v="119951"/>
    <n v="36.393119689999999"/>
  </r>
  <r>
    <x v="3"/>
    <x v="1"/>
    <x v="1"/>
    <x v="8"/>
    <n v="58109260.840000004"/>
    <n v="2067411.72"/>
    <n v="1263426"/>
    <n v="45.99340273"/>
  </r>
  <r>
    <x v="3"/>
    <x v="1"/>
    <x v="0"/>
    <x v="2"/>
    <n v="10923.62"/>
    <n v="556.92999999999995"/>
    <n v="569"/>
    <n v="19.19792619"/>
  </r>
  <r>
    <x v="1"/>
    <x v="4"/>
    <x v="7"/>
    <x v="5"/>
    <n v="566412495.5"/>
    <n v="19970335.09"/>
    <n v="8946148"/>
    <n v="63.31356194"/>
  </r>
  <r>
    <x v="1"/>
    <x v="5"/>
    <x v="6"/>
    <x v="4"/>
    <n v="814888.5"/>
    <n v="29135.27"/>
    <n v="9715"/>
    <n v="83.879413279999994"/>
  </r>
  <r>
    <x v="1"/>
    <x v="2"/>
    <x v="0"/>
    <x v="6"/>
    <n v="107293.43"/>
    <n v="1543.42"/>
    <n v="870"/>
    <n v="123.3257816"/>
  </r>
  <r>
    <x v="0"/>
    <x v="0"/>
    <x v="4"/>
    <x v="0"/>
    <n v="1005.5"/>
    <n v="38.380000000000003"/>
    <n v="12"/>
    <n v="83.791666669999998"/>
  </r>
  <r>
    <x v="1"/>
    <x v="4"/>
    <x v="6"/>
    <x v="1"/>
    <n v="484344.93"/>
    <n v="15427.37"/>
    <n v="9611"/>
    <n v="50.39485277"/>
  </r>
  <r>
    <x v="1"/>
    <x v="0"/>
    <x v="6"/>
    <x v="5"/>
    <n v="15705.66"/>
    <n v="579.32000000000005"/>
    <n v="550"/>
    <n v="28.55574545"/>
  </r>
  <r>
    <x v="0"/>
    <x v="8"/>
    <x v="4"/>
    <x v="1"/>
    <n v="504.97"/>
    <n v="15.59"/>
    <n v="55"/>
    <n v="9.1812727269999996"/>
  </r>
  <r>
    <x v="3"/>
    <x v="2"/>
    <x v="0"/>
    <x v="8"/>
    <n v="272558.53000000003"/>
    <n v="9430.69"/>
    <n v="36475"/>
    <n v="7.4724751200000004"/>
  </r>
  <r>
    <x v="1"/>
    <x v="6"/>
    <x v="6"/>
    <x v="0"/>
    <n v="6003048.4400000004"/>
    <n v="149237.45000000001"/>
    <n v="81995"/>
    <n v="73.212371970000007"/>
  </r>
  <r>
    <x v="2"/>
    <x v="5"/>
    <x v="0"/>
    <x v="5"/>
    <n v="25885.05"/>
    <n v="750.68"/>
    <n v="1239"/>
    <n v="20.89188862"/>
  </r>
  <r>
    <x v="2"/>
    <x v="5"/>
    <x v="7"/>
    <x v="1"/>
    <n v="66697.06"/>
    <n v="2026.46"/>
    <n v="2199"/>
    <n v="30.33063211"/>
  </r>
  <r>
    <x v="3"/>
    <x v="1"/>
    <x v="4"/>
    <x v="0"/>
    <n v="164664755.59999999"/>
    <n v="3529334.98"/>
    <n v="2060770"/>
    <n v="79.904480179999993"/>
  </r>
  <r>
    <x v="3"/>
    <x v="0"/>
    <x v="0"/>
    <x v="5"/>
    <n v="1154.54"/>
    <n v="38.25"/>
    <n v="16"/>
    <n v="72.158749999999998"/>
  </r>
  <r>
    <x v="3"/>
    <x v="1"/>
    <x v="5"/>
    <x v="1"/>
    <n v="1699.19"/>
    <n v="47.38"/>
    <n v="53"/>
    <n v="32.060188680000003"/>
  </r>
  <r>
    <x v="1"/>
    <x v="8"/>
    <x v="2"/>
    <x v="0"/>
    <n v="156.02000000000001"/>
    <n v="4.82"/>
    <n v="43"/>
    <n v="3.6283720929999999"/>
  </r>
  <r>
    <x v="0"/>
    <x v="0"/>
    <x v="5"/>
    <x v="6"/>
    <n v="229.75"/>
    <n v="7.27"/>
    <n v="2"/>
    <n v="114.875"/>
  </r>
  <r>
    <x v="0"/>
    <x v="2"/>
    <x v="7"/>
    <x v="3"/>
    <n v="9288.01"/>
    <n v="339.57"/>
    <n v="677"/>
    <n v="13.719364840000001"/>
  </r>
  <r>
    <x v="3"/>
    <x v="5"/>
    <x v="9"/>
    <x v="3"/>
    <n v="556.22"/>
    <n v="25.26"/>
    <n v="129"/>
    <n v="4.3117829460000001"/>
  </r>
  <r>
    <x v="0"/>
    <x v="9"/>
    <x v="3"/>
    <x v="5"/>
    <n v="15600.2"/>
    <n v="510.87"/>
    <n v="86"/>
    <n v="181.3976744"/>
  </r>
  <r>
    <x v="1"/>
    <x v="3"/>
    <x v="9"/>
    <x v="1"/>
    <n v="449764.76"/>
    <n v="15021.42"/>
    <n v="8281"/>
    <n v="54.312855939999999"/>
  </r>
  <r>
    <x v="1"/>
    <x v="5"/>
    <x v="9"/>
    <x v="8"/>
    <n v="7163504.25"/>
    <n v="288384.45"/>
    <n v="240825"/>
    <n v="29.745683589999999"/>
  </r>
  <r>
    <x v="3"/>
    <x v="1"/>
    <x v="0"/>
    <x v="6"/>
    <n v="190525.63"/>
    <n v="6650.94"/>
    <n v="464"/>
    <n v="410.6155819"/>
  </r>
  <r>
    <x v="1"/>
    <x v="2"/>
    <x v="3"/>
    <x v="6"/>
    <n v="7099651.96"/>
    <n v="220518.39999999999"/>
    <n v="24718"/>
    <n v="287.22598749999997"/>
  </r>
  <r>
    <x v="2"/>
    <x v="7"/>
    <x v="5"/>
    <x v="6"/>
    <n v="7407522.1399999997"/>
    <n v="259927.99"/>
    <n v="55503"/>
    <n v="133.4616532"/>
  </r>
  <r>
    <x v="2"/>
    <x v="9"/>
    <x v="0"/>
    <x v="5"/>
    <n v="5821.94"/>
    <n v="238.74"/>
    <n v="80"/>
    <n v="72.774249999999995"/>
  </r>
  <r>
    <x v="2"/>
    <x v="4"/>
    <x v="5"/>
    <x v="8"/>
    <n v="59203746.130000003"/>
    <n v="2254557.9900000002"/>
    <n v="1286751"/>
    <n v="46.010258499999999"/>
  </r>
  <r>
    <x v="3"/>
    <x v="3"/>
    <x v="6"/>
    <x v="8"/>
    <n v="84836401.099999994"/>
    <n v="3297489.56"/>
    <n v="1728914"/>
    <n v="49.069185109999999"/>
  </r>
  <r>
    <x v="0"/>
    <x v="3"/>
    <x v="5"/>
    <x v="8"/>
    <n v="65471499.25"/>
    <n v="2687764.37"/>
    <n v="1538836"/>
    <n v="42.546118790000001"/>
  </r>
  <r>
    <x v="1"/>
    <x v="8"/>
    <x v="4"/>
    <x v="8"/>
    <n v="5591.91"/>
    <n v="295.14999999999998"/>
    <n v="924"/>
    <n v="6.0518506490000004"/>
  </r>
  <r>
    <x v="1"/>
    <x v="2"/>
    <x v="4"/>
    <x v="0"/>
    <n v="6623949.3799999999"/>
    <n v="247458.87"/>
    <n v="130827"/>
    <n v="50.631363399999998"/>
  </r>
  <r>
    <x v="0"/>
    <x v="4"/>
    <x v="9"/>
    <x v="1"/>
    <n v="8984402.6799999997"/>
    <n v="295712.5"/>
    <n v="201877"/>
    <n v="44.504340169999999"/>
  </r>
  <r>
    <x v="0"/>
    <x v="4"/>
    <x v="4"/>
    <x v="7"/>
    <n v="49302081.810000002"/>
    <n v="1595429.8"/>
    <n v="854652"/>
    <n v="57.686733089999997"/>
  </r>
  <r>
    <x v="1"/>
    <x v="4"/>
    <x v="1"/>
    <x v="1"/>
    <n v="193656.08"/>
    <n v="6355.38"/>
    <n v="4687"/>
    <n v="41.317704290000002"/>
  </r>
  <r>
    <x v="3"/>
    <x v="0"/>
    <x v="8"/>
    <x v="10"/>
    <n v="20482.72"/>
    <n v="124.15"/>
    <n v="471"/>
    <n v="43.487728240000003"/>
  </r>
  <r>
    <x v="2"/>
    <x v="1"/>
    <x v="1"/>
    <x v="1"/>
    <n v="1273616.99"/>
    <n v="41829.25"/>
    <n v="170908"/>
    <n v="7.4520618699999996"/>
  </r>
  <r>
    <x v="3"/>
    <x v="1"/>
    <x v="6"/>
    <x v="7"/>
    <n v="12594025.24"/>
    <n v="413242.64"/>
    <n v="376062"/>
    <n v="33.489225820000001"/>
  </r>
  <r>
    <x v="0"/>
    <x v="7"/>
    <x v="7"/>
    <x v="2"/>
    <n v="235236674.5"/>
    <n v="5435564.4000000004"/>
    <n v="1949043"/>
    <n v="120.69342469999999"/>
  </r>
  <r>
    <x v="0"/>
    <x v="4"/>
    <x v="4"/>
    <x v="3"/>
    <n v="1731567.18"/>
    <n v="66256.61"/>
    <n v="110574"/>
    <n v="15.65980411"/>
  </r>
  <r>
    <x v="2"/>
    <x v="4"/>
    <x v="5"/>
    <x v="7"/>
    <n v="9180879.6600000001"/>
    <n v="306177.18"/>
    <n v="176609"/>
    <n v="51.984211790000003"/>
  </r>
  <r>
    <x v="0"/>
    <x v="6"/>
    <x v="9"/>
    <x v="6"/>
    <n v="5355161.1500000004"/>
    <n v="165687.44"/>
    <n v="13032"/>
    <n v="410.92396789999998"/>
  </r>
  <r>
    <x v="2"/>
    <x v="2"/>
    <x v="4"/>
    <x v="1"/>
    <n v="1785399.14"/>
    <n v="63669.59"/>
    <n v="60475"/>
    <n v="29.522929139999999"/>
  </r>
  <r>
    <x v="1"/>
    <x v="1"/>
    <x v="3"/>
    <x v="6"/>
    <n v="591891.28"/>
    <n v="16727.05"/>
    <n v="1390"/>
    <n v="425.82106470000002"/>
  </r>
  <r>
    <x v="0"/>
    <x v="8"/>
    <x v="3"/>
    <x v="7"/>
    <n v="78.88"/>
    <n v="3.19"/>
    <n v="4"/>
    <n v="19.72"/>
  </r>
  <r>
    <x v="1"/>
    <x v="4"/>
    <x v="0"/>
    <x v="7"/>
    <n v="935588688.5"/>
    <n v="25616101.5"/>
    <n v="10654887"/>
    <n v="87.808410219999999"/>
  </r>
  <r>
    <x v="3"/>
    <x v="7"/>
    <x v="4"/>
    <x v="2"/>
    <n v="243639860.40000001"/>
    <n v="6423672.2199999997"/>
    <n v="1722271"/>
    <n v="141.46429939999999"/>
  </r>
  <r>
    <x v="0"/>
    <x v="5"/>
    <x v="5"/>
    <x v="2"/>
    <n v="1590213.63"/>
    <n v="47569.31"/>
    <n v="96164"/>
    <n v="16.536475500000002"/>
  </r>
  <r>
    <x v="1"/>
    <x v="5"/>
    <x v="2"/>
    <x v="2"/>
    <n v="3128330.66"/>
    <n v="107634.72"/>
    <n v="36791"/>
    <n v="85.029780650000006"/>
  </r>
  <r>
    <x v="0"/>
    <x v="1"/>
    <x v="0"/>
    <x v="2"/>
    <n v="4318.5"/>
    <n v="108.44"/>
    <n v="789"/>
    <n v="5.4733840300000001"/>
  </r>
  <r>
    <x v="3"/>
    <x v="5"/>
    <x v="6"/>
    <x v="3"/>
    <n v="420.11"/>
    <n v="18.79"/>
    <n v="299"/>
    <n v="1.405050167"/>
  </r>
  <r>
    <x v="0"/>
    <x v="4"/>
    <x v="2"/>
    <x v="9"/>
    <n v="383641.36"/>
    <n v="12685.4"/>
    <n v="7608"/>
    <n v="50.426046270000001"/>
  </r>
  <r>
    <x v="3"/>
    <x v="7"/>
    <x v="0"/>
    <x v="5"/>
    <n v="49296436.32"/>
    <n v="1706180.58"/>
    <n v="572937"/>
    <n v="86.041635150000005"/>
  </r>
  <r>
    <x v="1"/>
    <x v="6"/>
    <x v="3"/>
    <x v="4"/>
    <n v="1754149.96"/>
    <n v="51979.57"/>
    <n v="4229"/>
    <n v="414.79072120000001"/>
  </r>
  <r>
    <x v="1"/>
    <x v="6"/>
    <x v="3"/>
    <x v="6"/>
    <n v="1460501.17"/>
    <n v="44831.45"/>
    <n v="4078"/>
    <n v="358.14153260000001"/>
  </r>
  <r>
    <x v="0"/>
    <x v="1"/>
    <x v="2"/>
    <x v="4"/>
    <n v="4518115.12"/>
    <n v="149009"/>
    <n v="14550"/>
    <n v="310.52337590000002"/>
  </r>
  <r>
    <x v="2"/>
    <x v="6"/>
    <x v="8"/>
    <x v="2"/>
    <n v="28706078.690000001"/>
    <n v="633801.68999999994"/>
    <n v="60268"/>
    <n v="476.30713960000003"/>
  </r>
  <r>
    <x v="1"/>
    <x v="8"/>
    <x v="8"/>
    <x v="1"/>
    <n v="0.33"/>
    <n v="0.31"/>
    <n v="13"/>
    <n v="2.5384615379999999E-2"/>
  </r>
  <r>
    <x v="2"/>
    <x v="1"/>
    <x v="0"/>
    <x v="3"/>
    <n v="7242.26"/>
    <n v="650.75"/>
    <n v="54048"/>
    <n v="0.13399681760000001"/>
  </r>
  <r>
    <x v="3"/>
    <x v="9"/>
    <x v="6"/>
    <x v="2"/>
    <n v="26461.37"/>
    <n v="732.83"/>
    <n v="250"/>
    <n v="105.84547999999999"/>
  </r>
  <r>
    <x v="3"/>
    <x v="4"/>
    <x v="1"/>
    <x v="5"/>
    <n v="395600145.30000001"/>
    <n v="13923316.49"/>
    <n v="5490874"/>
    <n v="72.04684451"/>
  </r>
  <r>
    <x v="0"/>
    <x v="2"/>
    <x v="8"/>
    <x v="7"/>
    <n v="1049259.3600000001"/>
    <n v="40039.839999999997"/>
    <n v="23348"/>
    <n v="44.940010280000003"/>
  </r>
  <r>
    <x v="0"/>
    <x v="1"/>
    <x v="1"/>
    <x v="9"/>
    <n v="340825.95"/>
    <n v="8790.11"/>
    <n v="8954"/>
    <n v="38.064099839999997"/>
  </r>
  <r>
    <x v="2"/>
    <x v="4"/>
    <x v="0"/>
    <x v="5"/>
    <n v="122719081.5"/>
    <n v="3963324.72"/>
    <n v="1669829"/>
    <n v="73.492005140000003"/>
  </r>
  <r>
    <x v="2"/>
    <x v="2"/>
    <x v="0"/>
    <x v="6"/>
    <n v="136419.89000000001"/>
    <n v="1569.95"/>
    <n v="944"/>
    <n v="144.51259529999999"/>
  </r>
  <r>
    <x v="3"/>
    <x v="5"/>
    <x v="6"/>
    <x v="4"/>
    <n v="690404.21"/>
    <n v="24089.4"/>
    <n v="8997"/>
    <n v="76.737157940000003"/>
  </r>
  <r>
    <x v="3"/>
    <x v="7"/>
    <x v="0"/>
    <x v="8"/>
    <n v="35312.120000000003"/>
    <n v="3021.98"/>
    <n v="7702"/>
    <n v="4.5847987540000004"/>
  </r>
  <r>
    <x v="2"/>
    <x v="4"/>
    <x v="1"/>
    <x v="5"/>
    <n v="278200812"/>
    <n v="9992095.9299999997"/>
    <n v="4315255"/>
    <n v="64.469147710000001"/>
  </r>
  <r>
    <x v="1"/>
    <x v="0"/>
    <x v="8"/>
    <x v="4"/>
    <n v="660"/>
    <n v="19.440000000000001"/>
    <n v="1"/>
    <n v="660"/>
  </r>
  <r>
    <x v="3"/>
    <x v="9"/>
    <x v="8"/>
    <x v="5"/>
    <n v="78897.14"/>
    <n v="2003.78"/>
    <n v="969"/>
    <n v="81.421197109999994"/>
  </r>
  <r>
    <x v="3"/>
    <x v="3"/>
    <x v="0"/>
    <x v="0"/>
    <n v="3260.33"/>
    <n v="328.16"/>
    <n v="1420"/>
    <n v="2.2960070419999998"/>
  </r>
  <r>
    <x v="1"/>
    <x v="6"/>
    <x v="9"/>
    <x v="0"/>
    <n v="8777497.5199999996"/>
    <n v="218324.84"/>
    <n v="117261"/>
    <n v="74.854363509999999"/>
  </r>
  <r>
    <x v="2"/>
    <x v="5"/>
    <x v="0"/>
    <x v="8"/>
    <n v="39327.800000000003"/>
    <n v="1358.68"/>
    <n v="8288"/>
    <n v="4.7451496139999998"/>
  </r>
  <r>
    <x v="3"/>
    <x v="8"/>
    <x v="2"/>
    <x v="5"/>
    <n v="6594.29"/>
    <n v="523.73"/>
    <n v="310"/>
    <n v="21.271903229999999"/>
  </r>
  <r>
    <x v="3"/>
    <x v="8"/>
    <x v="0"/>
    <x v="8"/>
    <n v="5058.46"/>
    <n v="822.68"/>
    <n v="3352"/>
    <n v="1.509087112"/>
  </r>
  <r>
    <x v="0"/>
    <x v="7"/>
    <x v="1"/>
    <x v="5"/>
    <n v="204748864.90000001"/>
    <n v="7669601.46"/>
    <n v="3662473"/>
    <n v="55.904539069999998"/>
  </r>
  <r>
    <x v="0"/>
    <x v="6"/>
    <x v="0"/>
    <x v="6"/>
    <n v="27579.7"/>
    <n v="262.47000000000003"/>
    <n v="164"/>
    <n v="168.1689024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C6840-D935-482B-A930-6AF2EEAF5A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B12" firstHeaderRow="1" firstDataRow="1" firstDataCol="1"/>
  <pivotFields count="8">
    <pivotField showAll="0">
      <items count="5">
        <item x="3"/>
        <item x="1"/>
        <item x="2"/>
        <item x="0"/>
        <item t="default"/>
      </items>
    </pivotField>
    <pivotField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axis="axisRow" showAll="0" sortType="ascending">
      <items count="13">
        <item h="1" x="9"/>
        <item h="1" x="1"/>
        <item x="5"/>
        <item h="1" x="6"/>
        <item x="8"/>
        <item x="7"/>
        <item h="1" x="11"/>
        <item x="0"/>
        <item x="2"/>
        <item h="1" x="3"/>
        <item h="1" x="4"/>
        <item h="1"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3"/>
  </rowFields>
  <rowItems count="6">
    <i>
      <x v="7"/>
    </i>
    <i>
      <x v="8"/>
    </i>
    <i>
      <x v="5"/>
    </i>
    <i>
      <x v="4"/>
    </i>
    <i>
      <x v="2"/>
    </i>
    <i t="grand">
      <x/>
    </i>
  </rowItems>
  <colItems count="1">
    <i/>
  </colItems>
  <dataFields count="1">
    <dataField name=" Revenue Contribution" fld="4" showDataAs="percentOfTotal" baseField="1" baseItem="2" numFmtId="10"/>
  </dataFields>
  <chartFormats count="30">
    <chartFormat chart="0" format="1"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3" count="1" selected="0">
            <x v="0"/>
          </reference>
        </references>
      </pivotArea>
    </chartFormat>
    <chartFormat chart="5" format="17">
      <pivotArea type="data" outline="0" fieldPosition="0">
        <references count="2">
          <reference field="4294967294" count="1" selected="0">
            <x v="0"/>
          </reference>
          <reference field="3" count="1" selected="0">
            <x v="1"/>
          </reference>
        </references>
      </pivotArea>
    </chartFormat>
    <chartFormat chart="5" format="18">
      <pivotArea type="data" outline="0" fieldPosition="0">
        <references count="2">
          <reference field="4294967294" count="1" selected="0">
            <x v="0"/>
          </reference>
          <reference field="3" count="1" selected="0">
            <x v="2"/>
          </reference>
        </references>
      </pivotArea>
    </chartFormat>
    <chartFormat chart="5" format="19">
      <pivotArea type="data" outline="0" fieldPosition="0">
        <references count="2">
          <reference field="4294967294" count="1" selected="0">
            <x v="0"/>
          </reference>
          <reference field="3" count="1" selected="0">
            <x v="3"/>
          </reference>
        </references>
      </pivotArea>
    </chartFormat>
    <chartFormat chart="5" format="20">
      <pivotArea type="data" outline="0" fieldPosition="0">
        <references count="2">
          <reference field="4294967294" count="1" selected="0">
            <x v="0"/>
          </reference>
          <reference field="3" count="1" selected="0">
            <x v="4"/>
          </reference>
        </references>
      </pivotArea>
    </chartFormat>
    <chartFormat chart="5" format="21">
      <pivotArea type="data" outline="0" fieldPosition="0">
        <references count="2">
          <reference field="4294967294" count="1" selected="0">
            <x v="0"/>
          </reference>
          <reference field="3" count="1" selected="0">
            <x v="5"/>
          </reference>
        </references>
      </pivotArea>
    </chartFormat>
    <chartFormat chart="5" format="22">
      <pivotArea type="data" outline="0" fieldPosition="0">
        <references count="2">
          <reference field="4294967294" count="1" selected="0">
            <x v="0"/>
          </reference>
          <reference field="3" count="1" selected="0">
            <x v="6"/>
          </reference>
        </references>
      </pivotArea>
    </chartFormat>
    <chartFormat chart="5" format="23">
      <pivotArea type="data" outline="0" fieldPosition="0">
        <references count="2">
          <reference field="4294967294" count="1" selected="0">
            <x v="0"/>
          </reference>
          <reference field="3" count="1" selected="0">
            <x v="7"/>
          </reference>
        </references>
      </pivotArea>
    </chartFormat>
    <chartFormat chart="5" format="24">
      <pivotArea type="data" outline="0" fieldPosition="0">
        <references count="2">
          <reference field="4294967294" count="1" selected="0">
            <x v="0"/>
          </reference>
          <reference field="3" count="1" selected="0">
            <x v="8"/>
          </reference>
        </references>
      </pivotArea>
    </chartFormat>
    <chartFormat chart="5" format="25">
      <pivotArea type="data" outline="0" fieldPosition="0">
        <references count="2">
          <reference field="4294967294" count="1" selected="0">
            <x v="0"/>
          </reference>
          <reference field="3" count="1" selected="0">
            <x v="9"/>
          </reference>
        </references>
      </pivotArea>
    </chartFormat>
    <chartFormat chart="5" format="26">
      <pivotArea type="data" outline="0" fieldPosition="0">
        <references count="2">
          <reference field="4294967294" count="1" selected="0">
            <x v="0"/>
          </reference>
          <reference field="3" count="1" selected="0">
            <x v="10"/>
          </reference>
        </references>
      </pivotArea>
    </chartFormat>
    <chartFormat chart="5" format="27">
      <pivotArea type="data" outline="0" fieldPosition="0">
        <references count="2">
          <reference field="4294967294" count="1" selected="0">
            <x v="0"/>
          </reference>
          <reference field="3" count="1" selected="0">
            <x v="1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0"/>
          </reference>
          <reference field="3" count="1" selected="0">
            <x v="10"/>
          </reference>
        </references>
      </pivotArea>
    </chartFormat>
    <chartFormat chart="0" format="13">
      <pivotArea type="data" outline="0" fieldPosition="0">
        <references count="2">
          <reference field="4294967294" count="1" selected="0">
            <x v="0"/>
          </reference>
          <reference field="3" count="1" selected="0">
            <x v="11"/>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0019A-0299-47A7-9E0D-6E297BFB62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4:D25" firstHeaderRow="1" firstDataRow="1" firstDataCol="0"/>
  <pivotFields count="8">
    <pivotField showAll="0">
      <items count="5">
        <item x="3"/>
        <item x="1"/>
        <item x="2"/>
        <item x="0"/>
        <item t="default"/>
      </items>
    </pivotField>
    <pivotField showAll="0">
      <items count="12">
        <item m="1" x="10"/>
        <item x="4"/>
        <item x="8"/>
        <item x="2"/>
        <item x="3"/>
        <item x="9"/>
        <item x="6"/>
        <item x="7"/>
        <item x="0"/>
        <item x="1"/>
        <item x="5"/>
        <item t="default"/>
      </items>
    </pivotField>
    <pivotField dataField="1"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showAll="0"/>
    <pivotField showAll="0"/>
    <pivotField showAll="0"/>
    <pivotField showAll="0"/>
  </pivotFields>
  <rowItems count="1">
    <i/>
  </rowItems>
  <colItems count="1">
    <i/>
  </colItems>
  <dataFields count="1">
    <dataField name="Count of Buyer_Category" fld="2" subtotal="count"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14040-C7E2-4511-B1A1-70AED860B5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1:D22" firstHeaderRow="1" firstDataRow="1" firstDataCol="0"/>
  <pivotFields count="8">
    <pivotField showAll="0">
      <items count="5">
        <item x="3"/>
        <item x="1"/>
        <item x="2"/>
        <item x="0"/>
        <item t="default"/>
      </items>
    </pivotField>
    <pivotField dataField="1"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showAll="0"/>
    <pivotField showAll="0"/>
    <pivotField showAll="0"/>
    <pivotField showAll="0"/>
  </pivotFields>
  <rowItems count="1">
    <i/>
  </rowItems>
  <colItems count="1">
    <i/>
  </colItems>
  <dataFields count="1">
    <dataField name="Count of Merchant_Category" fld="1" subtotal="count" baseField="0" baseItem="0"/>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3C6EE0-DDD7-49B9-8492-4F589D16A8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45:B50" firstHeaderRow="1" firstDataRow="1" firstDataCol="1"/>
  <pivotFields count="8">
    <pivotField axis="axisRow" showAll="0">
      <items count="5">
        <item x="3"/>
        <item x="1"/>
        <item x="2"/>
        <item x="0"/>
        <item t="default"/>
      </items>
    </pivotField>
    <pivotField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showAll="0"/>
    <pivotField showAll="0"/>
    <pivotField dataField="1" showAll="0"/>
    <pivotField showAll="0"/>
  </pivotFields>
  <rowFields count="1">
    <field x="0"/>
  </rowFields>
  <rowItems count="5">
    <i>
      <x/>
    </i>
    <i>
      <x v="1"/>
    </i>
    <i>
      <x v="2"/>
    </i>
    <i>
      <x v="3"/>
    </i>
    <i t="grand">
      <x/>
    </i>
  </rowItems>
  <colItems count="1">
    <i/>
  </colItems>
  <dataFields count="1">
    <dataField name="Total Transaction" fld="6" subtotal="count" baseField="2" baseItem="1"/>
  </dataFields>
  <formats count="2">
    <format dxfId="17">
      <pivotArea outline="0" collapsedLevelsAreSubtotals="1" fieldPosition="0"/>
    </format>
    <format dxfId="16">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D55497-7AA9-49AD-B1DC-716C4BDD05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59:B64" firstHeaderRow="1" firstDataRow="1" firstDataCol="1"/>
  <pivotFields count="8">
    <pivotField axis="axisRow" showAll="0">
      <items count="5">
        <item x="3"/>
        <item x="1"/>
        <item x="2"/>
        <item x="0"/>
        <item t="default"/>
      </items>
    </pivotField>
    <pivotField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showAll="0"/>
    <pivotField showAll="0"/>
    <pivotField showAll="0"/>
    <pivotField dataField="1" showAll="0"/>
  </pivotFields>
  <rowFields count="1">
    <field x="0"/>
  </rowFields>
  <rowItems count="5">
    <i>
      <x/>
    </i>
    <i>
      <x v="1"/>
    </i>
    <i>
      <x v="2"/>
    </i>
    <i>
      <x v="3"/>
    </i>
    <i t="grand">
      <x/>
    </i>
  </rowItems>
  <colItems count="1">
    <i/>
  </colItems>
  <dataFields count="1">
    <dataField name="Average selling price(ASP)" fld="7" subtotal="average" baseField="0" baseItem="0"/>
  </dataFields>
  <formats count="2">
    <format dxfId="19">
      <pivotArea outline="0" collapsedLevelsAreSubtotals="1" fieldPosition="0"/>
    </format>
    <format dxfId="18">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2CB26-469A-4536-BC15-6BA8111C40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2:B43" firstHeaderRow="1" firstDataRow="1" firstDataCol="1"/>
  <pivotFields count="8">
    <pivotField showAll="0">
      <items count="5">
        <item x="3"/>
        <item x="1"/>
        <item x="2"/>
        <item x="0"/>
        <item t="default"/>
      </items>
    </pivotField>
    <pivotField axis="axisRow"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showAll="0"/>
    <pivotField dataField="1"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Mer. Revenue" fld="5" baseField="0" baseItem="0"/>
  </dataFields>
  <formats count="2">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17C5AE-6413-49AB-9353-A6EE001DEC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pivotFields count="8">
    <pivotField axis="axisRow" showAll="0">
      <items count="5">
        <item x="3"/>
        <item x="1"/>
        <item x="2"/>
        <item x="0"/>
        <item t="default"/>
      </items>
    </pivotField>
    <pivotField showAll="0">
      <items count="12">
        <item m="1" x="10"/>
        <item x="4"/>
        <item x="8"/>
        <item x="2"/>
        <item x="3"/>
        <item x="9"/>
        <item x="6"/>
        <item x="7"/>
        <item x="0"/>
        <item x="1"/>
        <item x="5"/>
        <item t="default"/>
      </items>
    </pivotField>
    <pivotField showAll="0">
      <items count="13">
        <item m="1" x="11"/>
        <item x="2"/>
        <item x="9"/>
        <item x="0"/>
        <item x="4"/>
        <item x="6"/>
        <item x="8"/>
        <item x="1"/>
        <item x="3"/>
        <item x="10"/>
        <item x="5"/>
        <item x="7"/>
        <item t="default"/>
      </items>
    </pivotField>
    <pivotField showAll="0">
      <items count="13">
        <item h="1" x="9"/>
        <item h="1" x="1"/>
        <item x="5"/>
        <item h="1" x="6"/>
        <item x="8"/>
        <item x="7"/>
        <item h="1" x="11"/>
        <item x="0"/>
        <item x="2"/>
        <item h="1" x="3"/>
        <item h="1" x="4"/>
        <item h="1" x="10"/>
        <item t="default"/>
      </items>
    </pivotField>
    <pivotField dataField="1" showAll="0"/>
    <pivotField showAll="0"/>
    <pivotField showAll="0"/>
    <pivotField showAll="0"/>
  </pivotFields>
  <rowFields count="1">
    <field x="0"/>
  </rowFields>
  <rowItems count="5">
    <i>
      <x/>
    </i>
    <i>
      <x v="1"/>
    </i>
    <i>
      <x v="2"/>
    </i>
    <i>
      <x v="3"/>
    </i>
    <i t="grand">
      <x/>
    </i>
  </rowItems>
  <colItems count="1">
    <i/>
  </colItems>
  <dataFields count="1">
    <dataField name="Total Revenue" fld="4" baseField="0" baseItem="0" numFmtId="4"/>
  </dataFields>
  <formats count="2">
    <format dxfId="23">
      <pivotArea outline="0" collapsedLevelsAreSubtotals="1" fieldPosition="0"/>
    </format>
    <format dxfId="22">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CF77A83A-260D-4E10-BF46-CFB8BE46134C}" sourceName="year_id">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60618549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_Category" xr10:uid="{0CA68DB5-BDB1-4BD5-9CA1-6D8EC23D2B5B}" sourceName="Merchant_Category">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606185491">
      <items count="11">
        <i x="4" s="1"/>
        <i x="8" s="1"/>
        <i x="2" s="1"/>
        <i x="3" s="1"/>
        <i x="9" s="1"/>
        <i x="6" s="1"/>
        <i x="7" s="1"/>
        <i x="0" s="1"/>
        <i x="1" s="1"/>
        <i x="5"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s" xr10:uid="{E36A7657-9101-4BB6-9E94-3950C7C87638}" sourceName="Departments">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606185491">
      <items count="12">
        <i x="9"/>
        <i x="1"/>
        <i x="5" s="1"/>
        <i x="6"/>
        <i x="8" s="1"/>
        <i x="7" s="1"/>
        <i x="11"/>
        <i x="0" s="1"/>
        <i x="2" s="1"/>
        <i x="3"/>
        <i x="4"/>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Category" xr10:uid="{A9D600B3-361F-4354-B185-6E15376E2098}" sourceName="Buyer_Category">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606185491">
      <items count="12">
        <i x="2" s="1"/>
        <i x="9" s="1"/>
        <i x="0" s="1"/>
        <i x="4" s="1"/>
        <i x="6" s="1"/>
        <i x="8" s="1"/>
        <i x="1" s="1"/>
        <i x="3" s="1"/>
        <i x="10" s="1"/>
        <i x="5" s="1"/>
        <i x="7"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79955E4F-5155-46FE-A0C8-69E5939A41D0}" cache="Slicer_year_id" caption="year_id" rowHeight="241300"/>
  <slicer name="Merchant_Category" xr10:uid="{B2393E6D-FEE0-476A-BCF5-D68E22C283AD}" cache="Slicer_Merchant_Category" caption="Merchant_Category" rowHeight="241300"/>
  <slicer name="Departments" xr10:uid="{9796E0E5-96D3-4C5E-9E9E-9CFF9789D92E}" cache="Slicer_Departments" caption="Departments" rowHeight="241300"/>
  <slicer name="Buyer_Category" xr10:uid="{4117E37A-20F9-401B-A116-68F202BC548A}" cache="Slicer_Buyer_Category" caption="Buyer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1" xr10:uid="{2270396E-E8DF-4404-B05C-B77D60E6EA8D}" cache="Slicer_year_id" caption="year_id" style="SlicerStyleOther1" rowHeight="241300"/>
  <slicer name="Merchant_Category 1" xr10:uid="{20622E63-FA06-4EFC-A4E6-B9382BE09B85}" cache="Slicer_Merchant_Category" caption="Merchant_Category" style="SlicerStyleOther1" rowHeight="241300"/>
  <slicer name="Departments 1" xr10:uid="{06AE29E1-F6BD-461A-8FE5-0E10D2EE1DC8}" cache="Slicer_Departments" caption="Departments" style="SlicerStyleOther1" rowHeight="241300"/>
  <slicer name="Buyer_Category 1" xr10:uid="{E25B61AC-C03D-41F9-8E85-9936EE1753AD}" cache="Slicer_Buyer_Category" caption="Buyer_Category"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13E6-282E-4AF8-A409-A760831C0761}">
  <dimension ref="A3:I3501"/>
  <sheetViews>
    <sheetView topLeftCell="A3481" workbookViewId="0">
      <selection activeCell="A4" sqref="A4:H3500"/>
    </sheetView>
  </sheetViews>
  <sheetFormatPr defaultRowHeight="15" x14ac:dyDescent="0.25"/>
  <cols>
    <col min="1" max="1" width="11.140625" customWidth="1"/>
    <col min="2" max="2" width="22.140625" customWidth="1"/>
    <col min="3" max="3" width="17" customWidth="1"/>
    <col min="4" max="4" width="31" customWidth="1"/>
    <col min="5" max="6" width="11.5703125" bestFit="1" customWidth="1"/>
    <col min="7" max="7" width="18.140625" customWidth="1"/>
    <col min="8" max="8" width="24" customWidth="1"/>
  </cols>
  <sheetData>
    <row r="3" spans="1:9" ht="15.75" thickBot="1" x14ac:dyDescent="0.3"/>
    <row r="4" spans="1:9" ht="15.75" thickBot="1" x14ac:dyDescent="0.3">
      <c r="A4" s="2" t="s">
        <v>0</v>
      </c>
      <c r="B4" s="2" t="s">
        <v>1</v>
      </c>
      <c r="C4" s="2" t="s">
        <v>2</v>
      </c>
      <c r="D4" s="2" t="s">
        <v>3</v>
      </c>
      <c r="E4" s="2" t="s">
        <v>4</v>
      </c>
      <c r="F4" s="2" t="s">
        <v>5</v>
      </c>
      <c r="G4" s="2" t="s">
        <v>6</v>
      </c>
      <c r="H4" s="2" t="s">
        <v>7</v>
      </c>
      <c r="I4" s="6"/>
    </row>
    <row r="5" spans="1:9" ht="15.75" thickBot="1" x14ac:dyDescent="0.3">
      <c r="A5" s="1">
        <v>2017</v>
      </c>
      <c r="B5" s="1" t="s">
        <v>8</v>
      </c>
      <c r="C5" s="1" t="s">
        <v>9</v>
      </c>
      <c r="D5" s="1" t="s">
        <v>10</v>
      </c>
      <c r="E5" s="1">
        <v>73.75</v>
      </c>
      <c r="F5" s="1">
        <v>2.44</v>
      </c>
      <c r="G5" s="1">
        <v>1</v>
      </c>
      <c r="H5" s="1">
        <v>73.75</v>
      </c>
    </row>
    <row r="6" spans="1:9" ht="15.75" thickBot="1" x14ac:dyDescent="0.3">
      <c r="A6" s="1">
        <v>2015</v>
      </c>
      <c r="B6" s="1" t="s">
        <v>11</v>
      </c>
      <c r="C6" s="1" t="s">
        <v>12</v>
      </c>
      <c r="D6" s="1" t="s">
        <v>13</v>
      </c>
      <c r="E6" s="1">
        <v>78650.38</v>
      </c>
      <c r="F6" s="1">
        <v>2090.5700000000002</v>
      </c>
      <c r="G6" s="1">
        <v>1680</v>
      </c>
      <c r="H6" s="1">
        <v>46.815702379999998</v>
      </c>
    </row>
    <row r="7" spans="1:9" ht="15.75" thickBot="1" x14ac:dyDescent="0.3">
      <c r="A7" s="1">
        <v>2015</v>
      </c>
      <c r="B7" s="1" t="s">
        <v>14</v>
      </c>
      <c r="C7" s="1" t="s">
        <v>15</v>
      </c>
      <c r="D7" s="1" t="s">
        <v>13</v>
      </c>
      <c r="E7" s="1">
        <v>95243.26</v>
      </c>
      <c r="F7" s="1">
        <v>3460.24</v>
      </c>
      <c r="G7" s="1">
        <v>2036</v>
      </c>
      <c r="H7" s="1">
        <v>46.779597250000002</v>
      </c>
    </row>
    <row r="8" spans="1:9" ht="15.75" thickBot="1" x14ac:dyDescent="0.3">
      <c r="A8" s="1">
        <v>2016</v>
      </c>
      <c r="B8" s="1" t="s">
        <v>16</v>
      </c>
      <c r="C8" s="1" t="s">
        <v>9</v>
      </c>
      <c r="D8" s="1" t="s">
        <v>10</v>
      </c>
      <c r="E8" s="1">
        <v>20617.46</v>
      </c>
      <c r="F8" s="1">
        <v>761.81</v>
      </c>
      <c r="G8" s="1">
        <v>5396</v>
      </c>
      <c r="H8" s="1">
        <v>3.8208784279999999</v>
      </c>
    </row>
    <row r="9" spans="1:9" ht="15.75" thickBot="1" x14ac:dyDescent="0.3">
      <c r="A9" s="1">
        <v>2016</v>
      </c>
      <c r="B9" s="1" t="s">
        <v>17</v>
      </c>
      <c r="C9" s="1" t="s">
        <v>18</v>
      </c>
      <c r="D9" s="1" t="s">
        <v>19</v>
      </c>
      <c r="E9" s="1">
        <v>4803059.16</v>
      </c>
      <c r="F9" s="1">
        <v>160582.97</v>
      </c>
      <c r="G9" s="1">
        <v>23455</v>
      </c>
      <c r="H9" s="1">
        <v>204.7776235</v>
      </c>
    </row>
    <row r="10" spans="1:9" ht="15.75" thickBot="1" x14ac:dyDescent="0.3">
      <c r="A10" s="1">
        <v>2016</v>
      </c>
      <c r="B10" s="1" t="s">
        <v>17</v>
      </c>
      <c r="C10" s="1" t="s">
        <v>18</v>
      </c>
      <c r="D10" s="1" t="s">
        <v>10</v>
      </c>
      <c r="E10" s="1">
        <v>7639053.3200000003</v>
      </c>
      <c r="F10" s="1">
        <v>260398.39</v>
      </c>
      <c r="G10" s="1">
        <v>130278</v>
      </c>
      <c r="H10" s="1">
        <v>58.636556589999998</v>
      </c>
    </row>
    <row r="11" spans="1:9" ht="15.75" thickBot="1" x14ac:dyDescent="0.3">
      <c r="A11" s="1">
        <v>2014</v>
      </c>
      <c r="B11" s="1" t="s">
        <v>20</v>
      </c>
      <c r="C11" s="1" t="s">
        <v>21</v>
      </c>
      <c r="D11" s="1" t="s">
        <v>22</v>
      </c>
      <c r="E11" s="1">
        <v>570.16999999999996</v>
      </c>
      <c r="F11" s="1">
        <v>24.55</v>
      </c>
      <c r="G11" s="1">
        <v>281</v>
      </c>
      <c r="H11" s="1">
        <v>2.0290747329999999</v>
      </c>
    </row>
    <row r="12" spans="1:9" ht="15.75" thickBot="1" x14ac:dyDescent="0.3">
      <c r="A12" s="1">
        <v>2016</v>
      </c>
      <c r="B12" s="1" t="s">
        <v>20</v>
      </c>
      <c r="C12" s="1" t="s">
        <v>18</v>
      </c>
      <c r="D12" s="1" t="s">
        <v>13</v>
      </c>
      <c r="E12" s="1">
        <v>9814.52</v>
      </c>
      <c r="F12" s="1">
        <v>277.83999999999997</v>
      </c>
      <c r="G12" s="1">
        <v>161</v>
      </c>
      <c r="H12" s="1">
        <v>60.95975155</v>
      </c>
    </row>
    <row r="13" spans="1:9" ht="15.75" thickBot="1" x14ac:dyDescent="0.3">
      <c r="A13" s="1">
        <v>2014</v>
      </c>
      <c r="B13" s="1" t="s">
        <v>16</v>
      </c>
      <c r="C13" s="1" t="s">
        <v>23</v>
      </c>
      <c r="D13" s="1" t="s">
        <v>24</v>
      </c>
      <c r="E13" s="1">
        <v>20733354.010000002</v>
      </c>
      <c r="F13" s="1">
        <v>751838.97</v>
      </c>
      <c r="G13" s="1">
        <v>139536</v>
      </c>
      <c r="H13" s="1">
        <v>148.58784840000001</v>
      </c>
    </row>
    <row r="14" spans="1:9" ht="15.75" thickBot="1" x14ac:dyDescent="0.3">
      <c r="A14" s="1">
        <v>2017</v>
      </c>
      <c r="B14" s="1" t="s">
        <v>20</v>
      </c>
      <c r="C14" s="1" t="s">
        <v>25</v>
      </c>
      <c r="D14" s="1" t="s">
        <v>13</v>
      </c>
      <c r="E14" s="1">
        <v>474318.2</v>
      </c>
      <c r="F14" s="1">
        <v>13312.62</v>
      </c>
      <c r="G14" s="1">
        <v>12719</v>
      </c>
      <c r="H14" s="1">
        <v>37.292098439999997</v>
      </c>
    </row>
    <row r="15" spans="1:9" ht="15.75" thickBot="1" x14ac:dyDescent="0.3">
      <c r="A15" s="1">
        <v>2017</v>
      </c>
      <c r="B15" s="1" t="s">
        <v>12</v>
      </c>
      <c r="C15" s="1" t="s">
        <v>26</v>
      </c>
      <c r="D15" s="1" t="s">
        <v>27</v>
      </c>
      <c r="E15" s="1">
        <v>15651571.460000001</v>
      </c>
      <c r="F15" s="1">
        <v>642527.84</v>
      </c>
      <c r="G15" s="1">
        <v>452336</v>
      </c>
      <c r="H15" s="1">
        <v>34.601648910000002</v>
      </c>
    </row>
    <row r="16" spans="1:9" ht="15.75" thickBot="1" x14ac:dyDescent="0.3">
      <c r="A16" s="1">
        <v>2015</v>
      </c>
      <c r="B16" s="1" t="s">
        <v>17</v>
      </c>
      <c r="C16" s="1" t="s">
        <v>9</v>
      </c>
      <c r="D16" s="1" t="s">
        <v>19</v>
      </c>
      <c r="E16" s="1">
        <v>4595.1000000000004</v>
      </c>
      <c r="F16" s="1">
        <v>131.30000000000001</v>
      </c>
      <c r="G16" s="1">
        <v>2078</v>
      </c>
      <c r="H16" s="1">
        <v>2.2113089509999999</v>
      </c>
    </row>
    <row r="17" spans="1:8" ht="15.75" thickBot="1" x14ac:dyDescent="0.3">
      <c r="A17" s="1">
        <v>2015</v>
      </c>
      <c r="B17" s="1" t="s">
        <v>16</v>
      </c>
      <c r="C17" s="1" t="s">
        <v>28</v>
      </c>
      <c r="D17" s="1" t="s">
        <v>24</v>
      </c>
      <c r="E17" s="1">
        <v>122594653.90000001</v>
      </c>
      <c r="F17" s="1">
        <v>3873041.87</v>
      </c>
      <c r="G17" s="1">
        <v>274166</v>
      </c>
      <c r="H17" s="1">
        <v>447.15484020000002</v>
      </c>
    </row>
    <row r="18" spans="1:8" ht="15.75" thickBot="1" x14ac:dyDescent="0.3">
      <c r="A18" s="1">
        <v>2017</v>
      </c>
      <c r="B18" s="1" t="s">
        <v>14</v>
      </c>
      <c r="C18" s="1" t="s">
        <v>21</v>
      </c>
      <c r="D18" s="1" t="s">
        <v>29</v>
      </c>
      <c r="E18" s="1">
        <v>20281539.289999999</v>
      </c>
      <c r="F18" s="1">
        <v>684247.7</v>
      </c>
      <c r="G18" s="1">
        <v>120784</v>
      </c>
      <c r="H18" s="1">
        <v>167.91577770000001</v>
      </c>
    </row>
    <row r="19" spans="1:8" ht="15.75" thickBot="1" x14ac:dyDescent="0.3">
      <c r="A19" s="1">
        <v>2017</v>
      </c>
      <c r="B19" s="1" t="s">
        <v>30</v>
      </c>
      <c r="C19" s="1" t="s">
        <v>9</v>
      </c>
      <c r="D19" s="1" t="s">
        <v>29</v>
      </c>
      <c r="E19" s="1">
        <v>16624413.23</v>
      </c>
      <c r="F19" s="1">
        <v>531147.49</v>
      </c>
      <c r="G19" s="1">
        <v>67694</v>
      </c>
      <c r="H19" s="1">
        <v>245.58178319999999</v>
      </c>
    </row>
    <row r="20" spans="1:8" ht="15.75" thickBot="1" x14ac:dyDescent="0.3">
      <c r="A20" s="1">
        <v>2017</v>
      </c>
      <c r="B20" s="1" t="s">
        <v>11</v>
      </c>
      <c r="C20" s="1" t="s">
        <v>12</v>
      </c>
      <c r="D20" s="1" t="s">
        <v>27</v>
      </c>
      <c r="E20" s="1">
        <v>149340331.40000001</v>
      </c>
      <c r="F20" s="1">
        <v>4455658.08</v>
      </c>
      <c r="G20" s="1">
        <v>2539410</v>
      </c>
      <c r="H20" s="1">
        <v>58.809066430000001</v>
      </c>
    </row>
    <row r="21" spans="1:8" ht="15.75" thickBot="1" x14ac:dyDescent="0.3">
      <c r="A21" s="1">
        <v>2016</v>
      </c>
      <c r="B21" s="1" t="s">
        <v>30</v>
      </c>
      <c r="C21" s="1" t="s">
        <v>12</v>
      </c>
      <c r="D21" s="1" t="s">
        <v>13</v>
      </c>
      <c r="E21" s="1">
        <v>2311814.27</v>
      </c>
      <c r="F21" s="1">
        <v>69331.45</v>
      </c>
      <c r="G21" s="1">
        <v>45870</v>
      </c>
      <c r="H21" s="1">
        <v>50.39926466</v>
      </c>
    </row>
    <row r="22" spans="1:8" ht="15.75" thickBot="1" x14ac:dyDescent="0.3">
      <c r="A22" s="1">
        <v>2015</v>
      </c>
      <c r="B22" s="1" t="s">
        <v>17</v>
      </c>
      <c r="C22" s="1" t="s">
        <v>26</v>
      </c>
      <c r="D22" s="1" t="s">
        <v>24</v>
      </c>
      <c r="E22" s="1">
        <v>24018050.440000001</v>
      </c>
      <c r="F22" s="1">
        <v>834067.4</v>
      </c>
      <c r="G22" s="1">
        <v>105112</v>
      </c>
      <c r="H22" s="1">
        <v>228.4996046</v>
      </c>
    </row>
    <row r="23" spans="1:8" ht="15.75" thickBot="1" x14ac:dyDescent="0.3">
      <c r="A23" s="1">
        <v>2014</v>
      </c>
      <c r="B23" s="1" t="s">
        <v>8</v>
      </c>
      <c r="C23" s="1" t="s">
        <v>9</v>
      </c>
      <c r="D23" s="1" t="s">
        <v>19</v>
      </c>
      <c r="E23" s="1">
        <v>-195.59</v>
      </c>
      <c r="F23" s="1">
        <v>28.6</v>
      </c>
      <c r="G23" s="1">
        <v>24</v>
      </c>
      <c r="H23" s="1">
        <v>-8.1495833330000007</v>
      </c>
    </row>
    <row r="24" spans="1:8" ht="15.75" thickBot="1" x14ac:dyDescent="0.3">
      <c r="A24" s="1">
        <v>2014</v>
      </c>
      <c r="B24" s="1" t="s">
        <v>11</v>
      </c>
      <c r="C24" s="1" t="s">
        <v>18</v>
      </c>
      <c r="D24" s="1" t="s">
        <v>29</v>
      </c>
      <c r="E24" s="1">
        <v>142136.04</v>
      </c>
      <c r="F24" s="1">
        <v>4403.07</v>
      </c>
      <c r="G24" s="1">
        <v>275</v>
      </c>
      <c r="H24" s="1">
        <v>516.85832730000004</v>
      </c>
    </row>
    <row r="25" spans="1:8" ht="15.75" thickBot="1" x14ac:dyDescent="0.3">
      <c r="A25" s="1">
        <v>2015</v>
      </c>
      <c r="B25" s="1" t="s">
        <v>16</v>
      </c>
      <c r="C25" s="1" t="s">
        <v>9</v>
      </c>
      <c r="D25" s="1" t="s">
        <v>27</v>
      </c>
      <c r="E25" s="1">
        <v>1128240.26</v>
      </c>
      <c r="F25" s="1">
        <v>36621.75</v>
      </c>
      <c r="G25" s="1">
        <v>64067</v>
      </c>
      <c r="H25" s="1">
        <v>17.61031826</v>
      </c>
    </row>
    <row r="26" spans="1:8" ht="15.75" thickBot="1" x14ac:dyDescent="0.3">
      <c r="A26" s="1">
        <v>2015</v>
      </c>
      <c r="B26" s="1" t="s">
        <v>12</v>
      </c>
      <c r="C26" s="1" t="s">
        <v>12</v>
      </c>
      <c r="D26" s="1" t="s">
        <v>31</v>
      </c>
      <c r="E26" s="1">
        <v>186229.1</v>
      </c>
      <c r="F26" s="1">
        <v>6765.76</v>
      </c>
      <c r="G26" s="1">
        <v>3315</v>
      </c>
      <c r="H26" s="1">
        <v>56.177707390000002</v>
      </c>
    </row>
    <row r="27" spans="1:8" ht="15.75" thickBot="1" x14ac:dyDescent="0.3">
      <c r="A27" s="1">
        <v>2016</v>
      </c>
      <c r="B27" s="1" t="s">
        <v>16</v>
      </c>
      <c r="C27" s="1" t="s">
        <v>9</v>
      </c>
      <c r="D27" s="1" t="s">
        <v>19</v>
      </c>
      <c r="E27" s="1">
        <v>212627.08</v>
      </c>
      <c r="F27" s="1">
        <v>3410.48</v>
      </c>
      <c r="G27" s="1">
        <v>7016</v>
      </c>
      <c r="H27" s="1">
        <v>30.306026230000001</v>
      </c>
    </row>
    <row r="28" spans="1:8" ht="15.75" thickBot="1" x14ac:dyDescent="0.3">
      <c r="A28" s="1">
        <v>2017</v>
      </c>
      <c r="B28" s="1" t="s">
        <v>20</v>
      </c>
      <c r="C28" s="1" t="s">
        <v>26</v>
      </c>
      <c r="D28" s="1" t="s">
        <v>31</v>
      </c>
      <c r="E28" s="1">
        <v>38386.85</v>
      </c>
      <c r="F28" s="1">
        <v>1611.82</v>
      </c>
      <c r="G28" s="1">
        <v>1756</v>
      </c>
      <c r="H28" s="1">
        <v>21.860392940000001</v>
      </c>
    </row>
    <row r="29" spans="1:8" ht="15.75" thickBot="1" x14ac:dyDescent="0.3">
      <c r="A29" s="1">
        <v>2015</v>
      </c>
      <c r="B29" s="1" t="s">
        <v>12</v>
      </c>
      <c r="C29" s="1" t="s">
        <v>26</v>
      </c>
      <c r="D29" s="1" t="s">
        <v>10</v>
      </c>
      <c r="E29" s="1">
        <v>3155068.58</v>
      </c>
      <c r="F29" s="1">
        <v>78133.509999999995</v>
      </c>
      <c r="G29" s="1">
        <v>41710</v>
      </c>
      <c r="H29" s="1">
        <v>75.642977220000006</v>
      </c>
    </row>
    <row r="30" spans="1:8" ht="15.75" thickBot="1" x14ac:dyDescent="0.3">
      <c r="A30" s="1">
        <v>2015</v>
      </c>
      <c r="B30" s="1" t="s">
        <v>30</v>
      </c>
      <c r="C30" s="1" t="s">
        <v>26</v>
      </c>
      <c r="D30" s="1" t="s">
        <v>32</v>
      </c>
      <c r="E30" s="1">
        <v>10984864.119999999</v>
      </c>
      <c r="F30" s="1">
        <v>451088.75</v>
      </c>
      <c r="G30" s="1">
        <v>309627</v>
      </c>
      <c r="H30" s="1">
        <v>35.477733270000002</v>
      </c>
    </row>
    <row r="31" spans="1:8" ht="15.75" thickBot="1" x14ac:dyDescent="0.3">
      <c r="A31" s="1">
        <v>2017</v>
      </c>
      <c r="B31" s="1" t="s">
        <v>17</v>
      </c>
      <c r="C31" s="1" t="s">
        <v>25</v>
      </c>
      <c r="D31" s="1" t="s">
        <v>19</v>
      </c>
      <c r="E31" s="1">
        <v>44082129.090000004</v>
      </c>
      <c r="F31" s="1">
        <v>1520386.88</v>
      </c>
      <c r="G31" s="1">
        <v>220576</v>
      </c>
      <c r="H31" s="1">
        <v>199.8500702</v>
      </c>
    </row>
    <row r="32" spans="1:8" ht="15.75" thickBot="1" x14ac:dyDescent="0.3">
      <c r="A32" s="1">
        <v>2014</v>
      </c>
      <c r="B32" s="1" t="s">
        <v>20</v>
      </c>
      <c r="C32" s="1" t="s">
        <v>9</v>
      </c>
      <c r="D32" s="1" t="s">
        <v>27</v>
      </c>
      <c r="E32" s="1">
        <v>839179.46</v>
      </c>
      <c r="F32" s="1">
        <v>30726.21</v>
      </c>
      <c r="G32" s="1">
        <v>17538</v>
      </c>
      <c r="H32" s="1">
        <v>47.849210859999999</v>
      </c>
    </row>
    <row r="33" spans="1:8" ht="15.75" thickBot="1" x14ac:dyDescent="0.3">
      <c r="A33" s="1">
        <v>2014</v>
      </c>
      <c r="B33" s="1" t="s">
        <v>11</v>
      </c>
      <c r="C33" s="1" t="s">
        <v>12</v>
      </c>
      <c r="D33" s="1" t="s">
        <v>27</v>
      </c>
      <c r="E33" s="1">
        <v>186029680.5</v>
      </c>
      <c r="F33" s="1">
        <v>5415390.1100000003</v>
      </c>
      <c r="G33" s="1">
        <v>2184582</v>
      </c>
      <c r="H33" s="1">
        <v>85.155732529999995</v>
      </c>
    </row>
    <row r="34" spans="1:8" ht="15.75" thickBot="1" x14ac:dyDescent="0.3">
      <c r="A34" s="1">
        <v>2016</v>
      </c>
      <c r="B34" s="1" t="s">
        <v>12</v>
      </c>
      <c r="C34" s="1" t="s">
        <v>18</v>
      </c>
      <c r="D34" s="1" t="s">
        <v>32</v>
      </c>
      <c r="E34" s="1">
        <v>6110187.9500000002</v>
      </c>
      <c r="F34" s="1">
        <v>200700.93</v>
      </c>
      <c r="G34" s="1">
        <v>80456</v>
      </c>
      <c r="H34" s="1">
        <v>75.944465919999999</v>
      </c>
    </row>
    <row r="35" spans="1:8" ht="15.75" thickBot="1" x14ac:dyDescent="0.3">
      <c r="A35" s="1">
        <v>2014</v>
      </c>
      <c r="B35" s="1" t="s">
        <v>20</v>
      </c>
      <c r="C35" s="1" t="s">
        <v>25</v>
      </c>
      <c r="D35" s="1" t="s">
        <v>13</v>
      </c>
      <c r="E35" s="1">
        <v>5979.78</v>
      </c>
      <c r="F35" s="1">
        <v>275.83</v>
      </c>
      <c r="G35" s="1">
        <v>460</v>
      </c>
      <c r="H35" s="1">
        <v>12.99952174</v>
      </c>
    </row>
    <row r="36" spans="1:8" ht="15.75" thickBot="1" x14ac:dyDescent="0.3">
      <c r="A36" s="1">
        <v>2016</v>
      </c>
      <c r="B36" s="1" t="s">
        <v>20</v>
      </c>
      <c r="C36" s="1" t="s">
        <v>18</v>
      </c>
      <c r="D36" s="1" t="s">
        <v>10</v>
      </c>
      <c r="E36" s="1">
        <v>124646.73</v>
      </c>
      <c r="F36" s="1">
        <v>4884.4799999999996</v>
      </c>
      <c r="G36" s="1">
        <v>3664</v>
      </c>
      <c r="H36" s="1">
        <v>34.019304040000002</v>
      </c>
    </row>
    <row r="37" spans="1:8" ht="15.75" thickBot="1" x14ac:dyDescent="0.3">
      <c r="A37" s="1">
        <v>2017</v>
      </c>
      <c r="B37" s="1" t="s">
        <v>20</v>
      </c>
      <c r="C37" s="1" t="s">
        <v>33</v>
      </c>
      <c r="D37" s="1" t="s">
        <v>34</v>
      </c>
      <c r="E37" s="1">
        <v>9824.66</v>
      </c>
      <c r="F37" s="1">
        <v>380.14</v>
      </c>
      <c r="G37" s="1">
        <v>298</v>
      </c>
      <c r="H37" s="1">
        <v>32.968657720000003</v>
      </c>
    </row>
    <row r="38" spans="1:8" ht="15.75" thickBot="1" x14ac:dyDescent="0.3">
      <c r="A38" s="1">
        <v>2015</v>
      </c>
      <c r="B38" s="1" t="s">
        <v>20</v>
      </c>
      <c r="C38" s="1" t="s">
        <v>9</v>
      </c>
      <c r="D38" s="1" t="s">
        <v>19</v>
      </c>
      <c r="E38" s="1">
        <v>2353.9499999999998</v>
      </c>
      <c r="F38" s="1">
        <v>76.09</v>
      </c>
      <c r="G38" s="1">
        <v>2391</v>
      </c>
      <c r="H38" s="1">
        <v>0.98450439150000002</v>
      </c>
    </row>
    <row r="39" spans="1:8" ht="15.75" thickBot="1" x14ac:dyDescent="0.3">
      <c r="A39" s="1">
        <v>2017</v>
      </c>
      <c r="B39" s="1" t="s">
        <v>11</v>
      </c>
      <c r="C39" s="1" t="s">
        <v>26</v>
      </c>
      <c r="D39" s="1" t="s">
        <v>32</v>
      </c>
      <c r="E39" s="1">
        <v>128843871.90000001</v>
      </c>
      <c r="F39" s="1">
        <v>4623296.96</v>
      </c>
      <c r="G39" s="1">
        <v>3397438</v>
      </c>
      <c r="H39" s="1">
        <v>37.923833160000001</v>
      </c>
    </row>
    <row r="40" spans="1:8" ht="15.75" thickBot="1" x14ac:dyDescent="0.3">
      <c r="A40" s="1">
        <v>2016</v>
      </c>
      <c r="B40" s="1" t="s">
        <v>35</v>
      </c>
      <c r="C40" s="1" t="s">
        <v>15</v>
      </c>
      <c r="D40" s="1" t="s">
        <v>32</v>
      </c>
      <c r="E40" s="1">
        <v>16710.080000000002</v>
      </c>
      <c r="F40" s="1">
        <v>636.88</v>
      </c>
      <c r="G40" s="1">
        <v>984</v>
      </c>
      <c r="H40" s="1">
        <v>16.98178862</v>
      </c>
    </row>
    <row r="41" spans="1:8" ht="15.75" thickBot="1" x14ac:dyDescent="0.3">
      <c r="A41" s="1">
        <v>2016</v>
      </c>
      <c r="B41" s="1" t="s">
        <v>30</v>
      </c>
      <c r="C41" s="1" t="s">
        <v>25</v>
      </c>
      <c r="D41" s="1" t="s">
        <v>29</v>
      </c>
      <c r="E41" s="1">
        <v>14726464.359999999</v>
      </c>
      <c r="F41" s="1">
        <v>493007.51</v>
      </c>
      <c r="G41" s="1">
        <v>84419</v>
      </c>
      <c r="H41" s="1">
        <v>174.4449041</v>
      </c>
    </row>
    <row r="42" spans="1:8" ht="15.75" thickBot="1" x14ac:dyDescent="0.3">
      <c r="A42" s="1">
        <v>2014</v>
      </c>
      <c r="B42" s="1" t="s">
        <v>12</v>
      </c>
      <c r="C42" s="1" t="s">
        <v>25</v>
      </c>
      <c r="D42" s="1" t="s">
        <v>32</v>
      </c>
      <c r="E42" s="1">
        <v>6345611.5</v>
      </c>
      <c r="F42" s="1">
        <v>209693.26</v>
      </c>
      <c r="G42" s="1">
        <v>116452</v>
      </c>
      <c r="H42" s="1">
        <v>54.491219559999998</v>
      </c>
    </row>
    <row r="43" spans="1:8" ht="15.75" thickBot="1" x14ac:dyDescent="0.3">
      <c r="A43" s="1">
        <v>2017</v>
      </c>
      <c r="B43" s="1" t="s">
        <v>20</v>
      </c>
      <c r="C43" s="1" t="s">
        <v>25</v>
      </c>
      <c r="D43" s="1" t="s">
        <v>19</v>
      </c>
      <c r="E43" s="1">
        <v>4833758.24</v>
      </c>
      <c r="F43" s="1">
        <v>125190.25</v>
      </c>
      <c r="G43" s="1">
        <v>69393</v>
      </c>
      <c r="H43" s="1">
        <v>69.657721100000003</v>
      </c>
    </row>
    <row r="44" spans="1:8" ht="15.75" thickBot="1" x14ac:dyDescent="0.3">
      <c r="A44" s="1">
        <v>2015</v>
      </c>
      <c r="B44" s="1" t="s">
        <v>40</v>
      </c>
      <c r="C44" s="1" t="s">
        <v>18</v>
      </c>
      <c r="D44" s="1" t="s">
        <v>27</v>
      </c>
      <c r="E44" s="1">
        <v>17660.36</v>
      </c>
      <c r="F44" s="1">
        <v>567.03</v>
      </c>
      <c r="G44" s="1">
        <v>139</v>
      </c>
      <c r="H44" s="1">
        <v>127.05294960000001</v>
      </c>
    </row>
    <row r="45" spans="1:8" ht="15.75" thickBot="1" x14ac:dyDescent="0.3">
      <c r="A45" s="1">
        <v>2016</v>
      </c>
      <c r="B45" s="1" t="s">
        <v>14</v>
      </c>
      <c r="C45" s="1" t="s">
        <v>23</v>
      </c>
      <c r="D45" s="1" t="s">
        <v>24</v>
      </c>
      <c r="E45" s="1">
        <v>9440633.8800000008</v>
      </c>
      <c r="F45" s="1">
        <v>360122.32</v>
      </c>
      <c r="G45" s="1">
        <v>117891</v>
      </c>
      <c r="H45" s="1">
        <v>80.079343460000004</v>
      </c>
    </row>
    <row r="46" spans="1:8" ht="15.75" thickBot="1" x14ac:dyDescent="0.3">
      <c r="A46" s="1">
        <v>2015</v>
      </c>
      <c r="B46" s="1" t="s">
        <v>17</v>
      </c>
      <c r="C46" s="1" t="s">
        <v>33</v>
      </c>
      <c r="D46" s="1" t="s">
        <v>27</v>
      </c>
      <c r="E46" s="1">
        <v>707463354.39999998</v>
      </c>
      <c r="F46" s="1">
        <v>24134078</v>
      </c>
      <c r="G46" s="1">
        <v>9675350</v>
      </c>
      <c r="H46" s="1">
        <v>73.120182150000005</v>
      </c>
    </row>
    <row r="47" spans="1:8" ht="15.75" thickBot="1" x14ac:dyDescent="0.3">
      <c r="A47" s="1">
        <v>2015</v>
      </c>
      <c r="B47" s="1" t="s">
        <v>20</v>
      </c>
      <c r="C47" s="1" t="s">
        <v>26</v>
      </c>
      <c r="D47" s="1" t="s">
        <v>24</v>
      </c>
      <c r="E47" s="1">
        <v>494485.09</v>
      </c>
      <c r="F47" s="1">
        <v>18208.79</v>
      </c>
      <c r="G47" s="1">
        <v>6541</v>
      </c>
      <c r="H47" s="1">
        <v>75.597781679999997</v>
      </c>
    </row>
    <row r="48" spans="1:8" ht="15.75" thickBot="1" x14ac:dyDescent="0.3">
      <c r="A48" s="1">
        <v>2015</v>
      </c>
      <c r="B48" s="1" t="s">
        <v>14</v>
      </c>
      <c r="C48" s="1" t="s">
        <v>15</v>
      </c>
      <c r="D48" s="1" t="s">
        <v>19</v>
      </c>
      <c r="E48" s="1">
        <v>32538488.420000002</v>
      </c>
      <c r="F48" s="1">
        <v>1091111.5900000001</v>
      </c>
      <c r="G48" s="1">
        <v>188136</v>
      </c>
      <c r="H48" s="1">
        <v>172.95195190000001</v>
      </c>
    </row>
    <row r="49" spans="1:8" ht="15.75" thickBot="1" x14ac:dyDescent="0.3">
      <c r="A49" s="1">
        <v>2016</v>
      </c>
      <c r="B49" s="1" t="s">
        <v>11</v>
      </c>
      <c r="C49" s="1" t="s">
        <v>9</v>
      </c>
      <c r="D49" s="1" t="s">
        <v>29</v>
      </c>
      <c r="E49" s="1">
        <v>783778.77</v>
      </c>
      <c r="F49" s="1">
        <v>18871.07</v>
      </c>
      <c r="G49" s="1">
        <v>2344</v>
      </c>
      <c r="H49" s="1">
        <v>334.37660840000001</v>
      </c>
    </row>
    <row r="50" spans="1:8" ht="15.75" thickBot="1" x14ac:dyDescent="0.3">
      <c r="A50" s="1">
        <v>2014</v>
      </c>
      <c r="B50" s="1" t="s">
        <v>8</v>
      </c>
      <c r="C50" s="1" t="s">
        <v>18</v>
      </c>
      <c r="D50" s="1" t="s">
        <v>24</v>
      </c>
      <c r="E50" s="1">
        <v>179</v>
      </c>
      <c r="F50" s="1">
        <v>5.49</v>
      </c>
      <c r="G50" s="1">
        <v>1</v>
      </c>
      <c r="H50" s="1">
        <v>179</v>
      </c>
    </row>
    <row r="51" spans="1:8" ht="15.75" thickBot="1" x14ac:dyDescent="0.3">
      <c r="A51" s="1">
        <v>2015</v>
      </c>
      <c r="B51" s="1" t="s">
        <v>35</v>
      </c>
      <c r="C51" s="1" t="s">
        <v>9</v>
      </c>
      <c r="D51" s="1" t="s">
        <v>31</v>
      </c>
      <c r="E51" s="1">
        <v>0</v>
      </c>
      <c r="F51" s="1">
        <v>0</v>
      </c>
      <c r="G51" s="1">
        <v>282450</v>
      </c>
      <c r="H51" s="1">
        <v>0</v>
      </c>
    </row>
    <row r="52" spans="1:8" ht="15.75" thickBot="1" x14ac:dyDescent="0.3">
      <c r="A52" s="1">
        <v>2017</v>
      </c>
      <c r="B52" s="1" t="s">
        <v>16</v>
      </c>
      <c r="C52" s="1" t="s">
        <v>9</v>
      </c>
      <c r="D52" s="1" t="s">
        <v>31</v>
      </c>
      <c r="E52" s="1">
        <v>379288533</v>
      </c>
      <c r="F52" s="1">
        <v>11608663.939999999</v>
      </c>
      <c r="G52" s="1">
        <v>5492165</v>
      </c>
      <c r="H52" s="1">
        <v>69.059930469999998</v>
      </c>
    </row>
    <row r="53" spans="1:8" ht="15.75" thickBot="1" x14ac:dyDescent="0.3">
      <c r="A53" s="1">
        <v>2017</v>
      </c>
      <c r="B53" s="1" t="s">
        <v>16</v>
      </c>
      <c r="C53" s="1" t="s">
        <v>25</v>
      </c>
      <c r="D53" s="1" t="s">
        <v>24</v>
      </c>
      <c r="E53" s="1">
        <v>53189591.43</v>
      </c>
      <c r="F53" s="1">
        <v>1935115.13</v>
      </c>
      <c r="G53" s="1">
        <v>269965</v>
      </c>
      <c r="H53" s="1">
        <v>197.0240269</v>
      </c>
    </row>
    <row r="54" spans="1:8" ht="15.75" thickBot="1" x14ac:dyDescent="0.3">
      <c r="A54" s="1">
        <v>2017</v>
      </c>
      <c r="B54" s="1" t="s">
        <v>20</v>
      </c>
      <c r="C54" s="1" t="s">
        <v>15</v>
      </c>
      <c r="D54" s="1" t="s">
        <v>22</v>
      </c>
      <c r="E54" s="1">
        <v>175.48</v>
      </c>
      <c r="F54" s="1">
        <v>8.3000000000000007</v>
      </c>
      <c r="G54" s="1">
        <v>13</v>
      </c>
      <c r="H54" s="1">
        <v>13.498461539999999</v>
      </c>
    </row>
    <row r="55" spans="1:8" ht="15.75" thickBot="1" x14ac:dyDescent="0.3">
      <c r="A55" s="1">
        <v>2016</v>
      </c>
      <c r="B55" s="1" t="s">
        <v>40</v>
      </c>
      <c r="C55" s="1" t="s">
        <v>9</v>
      </c>
      <c r="D55" s="1" t="s">
        <v>32</v>
      </c>
      <c r="E55" s="1">
        <v>3929.57</v>
      </c>
      <c r="F55" s="1">
        <v>264.70999999999998</v>
      </c>
      <c r="G55" s="1">
        <v>148</v>
      </c>
      <c r="H55" s="1">
        <v>26.551148649999998</v>
      </c>
    </row>
    <row r="56" spans="1:8" ht="15.75" thickBot="1" x14ac:dyDescent="0.3">
      <c r="A56" s="1">
        <v>2014</v>
      </c>
      <c r="B56" s="1" t="s">
        <v>40</v>
      </c>
      <c r="C56" s="1" t="s">
        <v>9</v>
      </c>
      <c r="D56" s="1" t="s">
        <v>27</v>
      </c>
      <c r="E56" s="1">
        <v>15773.01</v>
      </c>
      <c r="F56" s="1">
        <v>555.14</v>
      </c>
      <c r="G56" s="1">
        <v>157</v>
      </c>
      <c r="H56" s="1">
        <v>100.46503180000001</v>
      </c>
    </row>
    <row r="57" spans="1:8" ht="15.75" thickBot="1" x14ac:dyDescent="0.3">
      <c r="A57" s="1">
        <v>2014</v>
      </c>
      <c r="B57" s="1" t="s">
        <v>16</v>
      </c>
      <c r="C57" s="1" t="s">
        <v>9</v>
      </c>
      <c r="D57" s="1" t="s">
        <v>31</v>
      </c>
      <c r="E57" s="1">
        <v>148447479.59999999</v>
      </c>
      <c r="F57" s="1">
        <v>4642843.6100000003</v>
      </c>
      <c r="G57" s="1">
        <v>1947756</v>
      </c>
      <c r="H57" s="1">
        <v>76.21461807</v>
      </c>
    </row>
    <row r="58" spans="1:8" ht="15.75" thickBot="1" x14ac:dyDescent="0.3">
      <c r="A58" s="1">
        <v>2017</v>
      </c>
      <c r="B58" s="1" t="s">
        <v>12</v>
      </c>
      <c r="C58" s="1" t="s">
        <v>15</v>
      </c>
      <c r="D58" s="1" t="s">
        <v>24</v>
      </c>
      <c r="E58" s="1">
        <v>3862385.25</v>
      </c>
      <c r="F58" s="1">
        <v>121093.95</v>
      </c>
      <c r="G58" s="1">
        <v>9031</v>
      </c>
      <c r="H58" s="1">
        <v>427.68079390000003</v>
      </c>
    </row>
    <row r="59" spans="1:8" ht="15.75" thickBot="1" x14ac:dyDescent="0.3">
      <c r="A59" s="1">
        <v>2017</v>
      </c>
      <c r="B59" s="1" t="s">
        <v>12</v>
      </c>
      <c r="C59" s="1" t="s">
        <v>26</v>
      </c>
      <c r="D59" s="1" t="s">
        <v>29</v>
      </c>
      <c r="E59" s="1">
        <v>1249018.67</v>
      </c>
      <c r="F59" s="1">
        <v>42034.57</v>
      </c>
      <c r="G59" s="1">
        <v>5287</v>
      </c>
      <c r="H59" s="1">
        <v>236.24336489999999</v>
      </c>
    </row>
    <row r="60" spans="1:8" ht="15.75" thickBot="1" x14ac:dyDescent="0.3">
      <c r="A60" s="1">
        <v>2014</v>
      </c>
      <c r="B60" s="1" t="s">
        <v>35</v>
      </c>
      <c r="C60" s="1" t="s">
        <v>23</v>
      </c>
      <c r="D60" s="1" t="s">
        <v>10</v>
      </c>
      <c r="E60" s="1">
        <v>0</v>
      </c>
      <c r="F60" s="1">
        <v>0</v>
      </c>
      <c r="G60" s="1">
        <v>3</v>
      </c>
      <c r="H60" s="1">
        <v>0</v>
      </c>
    </row>
    <row r="61" spans="1:8" ht="15.75" thickBot="1" x14ac:dyDescent="0.3">
      <c r="A61" s="1">
        <v>2017</v>
      </c>
      <c r="B61" s="1" t="s">
        <v>35</v>
      </c>
      <c r="C61" s="1" t="s">
        <v>23</v>
      </c>
      <c r="D61" s="1" t="s">
        <v>13</v>
      </c>
      <c r="E61" s="1">
        <v>204.42</v>
      </c>
      <c r="F61" s="1">
        <v>8.33</v>
      </c>
      <c r="G61" s="1">
        <v>8</v>
      </c>
      <c r="H61" s="1">
        <v>25.552499999999998</v>
      </c>
    </row>
    <row r="62" spans="1:8" ht="15.75" thickBot="1" x14ac:dyDescent="0.3">
      <c r="A62" s="1">
        <v>2014</v>
      </c>
      <c r="B62" s="1" t="s">
        <v>12</v>
      </c>
      <c r="C62" s="1" t="s">
        <v>26</v>
      </c>
      <c r="D62" s="1" t="s">
        <v>27</v>
      </c>
      <c r="E62" s="1">
        <v>21686591.09</v>
      </c>
      <c r="F62" s="1">
        <v>857391.67</v>
      </c>
      <c r="G62" s="1">
        <v>512584</v>
      </c>
      <c r="H62" s="1">
        <v>42.308365240000001</v>
      </c>
    </row>
    <row r="63" spans="1:8" ht="15.75" thickBot="1" x14ac:dyDescent="0.3">
      <c r="A63" s="1">
        <v>2016</v>
      </c>
      <c r="B63" s="1" t="s">
        <v>17</v>
      </c>
      <c r="C63" s="1" t="s">
        <v>21</v>
      </c>
      <c r="D63" s="1" t="s">
        <v>27</v>
      </c>
      <c r="E63" s="1">
        <v>727650224.79999995</v>
      </c>
      <c r="F63" s="1">
        <v>25166441.800000001</v>
      </c>
      <c r="G63" s="1">
        <v>11635581</v>
      </c>
      <c r="H63" s="1">
        <v>62.536647270000003</v>
      </c>
    </row>
    <row r="64" spans="1:8" ht="15.75" thickBot="1" x14ac:dyDescent="0.3">
      <c r="A64" s="1">
        <v>2016</v>
      </c>
      <c r="B64" s="1" t="s">
        <v>11</v>
      </c>
      <c r="C64" s="1" t="s">
        <v>15</v>
      </c>
      <c r="D64" s="1" t="s">
        <v>13</v>
      </c>
      <c r="E64" s="1">
        <v>1098556.56</v>
      </c>
      <c r="F64" s="1">
        <v>36561.160000000003</v>
      </c>
      <c r="G64" s="1">
        <v>161064</v>
      </c>
      <c r="H64" s="1">
        <v>6.8206213680000003</v>
      </c>
    </row>
    <row r="65" spans="1:8" ht="15.75" thickBot="1" x14ac:dyDescent="0.3">
      <c r="A65" s="1">
        <v>2015</v>
      </c>
      <c r="B65" s="1" t="s">
        <v>16</v>
      </c>
      <c r="C65" s="1" t="s">
        <v>28</v>
      </c>
      <c r="D65" s="1" t="s">
        <v>32</v>
      </c>
      <c r="E65" s="1">
        <v>115396435.90000001</v>
      </c>
      <c r="F65" s="1">
        <v>4311779.04</v>
      </c>
      <c r="G65" s="1">
        <v>1892937</v>
      </c>
      <c r="H65" s="1">
        <v>60.961582909999997</v>
      </c>
    </row>
    <row r="66" spans="1:8" ht="15.75" thickBot="1" x14ac:dyDescent="0.3">
      <c r="A66" s="1">
        <v>2014</v>
      </c>
      <c r="B66" s="1" t="s">
        <v>17</v>
      </c>
      <c r="C66" s="1" t="s">
        <v>15</v>
      </c>
      <c r="D66" s="1" t="s">
        <v>13</v>
      </c>
      <c r="E66" s="1">
        <v>16435.22</v>
      </c>
      <c r="F66" s="1">
        <v>504.01</v>
      </c>
      <c r="G66" s="1">
        <v>203</v>
      </c>
      <c r="H66" s="1">
        <v>80.961674880000004</v>
      </c>
    </row>
    <row r="67" spans="1:8" ht="15.75" thickBot="1" x14ac:dyDescent="0.3">
      <c r="A67" s="1">
        <v>2015</v>
      </c>
      <c r="B67" s="1" t="s">
        <v>30</v>
      </c>
      <c r="C67" s="1" t="s">
        <v>12</v>
      </c>
      <c r="D67" s="1" t="s">
        <v>29</v>
      </c>
      <c r="E67" s="1">
        <v>7748368.2400000002</v>
      </c>
      <c r="F67" s="1">
        <v>243659.16</v>
      </c>
      <c r="G67" s="1">
        <v>35796</v>
      </c>
      <c r="H67" s="1">
        <v>216.45905239999999</v>
      </c>
    </row>
    <row r="68" spans="1:8" ht="15.75" thickBot="1" x14ac:dyDescent="0.3">
      <c r="A68" s="1">
        <v>2014</v>
      </c>
      <c r="B68" s="1" t="s">
        <v>20</v>
      </c>
      <c r="C68" s="1" t="s">
        <v>15</v>
      </c>
      <c r="D68" s="1" t="s">
        <v>22</v>
      </c>
      <c r="E68" s="1">
        <v>130.6</v>
      </c>
      <c r="F68" s="1">
        <v>6.14</v>
      </c>
      <c r="G68" s="1">
        <v>886</v>
      </c>
      <c r="H68" s="1">
        <v>0.14740406319999999</v>
      </c>
    </row>
    <row r="69" spans="1:8" ht="15.75" thickBot="1" x14ac:dyDescent="0.3">
      <c r="A69" s="1">
        <v>2014</v>
      </c>
      <c r="B69" s="1" t="s">
        <v>17</v>
      </c>
      <c r="C69" s="1" t="s">
        <v>9</v>
      </c>
      <c r="D69" s="1" t="s">
        <v>19</v>
      </c>
      <c r="E69" s="1">
        <v>66672.58</v>
      </c>
      <c r="F69" s="1">
        <v>2735.34</v>
      </c>
      <c r="G69" s="1">
        <v>2347</v>
      </c>
      <c r="H69" s="1">
        <v>28.40757563</v>
      </c>
    </row>
    <row r="70" spans="1:8" ht="15.75" thickBot="1" x14ac:dyDescent="0.3">
      <c r="A70" s="1">
        <v>2015</v>
      </c>
      <c r="B70" s="1" t="s">
        <v>11</v>
      </c>
      <c r="C70" s="1" t="s">
        <v>26</v>
      </c>
      <c r="D70" s="1" t="s">
        <v>22</v>
      </c>
      <c r="E70" s="1">
        <v>31810103.77</v>
      </c>
      <c r="F70" s="1">
        <v>963528.92</v>
      </c>
      <c r="G70" s="1">
        <v>2261630</v>
      </c>
      <c r="H70" s="1">
        <v>14.065122840000001</v>
      </c>
    </row>
    <row r="71" spans="1:8" ht="15.75" thickBot="1" x14ac:dyDescent="0.3">
      <c r="A71" s="1">
        <v>2016</v>
      </c>
      <c r="B71" s="1" t="s">
        <v>35</v>
      </c>
      <c r="C71" s="1" t="s">
        <v>18</v>
      </c>
      <c r="D71" s="1" t="s">
        <v>13</v>
      </c>
      <c r="E71" s="1">
        <v>0</v>
      </c>
      <c r="F71" s="1">
        <v>0</v>
      </c>
      <c r="G71" s="1">
        <v>2</v>
      </c>
      <c r="H71" s="1">
        <v>0</v>
      </c>
    </row>
    <row r="72" spans="1:8" ht="15.75" thickBot="1" x14ac:dyDescent="0.3">
      <c r="A72" s="1">
        <v>2014</v>
      </c>
      <c r="B72" s="1" t="s">
        <v>20</v>
      </c>
      <c r="C72" s="1" t="s">
        <v>9</v>
      </c>
      <c r="D72" s="1" t="s">
        <v>22</v>
      </c>
      <c r="E72" s="1">
        <v>0</v>
      </c>
      <c r="F72" s="1">
        <v>0</v>
      </c>
      <c r="G72" s="1">
        <v>35</v>
      </c>
      <c r="H72" s="1">
        <v>0</v>
      </c>
    </row>
    <row r="73" spans="1:8" ht="15.75" thickBot="1" x14ac:dyDescent="0.3">
      <c r="A73" s="1">
        <v>2017</v>
      </c>
      <c r="B73" s="1" t="s">
        <v>40</v>
      </c>
      <c r="C73" s="1" t="s">
        <v>26</v>
      </c>
      <c r="D73" s="1" t="s">
        <v>31</v>
      </c>
      <c r="E73" s="1">
        <v>187.65</v>
      </c>
      <c r="F73" s="1">
        <v>8.7799999999999994</v>
      </c>
      <c r="G73" s="1">
        <v>9</v>
      </c>
      <c r="H73" s="1">
        <v>20.85</v>
      </c>
    </row>
    <row r="74" spans="1:8" ht="15.75" thickBot="1" x14ac:dyDescent="0.3">
      <c r="A74" s="1">
        <v>2017</v>
      </c>
      <c r="B74" s="1" t="s">
        <v>17</v>
      </c>
      <c r="C74" s="1" t="s">
        <v>25</v>
      </c>
      <c r="D74" s="1" t="s">
        <v>10</v>
      </c>
      <c r="E74" s="1">
        <v>134338163.5</v>
      </c>
      <c r="F74" s="1">
        <v>4420721</v>
      </c>
      <c r="G74" s="1">
        <v>2704696</v>
      </c>
      <c r="H74" s="1">
        <v>49.66848899</v>
      </c>
    </row>
    <row r="75" spans="1:8" ht="15.75" thickBot="1" x14ac:dyDescent="0.3">
      <c r="A75" s="1">
        <v>2015</v>
      </c>
      <c r="B75" s="1" t="s">
        <v>30</v>
      </c>
      <c r="C75" s="1" t="s">
        <v>23</v>
      </c>
      <c r="D75" s="1" t="s">
        <v>32</v>
      </c>
      <c r="E75" s="1">
        <v>8693074.1500000004</v>
      </c>
      <c r="F75" s="1">
        <v>367817.75</v>
      </c>
      <c r="G75" s="1">
        <v>275857</v>
      </c>
      <c r="H75" s="1">
        <v>31.51297284</v>
      </c>
    </row>
    <row r="76" spans="1:8" ht="15.75" thickBot="1" x14ac:dyDescent="0.3">
      <c r="A76" s="1">
        <v>2016</v>
      </c>
      <c r="B76" s="1" t="s">
        <v>12</v>
      </c>
      <c r="C76" s="1" t="s">
        <v>9</v>
      </c>
      <c r="D76" s="1" t="s">
        <v>31</v>
      </c>
      <c r="E76" s="1">
        <v>793.02</v>
      </c>
      <c r="F76" s="1">
        <v>29.19</v>
      </c>
      <c r="G76" s="1">
        <v>124</v>
      </c>
      <c r="H76" s="1">
        <v>6.3953225810000003</v>
      </c>
    </row>
    <row r="77" spans="1:8" ht="15.75" thickBot="1" x14ac:dyDescent="0.3">
      <c r="A77" s="1">
        <v>2015</v>
      </c>
      <c r="B77" s="1" t="s">
        <v>35</v>
      </c>
      <c r="C77" s="1" t="s">
        <v>18</v>
      </c>
      <c r="D77" s="1" t="s">
        <v>27</v>
      </c>
      <c r="E77" s="1">
        <v>3669.51</v>
      </c>
      <c r="F77" s="1">
        <v>143.43</v>
      </c>
      <c r="G77" s="1">
        <v>116</v>
      </c>
      <c r="H77" s="1">
        <v>31.6337069</v>
      </c>
    </row>
    <row r="78" spans="1:8" ht="15.75" thickBot="1" x14ac:dyDescent="0.3">
      <c r="A78" s="1">
        <v>2017</v>
      </c>
      <c r="B78" s="1" t="s">
        <v>35</v>
      </c>
      <c r="C78" s="1" t="s">
        <v>26</v>
      </c>
      <c r="D78" s="1" t="s">
        <v>31</v>
      </c>
      <c r="E78" s="1">
        <v>193.47</v>
      </c>
      <c r="F78" s="1">
        <v>8.17</v>
      </c>
      <c r="G78" s="1">
        <v>7</v>
      </c>
      <c r="H78" s="1">
        <v>27.638571429999999</v>
      </c>
    </row>
    <row r="79" spans="1:8" ht="15.75" thickBot="1" x14ac:dyDescent="0.3">
      <c r="A79" s="1">
        <v>2016</v>
      </c>
      <c r="B79" s="1" t="s">
        <v>20</v>
      </c>
      <c r="C79" s="1" t="s">
        <v>12</v>
      </c>
      <c r="D79" s="1" t="s">
        <v>13</v>
      </c>
      <c r="E79" s="1">
        <v>39385.129999999997</v>
      </c>
      <c r="F79" s="1">
        <v>1451.22</v>
      </c>
      <c r="G79" s="1">
        <v>1738</v>
      </c>
      <c r="H79" s="1">
        <v>22.661179520000001</v>
      </c>
    </row>
    <row r="80" spans="1:8" ht="15.75" thickBot="1" x14ac:dyDescent="0.3">
      <c r="A80" s="1">
        <v>2014</v>
      </c>
      <c r="B80" s="1" t="s">
        <v>20</v>
      </c>
      <c r="C80" s="1" t="s">
        <v>21</v>
      </c>
      <c r="D80" s="1" t="s">
        <v>13</v>
      </c>
      <c r="E80" s="1">
        <v>6054.41</v>
      </c>
      <c r="F80" s="1">
        <v>280.95</v>
      </c>
      <c r="G80" s="1">
        <v>462</v>
      </c>
      <c r="H80" s="1">
        <v>13.104783550000001</v>
      </c>
    </row>
    <row r="81" spans="1:8" ht="15.75" thickBot="1" x14ac:dyDescent="0.3">
      <c r="A81" s="1">
        <v>2016</v>
      </c>
      <c r="B81" s="1" t="s">
        <v>12</v>
      </c>
      <c r="C81" s="1" t="s">
        <v>21</v>
      </c>
      <c r="D81" s="1" t="s">
        <v>31</v>
      </c>
      <c r="E81" s="1">
        <v>649231.23</v>
      </c>
      <c r="F81" s="1">
        <v>20980.69</v>
      </c>
      <c r="G81" s="1">
        <v>13260</v>
      </c>
      <c r="H81" s="1">
        <v>48.961631220000001</v>
      </c>
    </row>
    <row r="82" spans="1:8" ht="15.75" thickBot="1" x14ac:dyDescent="0.3">
      <c r="A82" s="1">
        <v>2017</v>
      </c>
      <c r="B82" s="1" t="s">
        <v>35</v>
      </c>
      <c r="C82" s="1" t="s">
        <v>28</v>
      </c>
      <c r="D82" s="1" t="s">
        <v>27</v>
      </c>
      <c r="E82" s="1">
        <v>45307.76</v>
      </c>
      <c r="F82" s="1">
        <v>1060.76</v>
      </c>
      <c r="G82" s="1">
        <v>553</v>
      </c>
      <c r="H82" s="1">
        <v>81.930849910000006</v>
      </c>
    </row>
    <row r="83" spans="1:8" ht="15.75" thickBot="1" x14ac:dyDescent="0.3">
      <c r="A83" s="1">
        <v>2016</v>
      </c>
      <c r="B83" s="1" t="s">
        <v>16</v>
      </c>
      <c r="C83" s="1" t="s">
        <v>15</v>
      </c>
      <c r="D83" s="1" t="s">
        <v>31</v>
      </c>
      <c r="E83" s="1">
        <v>3854273.46</v>
      </c>
      <c r="F83" s="1">
        <v>145204.60999999999</v>
      </c>
      <c r="G83" s="1">
        <v>75760</v>
      </c>
      <c r="H83" s="1">
        <v>50.874781679999998</v>
      </c>
    </row>
    <row r="84" spans="1:8" ht="15.75" thickBot="1" x14ac:dyDescent="0.3">
      <c r="A84" s="1">
        <v>2016</v>
      </c>
      <c r="B84" s="1" t="s">
        <v>17</v>
      </c>
      <c r="C84" s="1" t="s">
        <v>15</v>
      </c>
      <c r="D84" s="1" t="s">
        <v>29</v>
      </c>
      <c r="E84" s="1">
        <v>10888247.130000001</v>
      </c>
      <c r="F84" s="1">
        <v>363911.32</v>
      </c>
      <c r="G84" s="1">
        <v>30525</v>
      </c>
      <c r="H84" s="1">
        <v>356.69933270000001</v>
      </c>
    </row>
    <row r="85" spans="1:8" ht="15.75" thickBot="1" x14ac:dyDescent="0.3">
      <c r="A85" s="1">
        <v>2016</v>
      </c>
      <c r="B85" s="1" t="s">
        <v>30</v>
      </c>
      <c r="C85" s="1" t="s">
        <v>15</v>
      </c>
      <c r="D85" s="1" t="s">
        <v>29</v>
      </c>
      <c r="E85" s="1">
        <v>12788078.52</v>
      </c>
      <c r="F85" s="1">
        <v>407182.52</v>
      </c>
      <c r="G85" s="1">
        <v>50858</v>
      </c>
      <c r="H85" s="1">
        <v>251.44674430000001</v>
      </c>
    </row>
    <row r="86" spans="1:8" ht="15.75" thickBot="1" x14ac:dyDescent="0.3">
      <c r="A86" s="1">
        <v>2015</v>
      </c>
      <c r="B86" s="1" t="s">
        <v>16</v>
      </c>
      <c r="C86" s="1" t="s">
        <v>26</v>
      </c>
      <c r="D86" s="1" t="s">
        <v>13</v>
      </c>
      <c r="E86" s="1">
        <v>513047.54</v>
      </c>
      <c r="F86" s="1">
        <v>17999.11</v>
      </c>
      <c r="G86" s="1">
        <v>9968</v>
      </c>
      <c r="H86" s="1">
        <v>51.469456260000001</v>
      </c>
    </row>
    <row r="87" spans="1:8" ht="15.75" thickBot="1" x14ac:dyDescent="0.3">
      <c r="A87" s="1">
        <v>2015</v>
      </c>
      <c r="B87" s="1" t="s">
        <v>11</v>
      </c>
      <c r="C87" s="1" t="s">
        <v>15</v>
      </c>
      <c r="D87" s="1" t="s">
        <v>27</v>
      </c>
      <c r="E87" s="1">
        <v>162156251.19999999</v>
      </c>
      <c r="F87" s="1">
        <v>4494635.9000000004</v>
      </c>
      <c r="G87" s="1">
        <v>1894120</v>
      </c>
      <c r="H87" s="1">
        <v>85.610336820000001</v>
      </c>
    </row>
    <row r="88" spans="1:8" ht="15.75" thickBot="1" x14ac:dyDescent="0.3">
      <c r="A88" s="1">
        <v>2017</v>
      </c>
      <c r="B88" s="1" t="s">
        <v>16</v>
      </c>
      <c r="C88" s="1" t="s">
        <v>28</v>
      </c>
      <c r="D88" s="1" t="s">
        <v>36</v>
      </c>
      <c r="E88" s="1">
        <v>281683982.69999999</v>
      </c>
      <c r="F88" s="1">
        <v>271136.15999999997</v>
      </c>
      <c r="G88" s="1">
        <v>876761</v>
      </c>
      <c r="H88" s="1">
        <v>321.27795680000003</v>
      </c>
    </row>
    <row r="89" spans="1:8" ht="15.75" thickBot="1" x14ac:dyDescent="0.3">
      <c r="A89" s="1">
        <v>2014</v>
      </c>
      <c r="B89" s="1" t="s">
        <v>30</v>
      </c>
      <c r="C89" s="1" t="s">
        <v>9</v>
      </c>
      <c r="D89" s="1" t="s">
        <v>19</v>
      </c>
      <c r="E89" s="1">
        <v>376001.14</v>
      </c>
      <c r="F89" s="1">
        <v>34106.68</v>
      </c>
      <c r="G89" s="1">
        <v>23243</v>
      </c>
      <c r="H89" s="1">
        <v>16.176962530000001</v>
      </c>
    </row>
    <row r="90" spans="1:8" ht="15.75" thickBot="1" x14ac:dyDescent="0.3">
      <c r="A90" s="1">
        <v>2017</v>
      </c>
      <c r="B90" s="1" t="s">
        <v>20</v>
      </c>
      <c r="C90" s="1" t="s">
        <v>9</v>
      </c>
      <c r="D90" s="1" t="s">
        <v>27</v>
      </c>
      <c r="E90" s="1">
        <v>1167973.28</v>
      </c>
      <c r="F90" s="1">
        <v>42863.55</v>
      </c>
      <c r="G90" s="1">
        <v>27339</v>
      </c>
      <c r="H90" s="1">
        <v>42.721872779999998</v>
      </c>
    </row>
    <row r="91" spans="1:8" ht="15.75" thickBot="1" x14ac:dyDescent="0.3">
      <c r="A91" s="1">
        <v>2016</v>
      </c>
      <c r="B91" s="1" t="s">
        <v>11</v>
      </c>
      <c r="C91" s="1" t="s">
        <v>15</v>
      </c>
      <c r="D91" s="1" t="s">
        <v>22</v>
      </c>
      <c r="E91" s="1">
        <v>8519204.75</v>
      </c>
      <c r="F91" s="1">
        <v>275885.84999999998</v>
      </c>
      <c r="G91" s="1">
        <v>501613</v>
      </c>
      <c r="H91" s="1">
        <v>16.983620340000002</v>
      </c>
    </row>
    <row r="92" spans="1:8" ht="15.75" thickBot="1" x14ac:dyDescent="0.3">
      <c r="A92" s="1">
        <v>2014</v>
      </c>
      <c r="B92" s="1" t="s">
        <v>20</v>
      </c>
      <c r="C92" s="1" t="s">
        <v>18</v>
      </c>
      <c r="D92" s="1" t="s">
        <v>24</v>
      </c>
      <c r="E92" s="1">
        <v>538049.05000000005</v>
      </c>
      <c r="F92" s="1">
        <v>17703.150000000001</v>
      </c>
      <c r="G92" s="1">
        <v>4320</v>
      </c>
      <c r="H92" s="1">
        <v>124.5483912</v>
      </c>
    </row>
    <row r="93" spans="1:8" ht="15.75" thickBot="1" x14ac:dyDescent="0.3">
      <c r="A93" s="1">
        <v>2014</v>
      </c>
      <c r="B93" s="1" t="s">
        <v>12</v>
      </c>
      <c r="C93" s="1" t="s">
        <v>18</v>
      </c>
      <c r="D93" s="1" t="s">
        <v>10</v>
      </c>
      <c r="E93" s="1">
        <v>669950.92000000004</v>
      </c>
      <c r="F93" s="1">
        <v>15759.33</v>
      </c>
      <c r="G93" s="1">
        <v>8085</v>
      </c>
      <c r="H93" s="1">
        <v>82.863440940000004</v>
      </c>
    </row>
    <row r="94" spans="1:8" ht="15.75" thickBot="1" x14ac:dyDescent="0.3">
      <c r="A94" s="1">
        <v>2015</v>
      </c>
      <c r="B94" s="1" t="s">
        <v>17</v>
      </c>
      <c r="C94" s="1" t="s">
        <v>28</v>
      </c>
      <c r="D94" s="1" t="s">
        <v>36</v>
      </c>
      <c r="E94" s="1">
        <v>252576138.30000001</v>
      </c>
      <c r="F94" s="1">
        <v>53611.34</v>
      </c>
      <c r="G94" s="1">
        <v>751498</v>
      </c>
      <c r="H94" s="1">
        <v>336.09688690000002</v>
      </c>
    </row>
    <row r="95" spans="1:8" ht="15.75" thickBot="1" x14ac:dyDescent="0.3">
      <c r="A95" s="1">
        <v>2016</v>
      </c>
      <c r="B95" s="1" t="s">
        <v>14</v>
      </c>
      <c r="C95" s="1" t="s">
        <v>25</v>
      </c>
      <c r="D95" s="1" t="s">
        <v>32</v>
      </c>
      <c r="E95" s="1">
        <v>76476919.219999999</v>
      </c>
      <c r="F95" s="1">
        <v>3026201.94</v>
      </c>
      <c r="G95" s="1">
        <v>1982905</v>
      </c>
      <c r="H95" s="1">
        <v>38.568120620000002</v>
      </c>
    </row>
    <row r="96" spans="1:8" ht="15.75" thickBot="1" x14ac:dyDescent="0.3">
      <c r="A96" s="1">
        <v>2016</v>
      </c>
      <c r="B96" s="1" t="s">
        <v>30</v>
      </c>
      <c r="C96" s="1" t="s">
        <v>28</v>
      </c>
      <c r="D96" s="1" t="s">
        <v>32</v>
      </c>
      <c r="E96" s="1">
        <v>20479709.02</v>
      </c>
      <c r="F96" s="1">
        <v>775060.67</v>
      </c>
      <c r="G96" s="1">
        <v>481584</v>
      </c>
      <c r="H96" s="1">
        <v>42.525725559999998</v>
      </c>
    </row>
    <row r="97" spans="1:8" ht="15.75" thickBot="1" x14ac:dyDescent="0.3">
      <c r="A97" s="1">
        <v>2016</v>
      </c>
      <c r="B97" s="1" t="s">
        <v>17</v>
      </c>
      <c r="C97" s="1" t="s">
        <v>9</v>
      </c>
      <c r="D97" s="1" t="s">
        <v>27</v>
      </c>
      <c r="E97" s="1">
        <v>1275464</v>
      </c>
      <c r="F97" s="1">
        <v>32956.51</v>
      </c>
      <c r="G97" s="1">
        <v>66195</v>
      </c>
      <c r="H97" s="1">
        <v>19.268283100000001</v>
      </c>
    </row>
    <row r="98" spans="1:8" ht="15.75" thickBot="1" x14ac:dyDescent="0.3">
      <c r="A98" s="1">
        <v>2014</v>
      </c>
      <c r="B98" s="1" t="s">
        <v>35</v>
      </c>
      <c r="C98" s="1" t="s">
        <v>25</v>
      </c>
      <c r="D98" s="1" t="s">
        <v>19</v>
      </c>
      <c r="E98" s="1">
        <v>12791.37</v>
      </c>
      <c r="F98" s="1">
        <v>587.37</v>
      </c>
      <c r="G98" s="1">
        <v>387</v>
      </c>
      <c r="H98" s="1">
        <v>33.05263566</v>
      </c>
    </row>
    <row r="99" spans="1:8" ht="15.75" thickBot="1" x14ac:dyDescent="0.3">
      <c r="A99" s="1">
        <v>2017</v>
      </c>
      <c r="B99" s="1" t="s">
        <v>30</v>
      </c>
      <c r="C99" s="1" t="s">
        <v>18</v>
      </c>
      <c r="D99" s="1" t="s">
        <v>24</v>
      </c>
      <c r="E99" s="1">
        <v>15795662.74</v>
      </c>
      <c r="F99" s="1">
        <v>509055.68</v>
      </c>
      <c r="G99" s="1">
        <v>63132</v>
      </c>
      <c r="H99" s="1">
        <v>250.20057560000001</v>
      </c>
    </row>
    <row r="100" spans="1:8" ht="15.75" thickBot="1" x14ac:dyDescent="0.3">
      <c r="A100" s="1">
        <v>2017</v>
      </c>
      <c r="B100" s="1" t="s">
        <v>30</v>
      </c>
      <c r="C100" s="1" t="s">
        <v>15</v>
      </c>
      <c r="D100" s="1" t="s">
        <v>19</v>
      </c>
      <c r="E100" s="1">
        <v>191111014.90000001</v>
      </c>
      <c r="F100" s="1">
        <v>4362663.16</v>
      </c>
      <c r="G100" s="1">
        <v>1124012</v>
      </c>
      <c r="H100" s="1">
        <v>170.0257781</v>
      </c>
    </row>
    <row r="101" spans="1:8" ht="15.75" thickBot="1" x14ac:dyDescent="0.3">
      <c r="A101" s="1">
        <v>2014</v>
      </c>
      <c r="B101" s="1" t="s">
        <v>35</v>
      </c>
      <c r="C101" s="1" t="s">
        <v>21</v>
      </c>
      <c r="D101" s="1" t="s">
        <v>19</v>
      </c>
      <c r="E101" s="1">
        <v>28652.880000000001</v>
      </c>
      <c r="F101" s="1">
        <v>979.22</v>
      </c>
      <c r="G101" s="1">
        <v>528</v>
      </c>
      <c r="H101" s="1">
        <v>54.266818180000001</v>
      </c>
    </row>
    <row r="102" spans="1:8" ht="15.75" thickBot="1" x14ac:dyDescent="0.3">
      <c r="A102" s="1">
        <v>2015</v>
      </c>
      <c r="B102" s="1" t="s">
        <v>20</v>
      </c>
      <c r="C102" s="1" t="s">
        <v>12</v>
      </c>
      <c r="D102" s="1" t="s">
        <v>27</v>
      </c>
      <c r="E102" s="1">
        <v>4651153.95</v>
      </c>
      <c r="F102" s="1">
        <v>189612.89</v>
      </c>
      <c r="G102" s="1">
        <v>152267</v>
      </c>
      <c r="H102" s="1">
        <v>30.546040510000001</v>
      </c>
    </row>
    <row r="103" spans="1:8" ht="15.75" thickBot="1" x14ac:dyDescent="0.3">
      <c r="A103" s="1">
        <v>2016</v>
      </c>
      <c r="B103" s="1" t="s">
        <v>14</v>
      </c>
      <c r="C103" s="1" t="s">
        <v>28</v>
      </c>
      <c r="D103" s="1" t="s">
        <v>36</v>
      </c>
      <c r="E103" s="1">
        <v>57571123.43</v>
      </c>
      <c r="F103" s="1">
        <v>240193.9</v>
      </c>
      <c r="G103" s="1">
        <v>998421</v>
      </c>
      <c r="H103" s="1">
        <v>57.662171999999998</v>
      </c>
    </row>
    <row r="104" spans="1:8" ht="15.75" thickBot="1" x14ac:dyDescent="0.3">
      <c r="A104" s="1">
        <v>2015</v>
      </c>
      <c r="B104" s="1" t="s">
        <v>8</v>
      </c>
      <c r="C104" s="1" t="s">
        <v>25</v>
      </c>
      <c r="D104" s="1" t="s">
        <v>24</v>
      </c>
      <c r="E104" s="1">
        <v>70</v>
      </c>
      <c r="F104" s="1">
        <v>2.33</v>
      </c>
      <c r="G104" s="1">
        <v>1</v>
      </c>
      <c r="H104" s="1">
        <v>70</v>
      </c>
    </row>
    <row r="105" spans="1:8" ht="15.75" thickBot="1" x14ac:dyDescent="0.3">
      <c r="A105" s="1">
        <v>2014</v>
      </c>
      <c r="B105" s="1" t="s">
        <v>35</v>
      </c>
      <c r="C105" s="1" t="s">
        <v>28</v>
      </c>
      <c r="D105" s="1" t="s">
        <v>27</v>
      </c>
      <c r="E105" s="1">
        <v>55393.33</v>
      </c>
      <c r="F105" s="1">
        <v>1425.68</v>
      </c>
      <c r="G105" s="1">
        <v>510</v>
      </c>
      <c r="H105" s="1">
        <v>108.6143725</v>
      </c>
    </row>
    <row r="106" spans="1:8" ht="15.75" thickBot="1" x14ac:dyDescent="0.3">
      <c r="A106" s="1">
        <v>2015</v>
      </c>
      <c r="B106" s="1" t="s">
        <v>30</v>
      </c>
      <c r="C106" s="1" t="s">
        <v>12</v>
      </c>
      <c r="D106" s="1" t="s">
        <v>27</v>
      </c>
      <c r="E106" s="1">
        <v>326629602</v>
      </c>
      <c r="F106" s="1">
        <v>12252717.689999999</v>
      </c>
      <c r="G106" s="1">
        <v>5634047</v>
      </c>
      <c r="H106" s="1">
        <v>57.97424161</v>
      </c>
    </row>
    <row r="107" spans="1:8" ht="15.75" thickBot="1" x14ac:dyDescent="0.3">
      <c r="A107" s="1">
        <v>2014</v>
      </c>
      <c r="B107" s="1" t="s">
        <v>40</v>
      </c>
      <c r="C107" s="1" t="s">
        <v>12</v>
      </c>
      <c r="D107" s="1" t="s">
        <v>32</v>
      </c>
      <c r="E107" s="1">
        <v>4638.5200000000004</v>
      </c>
      <c r="F107" s="1">
        <v>415.02</v>
      </c>
      <c r="G107" s="1">
        <v>248</v>
      </c>
      <c r="H107" s="1">
        <v>18.703709679999999</v>
      </c>
    </row>
    <row r="108" spans="1:8" ht="15.75" thickBot="1" x14ac:dyDescent="0.3">
      <c r="A108" s="1">
        <v>2016</v>
      </c>
      <c r="B108" s="1" t="s">
        <v>14</v>
      </c>
      <c r="C108" s="1" t="s">
        <v>9</v>
      </c>
      <c r="D108" s="1" t="s">
        <v>31</v>
      </c>
      <c r="E108" s="1">
        <v>67291818.909999996</v>
      </c>
      <c r="F108" s="1">
        <v>2273237.2599999998</v>
      </c>
      <c r="G108" s="1">
        <v>1274161</v>
      </c>
      <c r="H108" s="1">
        <v>52.812649980000003</v>
      </c>
    </row>
    <row r="109" spans="1:8" ht="15.75" thickBot="1" x14ac:dyDescent="0.3">
      <c r="A109" s="1">
        <v>2014</v>
      </c>
      <c r="B109" s="1" t="s">
        <v>35</v>
      </c>
      <c r="C109" s="1" t="s">
        <v>18</v>
      </c>
      <c r="D109" s="1" t="s">
        <v>24</v>
      </c>
      <c r="E109" s="1">
        <v>5553.75</v>
      </c>
      <c r="F109" s="1">
        <v>42.25</v>
      </c>
      <c r="G109" s="1">
        <v>49</v>
      </c>
      <c r="H109" s="1">
        <v>113.3418367</v>
      </c>
    </row>
    <row r="110" spans="1:8" ht="15.75" thickBot="1" x14ac:dyDescent="0.3">
      <c r="A110" s="1">
        <v>2017</v>
      </c>
      <c r="B110" s="1" t="s">
        <v>40</v>
      </c>
      <c r="C110" s="1" t="s">
        <v>18</v>
      </c>
      <c r="D110" s="1" t="s">
        <v>32</v>
      </c>
      <c r="E110" s="1">
        <v>5803.33</v>
      </c>
      <c r="F110" s="1">
        <v>256.95999999999998</v>
      </c>
      <c r="G110" s="1">
        <v>89</v>
      </c>
      <c r="H110" s="1">
        <v>65.205955059999994</v>
      </c>
    </row>
    <row r="111" spans="1:8" ht="15.75" thickBot="1" x14ac:dyDescent="0.3">
      <c r="A111" s="1">
        <v>2017</v>
      </c>
      <c r="B111" s="1" t="s">
        <v>16</v>
      </c>
      <c r="C111" s="1" t="s">
        <v>23</v>
      </c>
      <c r="D111" s="1" t="s">
        <v>29</v>
      </c>
      <c r="E111" s="1">
        <v>15672227.08</v>
      </c>
      <c r="F111" s="1">
        <v>586609.37</v>
      </c>
      <c r="G111" s="1">
        <v>91128</v>
      </c>
      <c r="H111" s="1">
        <v>171.98036920000001</v>
      </c>
    </row>
    <row r="112" spans="1:8" ht="15.75" thickBot="1" x14ac:dyDescent="0.3">
      <c r="A112" s="1">
        <v>2017</v>
      </c>
      <c r="B112" s="1" t="s">
        <v>35</v>
      </c>
      <c r="C112" s="1" t="s">
        <v>9</v>
      </c>
      <c r="D112" s="1" t="s">
        <v>10</v>
      </c>
      <c r="E112" s="1">
        <v>965.79</v>
      </c>
      <c r="F112" s="1">
        <v>53.57</v>
      </c>
      <c r="G112" s="1">
        <v>1657</v>
      </c>
      <c r="H112" s="1">
        <v>0.58285455639999995</v>
      </c>
    </row>
    <row r="113" spans="1:8" ht="15.75" thickBot="1" x14ac:dyDescent="0.3">
      <c r="A113" s="1">
        <v>2014</v>
      </c>
      <c r="B113" s="1" t="s">
        <v>11</v>
      </c>
      <c r="C113" s="1" t="s">
        <v>21</v>
      </c>
      <c r="D113" s="1" t="s">
        <v>24</v>
      </c>
      <c r="E113" s="1">
        <v>6103944.5700000003</v>
      </c>
      <c r="F113" s="1">
        <v>171316.01</v>
      </c>
      <c r="G113" s="1">
        <v>21574</v>
      </c>
      <c r="H113" s="1">
        <v>282.93059099999999</v>
      </c>
    </row>
    <row r="114" spans="1:8" ht="15.75" thickBot="1" x14ac:dyDescent="0.3">
      <c r="A114" s="1">
        <v>2016</v>
      </c>
      <c r="B114" s="1" t="s">
        <v>8</v>
      </c>
      <c r="C114" s="1" t="s">
        <v>28</v>
      </c>
      <c r="D114" s="1" t="s">
        <v>27</v>
      </c>
      <c r="E114" s="1">
        <v>8779.7199999999993</v>
      </c>
      <c r="F114" s="1">
        <v>378.37</v>
      </c>
      <c r="G114" s="1">
        <v>415</v>
      </c>
      <c r="H114" s="1">
        <v>21.155951810000001</v>
      </c>
    </row>
    <row r="115" spans="1:8" ht="15.75" thickBot="1" x14ac:dyDescent="0.3">
      <c r="A115" s="1">
        <v>2016</v>
      </c>
      <c r="B115" s="1" t="s">
        <v>12</v>
      </c>
      <c r="C115" s="1" t="s">
        <v>9</v>
      </c>
      <c r="D115" s="1" t="s">
        <v>10</v>
      </c>
      <c r="E115" s="1">
        <v>1542810.84</v>
      </c>
      <c r="F115" s="1">
        <v>51516.18</v>
      </c>
      <c r="G115" s="1">
        <v>22214</v>
      </c>
      <c r="H115" s="1">
        <v>69.452185110000002</v>
      </c>
    </row>
    <row r="116" spans="1:8" ht="15.75" thickBot="1" x14ac:dyDescent="0.3">
      <c r="A116" s="1">
        <v>2017</v>
      </c>
      <c r="B116" s="1" t="s">
        <v>14</v>
      </c>
      <c r="C116" s="1" t="s">
        <v>33</v>
      </c>
      <c r="D116" s="1" t="s">
        <v>31</v>
      </c>
      <c r="E116" s="1">
        <v>2476746.21</v>
      </c>
      <c r="F116" s="1">
        <v>96484.68</v>
      </c>
      <c r="G116" s="1">
        <v>58475</v>
      </c>
      <c r="H116" s="1">
        <v>42.355642750000001</v>
      </c>
    </row>
    <row r="117" spans="1:8" ht="15.75" thickBot="1" x14ac:dyDescent="0.3">
      <c r="A117" s="1">
        <v>2016</v>
      </c>
      <c r="B117" s="1" t="s">
        <v>11</v>
      </c>
      <c r="C117" s="1" t="s">
        <v>33</v>
      </c>
      <c r="D117" s="1" t="s">
        <v>24</v>
      </c>
      <c r="E117" s="1">
        <v>7571061.71</v>
      </c>
      <c r="F117" s="1">
        <v>235293.1</v>
      </c>
      <c r="G117" s="1">
        <v>29951</v>
      </c>
      <c r="H117" s="1">
        <v>252.78160030000001</v>
      </c>
    </row>
    <row r="118" spans="1:8" ht="15.75" thickBot="1" x14ac:dyDescent="0.3">
      <c r="A118" s="1">
        <v>2017</v>
      </c>
      <c r="B118" s="1" t="s">
        <v>17</v>
      </c>
      <c r="C118" s="1" t="s">
        <v>22</v>
      </c>
      <c r="D118" s="1" t="s">
        <v>32</v>
      </c>
      <c r="E118" s="1">
        <v>230</v>
      </c>
      <c r="F118" s="1">
        <v>6.97</v>
      </c>
      <c r="G118" s="1">
        <v>1</v>
      </c>
      <c r="H118" s="1">
        <v>230</v>
      </c>
    </row>
    <row r="119" spans="1:8" ht="15.75" thickBot="1" x14ac:dyDescent="0.3">
      <c r="A119" s="1">
        <v>2016</v>
      </c>
      <c r="B119" s="1" t="s">
        <v>17</v>
      </c>
      <c r="C119" s="1" t="s">
        <v>21</v>
      </c>
      <c r="D119" s="1" t="s">
        <v>29</v>
      </c>
      <c r="E119" s="1">
        <v>20078824.59</v>
      </c>
      <c r="F119" s="1">
        <v>685707.44</v>
      </c>
      <c r="G119" s="1">
        <v>65995</v>
      </c>
      <c r="H119" s="1">
        <v>304.24766410000001</v>
      </c>
    </row>
    <row r="120" spans="1:8" ht="15.75" thickBot="1" x14ac:dyDescent="0.3">
      <c r="A120" s="1">
        <v>2014</v>
      </c>
      <c r="B120" s="1" t="s">
        <v>17</v>
      </c>
      <c r="C120" s="1" t="s">
        <v>21</v>
      </c>
      <c r="D120" s="1" t="s">
        <v>10</v>
      </c>
      <c r="E120" s="1">
        <v>33944498.359999999</v>
      </c>
      <c r="F120" s="1">
        <v>1014219.8</v>
      </c>
      <c r="G120" s="1">
        <v>582766</v>
      </c>
      <c r="H120" s="1">
        <v>58.247218199999999</v>
      </c>
    </row>
    <row r="121" spans="1:8" ht="15.75" thickBot="1" x14ac:dyDescent="0.3">
      <c r="A121" s="1">
        <v>2016</v>
      </c>
      <c r="B121" s="1" t="s">
        <v>20</v>
      </c>
      <c r="C121" s="1" t="s">
        <v>21</v>
      </c>
      <c r="D121" s="1" t="s">
        <v>29</v>
      </c>
      <c r="E121" s="1">
        <v>899295.03</v>
      </c>
      <c r="F121" s="1">
        <v>31028.04</v>
      </c>
      <c r="G121" s="1">
        <v>9683</v>
      </c>
      <c r="H121" s="1">
        <v>92.873595989999998</v>
      </c>
    </row>
    <row r="122" spans="1:8" ht="15.75" thickBot="1" x14ac:dyDescent="0.3">
      <c r="A122" s="1">
        <v>2015</v>
      </c>
      <c r="B122" s="1" t="s">
        <v>11</v>
      </c>
      <c r="C122" s="1" t="s">
        <v>21</v>
      </c>
      <c r="D122" s="1" t="s">
        <v>29</v>
      </c>
      <c r="E122" s="1">
        <v>2636972.4500000002</v>
      </c>
      <c r="F122" s="1">
        <v>78665.740000000005</v>
      </c>
      <c r="G122" s="1">
        <v>6501</v>
      </c>
      <c r="H122" s="1">
        <v>405.62566529999998</v>
      </c>
    </row>
    <row r="123" spans="1:8" ht="15.75" thickBot="1" x14ac:dyDescent="0.3">
      <c r="A123" s="1">
        <v>2014</v>
      </c>
      <c r="B123" s="1" t="s">
        <v>35</v>
      </c>
      <c r="C123" s="1" t="s">
        <v>15</v>
      </c>
      <c r="D123" s="1" t="s">
        <v>10</v>
      </c>
      <c r="E123" s="1">
        <v>32.79</v>
      </c>
      <c r="F123" s="1">
        <v>14.13</v>
      </c>
      <c r="G123" s="1">
        <v>38</v>
      </c>
      <c r="H123" s="1">
        <v>0.86289473679999995</v>
      </c>
    </row>
    <row r="124" spans="1:8" ht="15.75" thickBot="1" x14ac:dyDescent="0.3">
      <c r="A124" s="1">
        <v>2017</v>
      </c>
      <c r="B124" s="1" t="s">
        <v>17</v>
      </c>
      <c r="C124" s="1" t="s">
        <v>9</v>
      </c>
      <c r="D124" s="1" t="s">
        <v>29</v>
      </c>
      <c r="E124" s="1">
        <v>12686423.67</v>
      </c>
      <c r="F124" s="1">
        <v>391943.21</v>
      </c>
      <c r="G124" s="1">
        <v>35640</v>
      </c>
      <c r="H124" s="1">
        <v>355.96026010000003</v>
      </c>
    </row>
    <row r="125" spans="1:8" ht="15.75" thickBot="1" x14ac:dyDescent="0.3">
      <c r="A125" s="1">
        <v>2015</v>
      </c>
      <c r="B125" s="1" t="s">
        <v>17</v>
      </c>
      <c r="C125" s="1" t="s">
        <v>12</v>
      </c>
      <c r="D125" s="1" t="s">
        <v>19</v>
      </c>
      <c r="E125" s="1">
        <v>16252703.140000001</v>
      </c>
      <c r="F125" s="1">
        <v>630307.81000000006</v>
      </c>
      <c r="G125" s="1">
        <v>102576</v>
      </c>
      <c r="H125" s="1">
        <v>158.44547589999999</v>
      </c>
    </row>
    <row r="126" spans="1:8" ht="15.75" thickBot="1" x14ac:dyDescent="0.3">
      <c r="A126" s="1">
        <v>2016</v>
      </c>
      <c r="B126" s="1" t="s">
        <v>17</v>
      </c>
      <c r="C126" s="1" t="s">
        <v>21</v>
      </c>
      <c r="D126" s="1" t="s">
        <v>13</v>
      </c>
      <c r="E126" s="1">
        <v>2806409.39</v>
      </c>
      <c r="F126" s="1">
        <v>91056.639999999999</v>
      </c>
      <c r="G126" s="1">
        <v>62554</v>
      </c>
      <c r="H126" s="1">
        <v>44.863787930000001</v>
      </c>
    </row>
    <row r="127" spans="1:8" ht="15.75" thickBot="1" x14ac:dyDescent="0.3">
      <c r="A127" s="1">
        <v>2014</v>
      </c>
      <c r="B127" s="1" t="s">
        <v>16</v>
      </c>
      <c r="C127" s="1" t="s">
        <v>26</v>
      </c>
      <c r="D127" s="1" t="s">
        <v>22</v>
      </c>
      <c r="E127" s="1">
        <v>86074.12</v>
      </c>
      <c r="F127" s="1">
        <v>2736.59</v>
      </c>
      <c r="G127" s="1">
        <v>4956</v>
      </c>
      <c r="H127" s="1">
        <v>17.367659400000001</v>
      </c>
    </row>
    <row r="128" spans="1:8" ht="15.75" thickBot="1" x14ac:dyDescent="0.3">
      <c r="A128" s="1">
        <v>2015</v>
      </c>
      <c r="B128" s="1" t="s">
        <v>30</v>
      </c>
      <c r="C128" s="1" t="s">
        <v>18</v>
      </c>
      <c r="D128" s="1" t="s">
        <v>19</v>
      </c>
      <c r="E128" s="1">
        <v>40126772.859999999</v>
      </c>
      <c r="F128" s="1">
        <v>1144817.77</v>
      </c>
      <c r="G128" s="1">
        <v>250676</v>
      </c>
      <c r="H128" s="1">
        <v>160.07425069999999</v>
      </c>
    </row>
    <row r="129" spans="1:8" ht="15.75" thickBot="1" x14ac:dyDescent="0.3">
      <c r="A129" s="1">
        <v>2016</v>
      </c>
      <c r="B129" s="1" t="s">
        <v>20</v>
      </c>
      <c r="C129" s="1" t="s">
        <v>23</v>
      </c>
      <c r="D129" s="1" t="s">
        <v>10</v>
      </c>
      <c r="E129" s="1">
        <v>111752.66</v>
      </c>
      <c r="F129" s="1">
        <v>4468.4399999999996</v>
      </c>
      <c r="G129" s="1">
        <v>20732</v>
      </c>
      <c r="H129" s="1">
        <v>5.3903463250000003</v>
      </c>
    </row>
    <row r="130" spans="1:8" ht="15.75" thickBot="1" x14ac:dyDescent="0.3">
      <c r="A130" s="1">
        <v>2014</v>
      </c>
      <c r="B130" s="1" t="s">
        <v>30</v>
      </c>
      <c r="C130" s="1" t="s">
        <v>18</v>
      </c>
      <c r="D130" s="1" t="s">
        <v>27</v>
      </c>
      <c r="E130" s="1">
        <v>77808491.939999998</v>
      </c>
      <c r="F130" s="1">
        <v>2558171.33</v>
      </c>
      <c r="G130" s="1">
        <v>697105</v>
      </c>
      <c r="H130" s="1">
        <v>111.6166029</v>
      </c>
    </row>
    <row r="131" spans="1:8" ht="15.75" thickBot="1" x14ac:dyDescent="0.3">
      <c r="A131" s="1">
        <v>2015</v>
      </c>
      <c r="B131" s="1" t="s">
        <v>11</v>
      </c>
      <c r="C131" s="1" t="s">
        <v>26</v>
      </c>
      <c r="D131" s="1" t="s">
        <v>31</v>
      </c>
      <c r="E131" s="1">
        <v>15110785.640000001</v>
      </c>
      <c r="F131" s="1">
        <v>464237.95</v>
      </c>
      <c r="G131" s="1">
        <v>325386</v>
      </c>
      <c r="H131" s="1">
        <v>46.439569130000002</v>
      </c>
    </row>
    <row r="132" spans="1:8" ht="15.75" thickBot="1" x14ac:dyDescent="0.3">
      <c r="A132" s="1">
        <v>2015</v>
      </c>
      <c r="B132" s="1" t="s">
        <v>16</v>
      </c>
      <c r="C132" s="1" t="s">
        <v>21</v>
      </c>
      <c r="D132" s="1" t="s">
        <v>10</v>
      </c>
      <c r="E132" s="1">
        <v>22541882.379999999</v>
      </c>
      <c r="F132" s="1">
        <v>807190.4</v>
      </c>
      <c r="G132" s="1">
        <v>393319</v>
      </c>
      <c r="H132" s="1">
        <v>57.311958939999997</v>
      </c>
    </row>
    <row r="133" spans="1:8" ht="15.75" thickBot="1" x14ac:dyDescent="0.3">
      <c r="A133" s="1">
        <v>2017</v>
      </c>
      <c r="B133" s="1" t="s">
        <v>35</v>
      </c>
      <c r="C133" s="1" t="s">
        <v>21</v>
      </c>
      <c r="D133" s="1" t="s">
        <v>31</v>
      </c>
      <c r="E133" s="1">
        <v>400.3</v>
      </c>
      <c r="F133" s="1">
        <v>17.34</v>
      </c>
      <c r="G133" s="1">
        <v>38</v>
      </c>
      <c r="H133" s="1">
        <v>10.534210529999999</v>
      </c>
    </row>
    <row r="134" spans="1:8" ht="15.75" thickBot="1" x14ac:dyDescent="0.3">
      <c r="A134" s="1">
        <v>2015</v>
      </c>
      <c r="B134" s="1" t="s">
        <v>17</v>
      </c>
      <c r="C134" s="1" t="s">
        <v>18</v>
      </c>
      <c r="D134" s="1" t="s">
        <v>22</v>
      </c>
      <c r="E134" s="1">
        <v>77319.820000000007</v>
      </c>
      <c r="F134" s="1">
        <v>2492.08</v>
      </c>
      <c r="G134" s="1">
        <v>7811</v>
      </c>
      <c r="H134" s="1">
        <v>9.8988375370000004</v>
      </c>
    </row>
    <row r="135" spans="1:8" ht="15.75" thickBot="1" x14ac:dyDescent="0.3">
      <c r="A135" s="1">
        <v>2017</v>
      </c>
      <c r="B135" s="1" t="s">
        <v>17</v>
      </c>
      <c r="C135" s="1" t="s">
        <v>9</v>
      </c>
      <c r="D135" s="1" t="s">
        <v>31</v>
      </c>
      <c r="E135" s="1">
        <v>29523.18</v>
      </c>
      <c r="F135" s="1">
        <v>1037.1300000000001</v>
      </c>
      <c r="G135" s="1">
        <v>6792</v>
      </c>
      <c r="H135" s="1">
        <v>4.3467579509999998</v>
      </c>
    </row>
    <row r="136" spans="1:8" ht="15.75" thickBot="1" x14ac:dyDescent="0.3">
      <c r="A136" s="1">
        <v>2016</v>
      </c>
      <c r="B136" s="1" t="s">
        <v>30</v>
      </c>
      <c r="C136" s="1" t="s">
        <v>23</v>
      </c>
      <c r="D136" s="1" t="s">
        <v>13</v>
      </c>
      <c r="E136" s="1">
        <v>2839044.54</v>
      </c>
      <c r="F136" s="1">
        <v>83345.259999999995</v>
      </c>
      <c r="G136" s="1">
        <v>58911</v>
      </c>
      <c r="H136" s="1">
        <v>48.192095530000003</v>
      </c>
    </row>
    <row r="137" spans="1:8" ht="15.75" thickBot="1" x14ac:dyDescent="0.3">
      <c r="A137" s="1">
        <v>2015</v>
      </c>
      <c r="B137" s="1" t="s">
        <v>16</v>
      </c>
      <c r="C137" s="1" t="s">
        <v>25</v>
      </c>
      <c r="D137" s="1" t="s">
        <v>10</v>
      </c>
      <c r="E137" s="1">
        <v>18128761.66</v>
      </c>
      <c r="F137" s="1">
        <v>650990.43000000005</v>
      </c>
      <c r="G137" s="1">
        <v>317155</v>
      </c>
      <c r="H137" s="1">
        <v>57.160573409999998</v>
      </c>
    </row>
    <row r="138" spans="1:8" ht="15.75" thickBot="1" x14ac:dyDescent="0.3">
      <c r="A138" s="1">
        <v>2014</v>
      </c>
      <c r="B138" s="1" t="s">
        <v>30</v>
      </c>
      <c r="C138" s="1" t="s">
        <v>33</v>
      </c>
      <c r="D138" s="1" t="s">
        <v>32</v>
      </c>
      <c r="E138" s="1">
        <v>16936352.07</v>
      </c>
      <c r="F138" s="1">
        <v>653311.66</v>
      </c>
      <c r="G138" s="1">
        <v>391331</v>
      </c>
      <c r="H138" s="1">
        <v>43.278840850000002</v>
      </c>
    </row>
    <row r="139" spans="1:8" ht="15.75" thickBot="1" x14ac:dyDescent="0.3">
      <c r="A139" s="1">
        <v>2014</v>
      </c>
      <c r="B139" s="1" t="s">
        <v>12</v>
      </c>
      <c r="C139" s="1" t="s">
        <v>18</v>
      </c>
      <c r="D139" s="1" t="s">
        <v>31</v>
      </c>
      <c r="E139" s="1">
        <v>43232.47</v>
      </c>
      <c r="F139" s="1">
        <v>1335.57</v>
      </c>
      <c r="G139" s="1">
        <v>688</v>
      </c>
      <c r="H139" s="1">
        <v>62.837892439999997</v>
      </c>
    </row>
    <row r="140" spans="1:8" ht="15.75" thickBot="1" x14ac:dyDescent="0.3">
      <c r="A140" s="1">
        <v>2016</v>
      </c>
      <c r="B140" s="1" t="s">
        <v>20</v>
      </c>
      <c r="C140" s="1" t="s">
        <v>9</v>
      </c>
      <c r="D140" s="1" t="s">
        <v>32</v>
      </c>
      <c r="E140" s="1">
        <v>30190522.010000002</v>
      </c>
      <c r="F140" s="1">
        <v>1073822.22</v>
      </c>
      <c r="G140" s="1">
        <v>665438</v>
      </c>
      <c r="H140" s="1">
        <v>45.369398820000001</v>
      </c>
    </row>
    <row r="141" spans="1:8" ht="15.75" thickBot="1" x14ac:dyDescent="0.3">
      <c r="A141" s="1">
        <v>2014</v>
      </c>
      <c r="B141" s="1" t="s">
        <v>16</v>
      </c>
      <c r="C141" s="1" t="s">
        <v>12</v>
      </c>
      <c r="D141" s="1" t="s">
        <v>13</v>
      </c>
      <c r="E141" s="1">
        <v>32817.71</v>
      </c>
      <c r="F141" s="1">
        <v>1215.0999999999999</v>
      </c>
      <c r="G141" s="1">
        <v>738</v>
      </c>
      <c r="H141" s="1">
        <v>44.468441730000002</v>
      </c>
    </row>
    <row r="142" spans="1:8" ht="15.75" thickBot="1" x14ac:dyDescent="0.3">
      <c r="A142" s="1">
        <v>2016</v>
      </c>
      <c r="B142" s="1" t="s">
        <v>8</v>
      </c>
      <c r="C142" s="1" t="s">
        <v>28</v>
      </c>
      <c r="D142" s="1" t="s">
        <v>29</v>
      </c>
      <c r="E142" s="1">
        <v>75</v>
      </c>
      <c r="F142" s="1">
        <v>2.78</v>
      </c>
      <c r="G142" s="1">
        <v>2</v>
      </c>
      <c r="H142" s="1">
        <v>37.5</v>
      </c>
    </row>
    <row r="143" spans="1:8" ht="15.75" thickBot="1" x14ac:dyDescent="0.3">
      <c r="A143" s="1">
        <v>2016</v>
      </c>
      <c r="B143" s="1" t="s">
        <v>17</v>
      </c>
      <c r="C143" s="1" t="s">
        <v>12</v>
      </c>
      <c r="D143" s="1" t="s">
        <v>31</v>
      </c>
      <c r="E143" s="1">
        <v>9998696.4000000004</v>
      </c>
      <c r="F143" s="1">
        <v>351469.43</v>
      </c>
      <c r="G143" s="1">
        <v>176822</v>
      </c>
      <c r="H143" s="1">
        <v>56.546676320000003</v>
      </c>
    </row>
    <row r="144" spans="1:8" ht="15.75" thickBot="1" x14ac:dyDescent="0.3">
      <c r="A144" s="1">
        <v>2014</v>
      </c>
      <c r="B144" s="1" t="s">
        <v>35</v>
      </c>
      <c r="C144" s="1" t="s">
        <v>9</v>
      </c>
      <c r="D144" s="1" t="s">
        <v>10</v>
      </c>
      <c r="E144" s="1">
        <v>0</v>
      </c>
      <c r="F144" s="1">
        <v>0</v>
      </c>
      <c r="G144" s="1">
        <v>311812</v>
      </c>
      <c r="H144" s="1">
        <v>0</v>
      </c>
    </row>
    <row r="145" spans="1:8" ht="15.75" thickBot="1" x14ac:dyDescent="0.3">
      <c r="A145" s="1">
        <v>2015</v>
      </c>
      <c r="B145" s="1" t="s">
        <v>16</v>
      </c>
      <c r="C145" s="1" t="s">
        <v>15</v>
      </c>
      <c r="D145" s="1" t="s">
        <v>19</v>
      </c>
      <c r="E145" s="1">
        <v>41287325.020000003</v>
      </c>
      <c r="F145" s="1">
        <v>1390838.48</v>
      </c>
      <c r="G145" s="1">
        <v>174164</v>
      </c>
      <c r="H145" s="1">
        <v>237.0600412</v>
      </c>
    </row>
    <row r="146" spans="1:8" ht="15.75" thickBot="1" x14ac:dyDescent="0.3">
      <c r="A146" s="1">
        <v>2016</v>
      </c>
      <c r="B146" s="1" t="s">
        <v>20</v>
      </c>
      <c r="C146" s="1" t="s">
        <v>9</v>
      </c>
      <c r="D146" s="1" t="s">
        <v>29</v>
      </c>
      <c r="E146" s="1">
        <v>9554.0499999999993</v>
      </c>
      <c r="F146" s="1">
        <v>187.31</v>
      </c>
      <c r="G146" s="1">
        <v>161</v>
      </c>
      <c r="H146" s="1">
        <v>59.34192547</v>
      </c>
    </row>
    <row r="147" spans="1:8" ht="15.75" thickBot="1" x14ac:dyDescent="0.3">
      <c r="A147" s="1">
        <v>2015</v>
      </c>
      <c r="B147" s="1" t="s">
        <v>11</v>
      </c>
      <c r="C147" s="1" t="s">
        <v>26</v>
      </c>
      <c r="D147" s="1" t="s">
        <v>19</v>
      </c>
      <c r="E147" s="1">
        <v>6446428.9000000004</v>
      </c>
      <c r="F147" s="1">
        <v>221774.81</v>
      </c>
      <c r="G147" s="1">
        <v>40164</v>
      </c>
      <c r="H147" s="1">
        <v>160.50266160000001</v>
      </c>
    </row>
    <row r="148" spans="1:8" ht="15.75" thickBot="1" x14ac:dyDescent="0.3">
      <c r="A148" s="1">
        <v>2015</v>
      </c>
      <c r="B148" s="1" t="s">
        <v>20</v>
      </c>
      <c r="C148" s="1" t="s">
        <v>9</v>
      </c>
      <c r="D148" s="1" t="s">
        <v>31</v>
      </c>
      <c r="E148" s="1">
        <v>1787161.18</v>
      </c>
      <c r="F148" s="1">
        <v>67293.13</v>
      </c>
      <c r="G148" s="1">
        <v>98609</v>
      </c>
      <c r="H148" s="1">
        <v>18.123712640000001</v>
      </c>
    </row>
    <row r="149" spans="1:8" ht="15.75" thickBot="1" x14ac:dyDescent="0.3">
      <c r="A149" s="1">
        <v>2016</v>
      </c>
      <c r="B149" s="1" t="s">
        <v>17</v>
      </c>
      <c r="C149" s="1" t="s">
        <v>26</v>
      </c>
      <c r="D149" s="1" t="s">
        <v>10</v>
      </c>
      <c r="E149" s="1">
        <v>51348806.729999997</v>
      </c>
      <c r="F149" s="1">
        <v>1643670.14</v>
      </c>
      <c r="G149" s="1">
        <v>1016175</v>
      </c>
      <c r="H149" s="1">
        <v>50.531460359999997</v>
      </c>
    </row>
    <row r="150" spans="1:8" ht="15.75" thickBot="1" x14ac:dyDescent="0.3">
      <c r="A150" s="1">
        <v>2015</v>
      </c>
      <c r="B150" s="1" t="s">
        <v>14</v>
      </c>
      <c r="C150" s="1" t="s">
        <v>28</v>
      </c>
      <c r="D150" s="1" t="s">
        <v>10</v>
      </c>
      <c r="E150" s="1">
        <v>3096535.33</v>
      </c>
      <c r="F150" s="1">
        <v>113968.61</v>
      </c>
      <c r="G150" s="1">
        <v>53047</v>
      </c>
      <c r="H150" s="1">
        <v>58.373429790000003</v>
      </c>
    </row>
    <row r="151" spans="1:8" ht="15.75" thickBot="1" x14ac:dyDescent="0.3">
      <c r="A151" s="1">
        <v>2017</v>
      </c>
      <c r="B151" s="1" t="s">
        <v>20</v>
      </c>
      <c r="C151" s="1" t="s">
        <v>9</v>
      </c>
      <c r="D151" s="1" t="s">
        <v>19</v>
      </c>
      <c r="E151" s="1">
        <v>44074.93</v>
      </c>
      <c r="F151" s="1">
        <v>782.91</v>
      </c>
      <c r="G151" s="1">
        <v>1619</v>
      </c>
      <c r="H151" s="1">
        <v>27.223551579999999</v>
      </c>
    </row>
    <row r="152" spans="1:8" ht="15.75" thickBot="1" x14ac:dyDescent="0.3">
      <c r="A152" s="1">
        <v>2014</v>
      </c>
      <c r="B152" s="1" t="s">
        <v>17</v>
      </c>
      <c r="C152" s="1" t="s">
        <v>18</v>
      </c>
      <c r="D152" s="1" t="s">
        <v>24</v>
      </c>
      <c r="E152" s="1">
        <v>3727079.07</v>
      </c>
      <c r="F152" s="1">
        <v>116988.91</v>
      </c>
      <c r="G152" s="1">
        <v>11264</v>
      </c>
      <c r="H152" s="1">
        <v>330.88415040000001</v>
      </c>
    </row>
    <row r="153" spans="1:8" ht="15.75" thickBot="1" x14ac:dyDescent="0.3">
      <c r="A153" s="1">
        <v>2014</v>
      </c>
      <c r="B153" s="1" t="s">
        <v>16</v>
      </c>
      <c r="C153" s="1" t="s">
        <v>26</v>
      </c>
      <c r="D153" s="1" t="s">
        <v>29</v>
      </c>
      <c r="E153" s="1">
        <v>8859161.1099999994</v>
      </c>
      <c r="F153" s="1">
        <v>317631.75</v>
      </c>
      <c r="G153" s="1">
        <v>48333</v>
      </c>
      <c r="H153" s="1">
        <v>183.29425259999999</v>
      </c>
    </row>
    <row r="154" spans="1:8" ht="15.75" thickBot="1" x14ac:dyDescent="0.3">
      <c r="A154" s="1">
        <v>2017</v>
      </c>
      <c r="B154" s="1" t="s">
        <v>30</v>
      </c>
      <c r="C154" s="1" t="s">
        <v>23</v>
      </c>
      <c r="D154" s="1" t="s">
        <v>34</v>
      </c>
      <c r="E154" s="1">
        <v>538010.14</v>
      </c>
      <c r="F154" s="1">
        <v>19088.52</v>
      </c>
      <c r="G154" s="1">
        <v>9554</v>
      </c>
      <c r="H154" s="1">
        <v>56.312553899999997</v>
      </c>
    </row>
    <row r="155" spans="1:8" ht="15.75" thickBot="1" x14ac:dyDescent="0.3">
      <c r="A155" s="1">
        <v>2014</v>
      </c>
      <c r="B155" s="1" t="s">
        <v>17</v>
      </c>
      <c r="C155" s="1" t="s">
        <v>23</v>
      </c>
      <c r="D155" s="1" t="s">
        <v>31</v>
      </c>
      <c r="E155" s="1">
        <v>2535603.77</v>
      </c>
      <c r="F155" s="1">
        <v>81618.41</v>
      </c>
      <c r="G155" s="1">
        <v>41712</v>
      </c>
      <c r="H155" s="1">
        <v>60.788352750000001</v>
      </c>
    </row>
    <row r="156" spans="1:8" ht="15.75" thickBot="1" x14ac:dyDescent="0.3">
      <c r="A156" s="1">
        <v>2014</v>
      </c>
      <c r="B156" s="1" t="s">
        <v>17</v>
      </c>
      <c r="C156" s="1" t="s">
        <v>21</v>
      </c>
      <c r="D156" s="1" t="s">
        <v>31</v>
      </c>
      <c r="E156" s="1">
        <v>9654471.9900000002</v>
      </c>
      <c r="F156" s="1">
        <v>310353.84000000003</v>
      </c>
      <c r="G156" s="1">
        <v>162309</v>
      </c>
      <c r="H156" s="1">
        <v>59.482049609999997</v>
      </c>
    </row>
    <row r="157" spans="1:8" ht="15.75" thickBot="1" x14ac:dyDescent="0.3">
      <c r="A157" s="1">
        <v>2016</v>
      </c>
      <c r="B157" s="1" t="s">
        <v>17</v>
      </c>
      <c r="C157" s="1" t="s">
        <v>28</v>
      </c>
      <c r="D157" s="1" t="s">
        <v>32</v>
      </c>
      <c r="E157" s="1">
        <v>175692079.90000001</v>
      </c>
      <c r="F157" s="1">
        <v>6096757.1500000004</v>
      </c>
      <c r="G157" s="1">
        <v>2429331</v>
      </c>
      <c r="H157" s="1">
        <v>72.321178099999997</v>
      </c>
    </row>
    <row r="158" spans="1:8" ht="15.75" thickBot="1" x14ac:dyDescent="0.3">
      <c r="A158" s="1">
        <v>2015</v>
      </c>
      <c r="B158" s="1" t="s">
        <v>8</v>
      </c>
      <c r="C158" s="1" t="s">
        <v>25</v>
      </c>
      <c r="D158" s="1" t="s">
        <v>32</v>
      </c>
      <c r="E158" s="1">
        <v>-1006.1</v>
      </c>
      <c r="F158" s="1">
        <v>9.07</v>
      </c>
      <c r="G158" s="1">
        <v>12</v>
      </c>
      <c r="H158" s="1">
        <v>-83.841666669999995</v>
      </c>
    </row>
    <row r="159" spans="1:8" ht="15.75" thickBot="1" x14ac:dyDescent="0.3">
      <c r="A159" s="1">
        <v>2017</v>
      </c>
      <c r="B159" s="1" t="s">
        <v>8</v>
      </c>
      <c r="C159" s="1" t="s">
        <v>28</v>
      </c>
      <c r="D159" s="1" t="s">
        <v>13</v>
      </c>
      <c r="E159" s="1">
        <v>0</v>
      </c>
      <c r="F159" s="1">
        <v>0</v>
      </c>
      <c r="G159" s="1">
        <v>1</v>
      </c>
      <c r="H159" s="1">
        <v>0</v>
      </c>
    </row>
    <row r="160" spans="1:8" ht="15.75" thickBot="1" x14ac:dyDescent="0.3">
      <c r="A160" s="1">
        <v>2015</v>
      </c>
      <c r="B160" s="1" t="s">
        <v>12</v>
      </c>
      <c r="C160" s="1" t="s">
        <v>28</v>
      </c>
      <c r="D160" s="1" t="s">
        <v>27</v>
      </c>
      <c r="E160" s="1">
        <v>26398016.719999999</v>
      </c>
      <c r="F160" s="1">
        <v>948877.78</v>
      </c>
      <c r="G160" s="1">
        <v>404186</v>
      </c>
      <c r="H160" s="1">
        <v>65.311556359999997</v>
      </c>
    </row>
    <row r="161" spans="1:8" ht="15.75" thickBot="1" x14ac:dyDescent="0.3">
      <c r="A161" s="1">
        <v>2015</v>
      </c>
      <c r="B161" s="1" t="s">
        <v>30</v>
      </c>
      <c r="C161" s="1" t="s">
        <v>33</v>
      </c>
      <c r="D161" s="1" t="s">
        <v>29</v>
      </c>
      <c r="E161" s="1">
        <v>13145181.74</v>
      </c>
      <c r="F161" s="1">
        <v>407435.13</v>
      </c>
      <c r="G161" s="1">
        <v>60807</v>
      </c>
      <c r="H161" s="1">
        <v>216.17875799999999</v>
      </c>
    </row>
    <row r="162" spans="1:8" ht="15.75" thickBot="1" x14ac:dyDescent="0.3">
      <c r="A162" s="1">
        <v>2016</v>
      </c>
      <c r="B162" s="1" t="s">
        <v>35</v>
      </c>
      <c r="C162" s="1" t="s">
        <v>9</v>
      </c>
      <c r="D162" s="1" t="s">
        <v>24</v>
      </c>
      <c r="E162" s="1">
        <v>879.75</v>
      </c>
      <c r="F162" s="1">
        <v>34.270000000000003</v>
      </c>
      <c r="G162" s="1">
        <v>68</v>
      </c>
      <c r="H162" s="1">
        <v>12.9375</v>
      </c>
    </row>
    <row r="163" spans="1:8" ht="15.75" thickBot="1" x14ac:dyDescent="0.3">
      <c r="A163" s="1">
        <v>2017</v>
      </c>
      <c r="B163" s="1" t="s">
        <v>8</v>
      </c>
      <c r="C163" s="1" t="s">
        <v>18</v>
      </c>
      <c r="D163" s="1" t="s">
        <v>27</v>
      </c>
      <c r="E163" s="1">
        <v>509.36</v>
      </c>
      <c r="F163" s="1">
        <v>22.54</v>
      </c>
      <c r="G163" s="1">
        <v>20</v>
      </c>
      <c r="H163" s="1">
        <v>25.468</v>
      </c>
    </row>
    <row r="164" spans="1:8" ht="15.75" thickBot="1" x14ac:dyDescent="0.3">
      <c r="A164" s="1">
        <v>2015</v>
      </c>
      <c r="B164" s="1" t="s">
        <v>12</v>
      </c>
      <c r="C164" s="1" t="s">
        <v>23</v>
      </c>
      <c r="D164" s="1" t="s">
        <v>13</v>
      </c>
      <c r="E164" s="1">
        <v>13664.97</v>
      </c>
      <c r="F164" s="1">
        <v>534.08000000000004</v>
      </c>
      <c r="G164" s="1">
        <v>991</v>
      </c>
      <c r="H164" s="1">
        <v>13.78907164</v>
      </c>
    </row>
    <row r="165" spans="1:8" ht="15.75" thickBot="1" x14ac:dyDescent="0.3">
      <c r="A165" s="1">
        <v>2015</v>
      </c>
      <c r="B165" s="1" t="s">
        <v>30</v>
      </c>
      <c r="C165" s="1" t="s">
        <v>21</v>
      </c>
      <c r="D165" s="1" t="s">
        <v>24</v>
      </c>
      <c r="E165" s="1">
        <v>38671834.07</v>
      </c>
      <c r="F165" s="1">
        <v>1183178.21</v>
      </c>
      <c r="G165" s="1">
        <v>218992</v>
      </c>
      <c r="H165" s="1">
        <v>176.59016800000001</v>
      </c>
    </row>
    <row r="166" spans="1:8" ht="15.75" thickBot="1" x14ac:dyDescent="0.3">
      <c r="A166" s="1">
        <v>2014</v>
      </c>
      <c r="B166" s="1" t="s">
        <v>17</v>
      </c>
      <c r="C166" s="1" t="s">
        <v>9</v>
      </c>
      <c r="D166" s="1" t="s">
        <v>22</v>
      </c>
      <c r="E166" s="1">
        <v>339.18</v>
      </c>
      <c r="F166" s="1">
        <v>31.62</v>
      </c>
      <c r="G166" s="1">
        <v>2318</v>
      </c>
      <c r="H166" s="1">
        <v>0.14632441760000001</v>
      </c>
    </row>
    <row r="167" spans="1:8" ht="15.75" thickBot="1" x14ac:dyDescent="0.3">
      <c r="A167" s="1">
        <v>2016</v>
      </c>
      <c r="B167" s="1" t="s">
        <v>20</v>
      </c>
      <c r="C167" s="1" t="s">
        <v>25</v>
      </c>
      <c r="D167" s="1" t="s">
        <v>27</v>
      </c>
      <c r="E167" s="1">
        <v>8867162.5800000001</v>
      </c>
      <c r="F167" s="1">
        <v>358695.96</v>
      </c>
      <c r="G167" s="1">
        <v>274987</v>
      </c>
      <c r="H167" s="1">
        <v>32.245751910000003</v>
      </c>
    </row>
    <row r="168" spans="1:8" ht="15.75" thickBot="1" x14ac:dyDescent="0.3">
      <c r="A168" s="1">
        <v>2015</v>
      </c>
      <c r="B168" s="1" t="s">
        <v>30</v>
      </c>
      <c r="C168" s="1" t="s">
        <v>26</v>
      </c>
      <c r="D168" s="1" t="s">
        <v>29</v>
      </c>
      <c r="E168" s="1">
        <v>7422086.8700000001</v>
      </c>
      <c r="F168" s="1">
        <v>248791.03</v>
      </c>
      <c r="G168" s="1">
        <v>48245</v>
      </c>
      <c r="H168" s="1">
        <v>153.84157669999999</v>
      </c>
    </row>
    <row r="169" spans="1:8" ht="15.75" thickBot="1" x14ac:dyDescent="0.3">
      <c r="A169" s="1">
        <v>2014</v>
      </c>
      <c r="B169" s="1" t="s">
        <v>20</v>
      </c>
      <c r="C169" s="1" t="s">
        <v>9</v>
      </c>
      <c r="D169" s="1" t="s">
        <v>10</v>
      </c>
      <c r="E169" s="1">
        <v>34.340000000000003</v>
      </c>
      <c r="F169" s="1">
        <v>14.42</v>
      </c>
      <c r="G169" s="1">
        <v>118</v>
      </c>
      <c r="H169" s="1">
        <v>0.29101694919999999</v>
      </c>
    </row>
    <row r="170" spans="1:8" ht="15.75" thickBot="1" x14ac:dyDescent="0.3">
      <c r="A170" s="1">
        <v>2014</v>
      </c>
      <c r="B170" s="1" t="s">
        <v>12</v>
      </c>
      <c r="C170" s="1" t="s">
        <v>25</v>
      </c>
      <c r="D170" s="1" t="s">
        <v>27</v>
      </c>
      <c r="E170" s="1">
        <v>27119039.93</v>
      </c>
      <c r="F170" s="1">
        <v>1060521.57</v>
      </c>
      <c r="G170" s="1">
        <v>598854</v>
      </c>
      <c r="H170" s="1">
        <v>45.284894029999997</v>
      </c>
    </row>
    <row r="171" spans="1:8" ht="15.75" thickBot="1" x14ac:dyDescent="0.3">
      <c r="A171" s="1">
        <v>2016</v>
      </c>
      <c r="B171" s="1" t="s">
        <v>30</v>
      </c>
      <c r="C171" s="1" t="s">
        <v>9</v>
      </c>
      <c r="D171" s="1" t="s">
        <v>27</v>
      </c>
      <c r="E171" s="1">
        <v>1344100.34</v>
      </c>
      <c r="F171" s="1">
        <v>35663.58</v>
      </c>
      <c r="G171" s="1">
        <v>47550</v>
      </c>
      <c r="H171" s="1">
        <v>28.26709443</v>
      </c>
    </row>
    <row r="172" spans="1:8" ht="15.75" thickBot="1" x14ac:dyDescent="0.3">
      <c r="A172" s="1">
        <v>2015</v>
      </c>
      <c r="B172" s="1" t="s">
        <v>8</v>
      </c>
      <c r="C172" s="1" t="s">
        <v>26</v>
      </c>
      <c r="D172" s="1" t="s">
        <v>27</v>
      </c>
      <c r="E172" s="1">
        <v>14028.78</v>
      </c>
      <c r="F172" s="1">
        <v>533.76</v>
      </c>
      <c r="G172" s="1">
        <v>543</v>
      </c>
      <c r="H172" s="1">
        <v>25.83569061</v>
      </c>
    </row>
    <row r="173" spans="1:8" ht="15.75" thickBot="1" x14ac:dyDescent="0.3">
      <c r="A173" s="1">
        <v>2017</v>
      </c>
      <c r="B173" s="1" t="s">
        <v>16</v>
      </c>
      <c r="C173" s="1" t="s">
        <v>23</v>
      </c>
      <c r="D173" s="1" t="s">
        <v>24</v>
      </c>
      <c r="E173" s="1">
        <v>32808406.640000001</v>
      </c>
      <c r="F173" s="1">
        <v>1242419.53</v>
      </c>
      <c r="G173" s="1">
        <v>210189</v>
      </c>
      <c r="H173" s="1">
        <v>156.0900268</v>
      </c>
    </row>
    <row r="174" spans="1:8" ht="15.75" thickBot="1" x14ac:dyDescent="0.3">
      <c r="A174" s="1">
        <v>2017</v>
      </c>
      <c r="B174" s="1" t="s">
        <v>20</v>
      </c>
      <c r="C174" s="1" t="s">
        <v>18</v>
      </c>
      <c r="D174" s="1" t="s">
        <v>19</v>
      </c>
      <c r="E174" s="1">
        <v>1576808.11</v>
      </c>
      <c r="F174" s="1">
        <v>41690.480000000003</v>
      </c>
      <c r="G174" s="1">
        <v>16625</v>
      </c>
      <c r="H174" s="1">
        <v>94.845600599999997</v>
      </c>
    </row>
    <row r="175" spans="1:8" ht="15.75" thickBot="1" x14ac:dyDescent="0.3">
      <c r="A175" s="1">
        <v>2014</v>
      </c>
      <c r="B175" s="1" t="s">
        <v>30</v>
      </c>
      <c r="C175" s="1" t="s">
        <v>12</v>
      </c>
      <c r="D175" s="1" t="s">
        <v>19</v>
      </c>
      <c r="E175" s="1">
        <v>103758581.90000001</v>
      </c>
      <c r="F175" s="1">
        <v>3273689.16</v>
      </c>
      <c r="G175" s="1">
        <v>769654</v>
      </c>
      <c r="H175" s="1">
        <v>134.8119829</v>
      </c>
    </row>
    <row r="176" spans="1:8" ht="15.75" thickBot="1" x14ac:dyDescent="0.3">
      <c r="A176" s="1">
        <v>2015</v>
      </c>
      <c r="B176" s="1" t="s">
        <v>17</v>
      </c>
      <c r="C176" s="1" t="s">
        <v>15</v>
      </c>
      <c r="D176" s="1" t="s">
        <v>22</v>
      </c>
      <c r="E176" s="1">
        <v>505315.07</v>
      </c>
      <c r="F176" s="1">
        <v>17549.73</v>
      </c>
      <c r="G176" s="1">
        <v>41372</v>
      </c>
      <c r="H176" s="1">
        <v>12.213938649999999</v>
      </c>
    </row>
    <row r="177" spans="1:8" ht="15.75" thickBot="1" x14ac:dyDescent="0.3">
      <c r="A177" s="1">
        <v>2017</v>
      </c>
      <c r="B177" s="1" t="s">
        <v>14</v>
      </c>
      <c r="C177" s="1" t="s">
        <v>12</v>
      </c>
      <c r="D177" s="1" t="s">
        <v>29</v>
      </c>
      <c r="E177" s="1">
        <v>16479400.26</v>
      </c>
      <c r="F177" s="1">
        <v>546562.91</v>
      </c>
      <c r="G177" s="1">
        <v>67919</v>
      </c>
      <c r="H177" s="1">
        <v>242.6331404</v>
      </c>
    </row>
    <row r="178" spans="1:8" ht="15.75" thickBot="1" x14ac:dyDescent="0.3">
      <c r="A178" s="1">
        <v>2017</v>
      </c>
      <c r="B178" s="1" t="s">
        <v>30</v>
      </c>
      <c r="C178" s="1" t="s">
        <v>12</v>
      </c>
      <c r="D178" s="1" t="s">
        <v>13</v>
      </c>
      <c r="E178" s="1">
        <v>8491061.6999999993</v>
      </c>
      <c r="F178" s="1">
        <v>266821.34000000003</v>
      </c>
      <c r="G178" s="1">
        <v>179365</v>
      </c>
      <c r="H178" s="1">
        <v>47.339568479999997</v>
      </c>
    </row>
    <row r="179" spans="1:8" ht="15.75" thickBot="1" x14ac:dyDescent="0.3">
      <c r="A179" s="1">
        <v>2016</v>
      </c>
      <c r="B179" s="1" t="s">
        <v>35</v>
      </c>
      <c r="C179" s="1" t="s">
        <v>33</v>
      </c>
      <c r="D179" s="1" t="s">
        <v>32</v>
      </c>
      <c r="E179" s="1">
        <v>33391.65</v>
      </c>
      <c r="F179" s="1">
        <v>840.22</v>
      </c>
      <c r="G179" s="1">
        <v>1311</v>
      </c>
      <c r="H179" s="1">
        <v>25.470366129999999</v>
      </c>
    </row>
    <row r="180" spans="1:8" ht="15.75" thickBot="1" x14ac:dyDescent="0.3">
      <c r="A180" s="1">
        <v>2014</v>
      </c>
      <c r="B180" s="1" t="s">
        <v>11</v>
      </c>
      <c r="C180" s="1" t="s">
        <v>25</v>
      </c>
      <c r="D180" s="1" t="s">
        <v>10</v>
      </c>
      <c r="E180" s="1">
        <v>132737840.90000001</v>
      </c>
      <c r="F180" s="1">
        <v>2864932.65</v>
      </c>
      <c r="G180" s="1">
        <v>1662327</v>
      </c>
      <c r="H180" s="1">
        <v>79.850619600000002</v>
      </c>
    </row>
    <row r="181" spans="1:8" ht="15.75" thickBot="1" x14ac:dyDescent="0.3">
      <c r="A181" s="1">
        <v>2017</v>
      </c>
      <c r="B181" s="1" t="s">
        <v>16</v>
      </c>
      <c r="C181" s="1" t="s">
        <v>15</v>
      </c>
      <c r="D181" s="1" t="s">
        <v>19</v>
      </c>
      <c r="E181" s="1">
        <v>50017923.840000004</v>
      </c>
      <c r="F181" s="1">
        <v>1573179.93</v>
      </c>
      <c r="G181" s="1">
        <v>190261</v>
      </c>
      <c r="H181" s="1">
        <v>262.89110140000003</v>
      </c>
    </row>
    <row r="182" spans="1:8" ht="15.75" thickBot="1" x14ac:dyDescent="0.3">
      <c r="A182" s="1">
        <v>2016</v>
      </c>
      <c r="B182" s="1" t="s">
        <v>17</v>
      </c>
      <c r="C182" s="1" t="s">
        <v>18</v>
      </c>
      <c r="D182" s="1" t="s">
        <v>27</v>
      </c>
      <c r="E182" s="1">
        <v>84795055.560000002</v>
      </c>
      <c r="F182" s="1">
        <v>2766397.1</v>
      </c>
      <c r="G182" s="1">
        <v>944469</v>
      </c>
      <c r="H182" s="1">
        <v>89.780665709999994</v>
      </c>
    </row>
    <row r="183" spans="1:8" ht="15.75" thickBot="1" x14ac:dyDescent="0.3">
      <c r="A183" s="1">
        <v>2017</v>
      </c>
      <c r="B183" s="1" t="s">
        <v>35</v>
      </c>
      <c r="C183" s="1" t="s">
        <v>21</v>
      </c>
      <c r="D183" s="1" t="s">
        <v>32</v>
      </c>
      <c r="E183" s="1">
        <v>21186.94</v>
      </c>
      <c r="F183" s="1">
        <v>846.47</v>
      </c>
      <c r="G183" s="1">
        <v>1248</v>
      </c>
      <c r="H183" s="1">
        <v>16.976714739999998</v>
      </c>
    </row>
    <row r="184" spans="1:8" ht="15.75" thickBot="1" x14ac:dyDescent="0.3">
      <c r="A184" s="1">
        <v>2017</v>
      </c>
      <c r="B184" s="1" t="s">
        <v>40</v>
      </c>
      <c r="C184" s="1" t="s">
        <v>23</v>
      </c>
      <c r="D184" s="1" t="s">
        <v>27</v>
      </c>
      <c r="E184" s="1">
        <v>26895.51</v>
      </c>
      <c r="F184" s="1">
        <v>1061.45</v>
      </c>
      <c r="G184" s="1">
        <v>599</v>
      </c>
      <c r="H184" s="1">
        <v>44.900684470000002</v>
      </c>
    </row>
    <row r="185" spans="1:8" ht="15.75" thickBot="1" x14ac:dyDescent="0.3">
      <c r="A185" s="1">
        <v>2014</v>
      </c>
      <c r="B185" s="1" t="s">
        <v>30</v>
      </c>
      <c r="C185" s="1" t="s">
        <v>25</v>
      </c>
      <c r="D185" s="1" t="s">
        <v>27</v>
      </c>
      <c r="E185" s="1">
        <v>724034840.39999998</v>
      </c>
      <c r="F185" s="1">
        <v>26459690</v>
      </c>
      <c r="G185" s="1">
        <v>12567557</v>
      </c>
      <c r="H185" s="1">
        <v>57.611422840000003</v>
      </c>
    </row>
    <row r="186" spans="1:8" ht="15.75" thickBot="1" x14ac:dyDescent="0.3">
      <c r="A186" s="1">
        <v>2015</v>
      </c>
      <c r="B186" s="1" t="s">
        <v>17</v>
      </c>
      <c r="C186" s="1" t="s">
        <v>28</v>
      </c>
      <c r="D186" s="1" t="s">
        <v>29</v>
      </c>
      <c r="E186" s="1">
        <v>67184720.890000001</v>
      </c>
      <c r="F186" s="1">
        <v>2006223.13</v>
      </c>
      <c r="G186" s="1">
        <v>81464</v>
      </c>
      <c r="H186" s="1">
        <v>824.71669559999998</v>
      </c>
    </row>
    <row r="187" spans="1:8" ht="15.75" thickBot="1" x14ac:dyDescent="0.3">
      <c r="A187" s="1">
        <v>2017</v>
      </c>
      <c r="B187" s="1" t="s">
        <v>35</v>
      </c>
      <c r="C187" s="1" t="s">
        <v>28</v>
      </c>
      <c r="D187" s="1" t="s">
        <v>34</v>
      </c>
      <c r="E187" s="1">
        <v>0</v>
      </c>
      <c r="F187" s="1">
        <v>0</v>
      </c>
      <c r="G187" s="1">
        <v>1</v>
      </c>
      <c r="H187" s="1">
        <v>0</v>
      </c>
    </row>
    <row r="188" spans="1:8" ht="15.75" thickBot="1" x14ac:dyDescent="0.3">
      <c r="A188" s="1">
        <v>2014</v>
      </c>
      <c r="B188" s="1" t="s">
        <v>16</v>
      </c>
      <c r="C188" s="1" t="s">
        <v>15</v>
      </c>
      <c r="D188" s="1" t="s">
        <v>13</v>
      </c>
      <c r="E188" s="1">
        <v>21329.24</v>
      </c>
      <c r="F188" s="1">
        <v>690.53</v>
      </c>
      <c r="G188" s="1">
        <v>264</v>
      </c>
      <c r="H188" s="1">
        <v>80.792575760000005</v>
      </c>
    </row>
    <row r="189" spans="1:8" ht="15.75" thickBot="1" x14ac:dyDescent="0.3">
      <c r="A189" s="1">
        <v>2015</v>
      </c>
      <c r="B189" s="1" t="s">
        <v>30</v>
      </c>
      <c r="C189" s="1" t="s">
        <v>25</v>
      </c>
      <c r="D189" s="1" t="s">
        <v>13</v>
      </c>
      <c r="E189" s="1">
        <v>1768854.05</v>
      </c>
      <c r="F189" s="1">
        <v>49814.36</v>
      </c>
      <c r="G189" s="1">
        <v>23782</v>
      </c>
      <c r="H189" s="1">
        <v>74.377850899999999</v>
      </c>
    </row>
    <row r="190" spans="1:8" ht="15.75" thickBot="1" x14ac:dyDescent="0.3">
      <c r="A190" s="1">
        <v>2017</v>
      </c>
      <c r="B190" s="1" t="s">
        <v>14</v>
      </c>
      <c r="C190" s="1" t="s">
        <v>15</v>
      </c>
      <c r="D190" s="1" t="s">
        <v>34</v>
      </c>
      <c r="E190" s="1">
        <v>70533.77</v>
      </c>
      <c r="F190" s="1">
        <v>2865.52</v>
      </c>
      <c r="G190" s="1">
        <v>2502</v>
      </c>
      <c r="H190" s="1">
        <v>28.190955240000001</v>
      </c>
    </row>
    <row r="191" spans="1:8" ht="15.75" thickBot="1" x14ac:dyDescent="0.3">
      <c r="A191" s="1">
        <v>2017</v>
      </c>
      <c r="B191" s="1" t="s">
        <v>30</v>
      </c>
      <c r="C191" s="1" t="s">
        <v>23</v>
      </c>
      <c r="D191" s="1" t="s">
        <v>29</v>
      </c>
      <c r="E191" s="1">
        <v>7661226.5599999996</v>
      </c>
      <c r="F191" s="1">
        <v>274902.65999999997</v>
      </c>
      <c r="G191" s="1">
        <v>57142</v>
      </c>
      <c r="H191" s="1">
        <v>134.07347590000001</v>
      </c>
    </row>
    <row r="192" spans="1:8" ht="15.75" thickBot="1" x14ac:dyDescent="0.3">
      <c r="A192" s="1">
        <v>2014</v>
      </c>
      <c r="B192" s="1" t="s">
        <v>11</v>
      </c>
      <c r="C192" s="1" t="s">
        <v>21</v>
      </c>
      <c r="D192" s="1" t="s">
        <v>22</v>
      </c>
      <c r="E192" s="1">
        <v>25517477.050000001</v>
      </c>
      <c r="F192" s="1">
        <v>744994.66</v>
      </c>
      <c r="G192" s="1">
        <v>1832898</v>
      </c>
      <c r="H192" s="1">
        <v>13.921929670000001</v>
      </c>
    </row>
    <row r="193" spans="1:8" ht="15.75" thickBot="1" x14ac:dyDescent="0.3">
      <c r="A193" s="1">
        <v>2016</v>
      </c>
      <c r="B193" s="1" t="s">
        <v>17</v>
      </c>
      <c r="C193" s="1" t="s">
        <v>28</v>
      </c>
      <c r="D193" s="1" t="s">
        <v>19</v>
      </c>
      <c r="E193" s="1">
        <v>300787029.30000001</v>
      </c>
      <c r="F193" s="1">
        <v>7533833.9800000004</v>
      </c>
      <c r="G193" s="1">
        <v>494144</v>
      </c>
      <c r="H193" s="1">
        <v>608.70319040000004</v>
      </c>
    </row>
    <row r="194" spans="1:8" ht="15.75" thickBot="1" x14ac:dyDescent="0.3">
      <c r="A194" s="1">
        <v>2014</v>
      </c>
      <c r="B194" s="1" t="s">
        <v>14</v>
      </c>
      <c r="C194" s="1" t="s">
        <v>12</v>
      </c>
      <c r="D194" s="1" t="s">
        <v>27</v>
      </c>
      <c r="E194" s="1">
        <v>159599343.09999999</v>
      </c>
      <c r="F194" s="1">
        <v>7016698.6299999999</v>
      </c>
      <c r="G194" s="1">
        <v>5338276</v>
      </c>
      <c r="H194" s="1">
        <v>29.89716962</v>
      </c>
    </row>
    <row r="195" spans="1:8" ht="15.75" thickBot="1" x14ac:dyDescent="0.3">
      <c r="A195" s="1">
        <v>2017</v>
      </c>
      <c r="B195" s="1" t="s">
        <v>40</v>
      </c>
      <c r="C195" s="1" t="s">
        <v>21</v>
      </c>
      <c r="D195" s="1" t="s">
        <v>32</v>
      </c>
      <c r="E195" s="1">
        <v>2159.62</v>
      </c>
      <c r="F195" s="1">
        <v>159.31</v>
      </c>
      <c r="G195" s="1">
        <v>145</v>
      </c>
      <c r="H195" s="1">
        <v>14.893931029999999</v>
      </c>
    </row>
    <row r="196" spans="1:8" ht="15.75" thickBot="1" x14ac:dyDescent="0.3">
      <c r="A196" s="1">
        <v>2016</v>
      </c>
      <c r="B196" s="1" t="s">
        <v>35</v>
      </c>
      <c r="C196" s="1" t="s">
        <v>21</v>
      </c>
      <c r="D196" s="1" t="s">
        <v>31</v>
      </c>
      <c r="E196" s="1">
        <v>125.27</v>
      </c>
      <c r="F196" s="1">
        <v>6.44</v>
      </c>
      <c r="G196" s="1">
        <v>70</v>
      </c>
      <c r="H196" s="1">
        <v>1.789571429</v>
      </c>
    </row>
    <row r="197" spans="1:8" ht="15.75" thickBot="1" x14ac:dyDescent="0.3">
      <c r="A197" s="1">
        <v>2016</v>
      </c>
      <c r="B197" s="1" t="s">
        <v>40</v>
      </c>
      <c r="C197" s="1" t="s">
        <v>12</v>
      </c>
      <c r="D197" s="1" t="s">
        <v>32</v>
      </c>
      <c r="E197" s="1">
        <v>11081.56</v>
      </c>
      <c r="F197" s="1">
        <v>473.07</v>
      </c>
      <c r="G197" s="1">
        <v>288</v>
      </c>
      <c r="H197" s="1">
        <v>38.477638890000001</v>
      </c>
    </row>
    <row r="198" spans="1:8" ht="15.75" thickBot="1" x14ac:dyDescent="0.3">
      <c r="A198" s="1">
        <v>2015</v>
      </c>
      <c r="B198" s="1" t="s">
        <v>17</v>
      </c>
      <c r="C198" s="1" t="s">
        <v>25</v>
      </c>
      <c r="D198" s="1" t="s">
        <v>22</v>
      </c>
      <c r="E198" s="1">
        <v>1750724.93</v>
      </c>
      <c r="F198" s="1">
        <v>64947.29</v>
      </c>
      <c r="G198" s="1">
        <v>108960</v>
      </c>
      <c r="H198" s="1">
        <v>16.06759297</v>
      </c>
    </row>
    <row r="199" spans="1:8" ht="15.75" thickBot="1" x14ac:dyDescent="0.3">
      <c r="A199" s="1">
        <v>2016</v>
      </c>
      <c r="B199" s="1" t="s">
        <v>14</v>
      </c>
      <c r="C199" s="1" t="s">
        <v>9</v>
      </c>
      <c r="D199" s="1" t="s">
        <v>27</v>
      </c>
      <c r="E199" s="1">
        <v>30033056.989999998</v>
      </c>
      <c r="F199" s="1">
        <v>1218853.55</v>
      </c>
      <c r="G199" s="1">
        <v>959105</v>
      </c>
      <c r="H199" s="1">
        <v>31.313627799999999</v>
      </c>
    </row>
    <row r="200" spans="1:8" ht="15.75" thickBot="1" x14ac:dyDescent="0.3">
      <c r="A200" s="1">
        <v>2017</v>
      </c>
      <c r="B200" s="1" t="s">
        <v>30</v>
      </c>
      <c r="C200" s="1" t="s">
        <v>9</v>
      </c>
      <c r="D200" s="1" t="s">
        <v>34</v>
      </c>
      <c r="E200" s="1">
        <v>4884.49</v>
      </c>
      <c r="F200" s="1">
        <v>161.82</v>
      </c>
      <c r="G200" s="1">
        <v>68</v>
      </c>
      <c r="H200" s="1">
        <v>71.830735290000007</v>
      </c>
    </row>
    <row r="201" spans="1:8" ht="15.75" thickBot="1" x14ac:dyDescent="0.3">
      <c r="A201" s="1">
        <v>2017</v>
      </c>
      <c r="B201" s="1" t="s">
        <v>12</v>
      </c>
      <c r="C201" s="1" t="s">
        <v>26</v>
      </c>
      <c r="D201" s="1" t="s">
        <v>34</v>
      </c>
      <c r="E201" s="1">
        <v>41060.6</v>
      </c>
      <c r="F201" s="1">
        <v>1595.64</v>
      </c>
      <c r="G201" s="1">
        <v>1616</v>
      </c>
      <c r="H201" s="1">
        <v>25.40878713</v>
      </c>
    </row>
    <row r="202" spans="1:8" ht="15.75" thickBot="1" x14ac:dyDescent="0.3">
      <c r="A202" s="1">
        <v>2015</v>
      </c>
      <c r="B202" s="1" t="s">
        <v>8</v>
      </c>
      <c r="C202" s="1" t="s">
        <v>9</v>
      </c>
      <c r="D202" s="1" t="s">
        <v>29</v>
      </c>
      <c r="E202" s="1">
        <v>1511.42</v>
      </c>
      <c r="F202" s="1">
        <v>44.13</v>
      </c>
      <c r="G202" s="1">
        <v>1</v>
      </c>
      <c r="H202" s="1">
        <v>1511.42</v>
      </c>
    </row>
    <row r="203" spans="1:8" ht="15.75" thickBot="1" x14ac:dyDescent="0.3">
      <c r="A203" s="1">
        <v>2016</v>
      </c>
      <c r="B203" s="1" t="s">
        <v>11</v>
      </c>
      <c r="C203" s="1" t="s">
        <v>9</v>
      </c>
      <c r="D203" s="1" t="s">
        <v>24</v>
      </c>
      <c r="E203" s="1">
        <v>22080.98</v>
      </c>
      <c r="F203" s="1">
        <v>420.96</v>
      </c>
      <c r="G203" s="1">
        <v>163</v>
      </c>
      <c r="H203" s="1">
        <v>135.46613500000001</v>
      </c>
    </row>
    <row r="204" spans="1:8" ht="15.75" thickBot="1" x14ac:dyDescent="0.3">
      <c r="A204" s="1">
        <v>2014</v>
      </c>
      <c r="B204" s="1" t="s">
        <v>17</v>
      </c>
      <c r="C204" s="1" t="s">
        <v>15</v>
      </c>
      <c r="D204" s="1" t="s">
        <v>24</v>
      </c>
      <c r="E204" s="1">
        <v>11876134.279999999</v>
      </c>
      <c r="F204" s="1">
        <v>387560.53</v>
      </c>
      <c r="G204" s="1">
        <v>48673</v>
      </c>
      <c r="H204" s="1">
        <v>243.99840320000001</v>
      </c>
    </row>
    <row r="205" spans="1:8" ht="15.75" thickBot="1" x14ac:dyDescent="0.3">
      <c r="A205" s="1">
        <v>2017</v>
      </c>
      <c r="B205" s="1" t="s">
        <v>40</v>
      </c>
      <c r="C205" s="1" t="s">
        <v>9</v>
      </c>
      <c r="D205" s="1" t="s">
        <v>32</v>
      </c>
      <c r="E205" s="1">
        <v>6595.07</v>
      </c>
      <c r="F205" s="1">
        <v>251.18</v>
      </c>
      <c r="G205" s="1">
        <v>116</v>
      </c>
      <c r="H205" s="1">
        <v>56.854051720000001</v>
      </c>
    </row>
    <row r="206" spans="1:8" ht="15.75" thickBot="1" x14ac:dyDescent="0.3">
      <c r="A206" s="1">
        <v>2014</v>
      </c>
      <c r="B206" s="1" t="s">
        <v>17</v>
      </c>
      <c r="C206" s="1" t="s">
        <v>21</v>
      </c>
      <c r="D206" s="1" t="s">
        <v>32</v>
      </c>
      <c r="E206" s="1">
        <v>129825813.3</v>
      </c>
      <c r="F206" s="1">
        <v>4725234.5999999996</v>
      </c>
      <c r="G206" s="1">
        <v>2679127</v>
      </c>
      <c r="H206" s="1">
        <v>48.458252739999999</v>
      </c>
    </row>
    <row r="207" spans="1:8" ht="15.75" thickBot="1" x14ac:dyDescent="0.3">
      <c r="A207" s="1">
        <v>2015</v>
      </c>
      <c r="B207" s="1" t="s">
        <v>20</v>
      </c>
      <c r="C207" s="1" t="s">
        <v>23</v>
      </c>
      <c r="D207" s="1" t="s">
        <v>22</v>
      </c>
      <c r="E207" s="1">
        <v>537.04999999999995</v>
      </c>
      <c r="F207" s="1">
        <v>12.26</v>
      </c>
      <c r="G207" s="1">
        <v>262</v>
      </c>
      <c r="H207" s="1">
        <v>2.0498091600000001</v>
      </c>
    </row>
    <row r="208" spans="1:8" ht="15.75" thickBot="1" x14ac:dyDescent="0.3">
      <c r="A208" s="1">
        <v>2016</v>
      </c>
      <c r="B208" s="1" t="s">
        <v>11</v>
      </c>
      <c r="C208" s="1" t="s">
        <v>18</v>
      </c>
      <c r="D208" s="1" t="s">
        <v>22</v>
      </c>
      <c r="E208" s="1">
        <v>1088060.28</v>
      </c>
      <c r="F208" s="1">
        <v>37209.08</v>
      </c>
      <c r="G208" s="1">
        <v>83820</v>
      </c>
      <c r="H208" s="1">
        <v>12.980914820000001</v>
      </c>
    </row>
    <row r="209" spans="1:8" ht="15.75" thickBot="1" x14ac:dyDescent="0.3">
      <c r="A209" s="1">
        <v>2017</v>
      </c>
      <c r="B209" s="1" t="s">
        <v>35</v>
      </c>
      <c r="C209" s="1" t="s">
        <v>9</v>
      </c>
      <c r="D209" s="1" t="s">
        <v>31</v>
      </c>
      <c r="E209" s="1">
        <v>966.03</v>
      </c>
      <c r="F209" s="1">
        <v>120.99</v>
      </c>
      <c r="G209" s="1">
        <v>1011</v>
      </c>
      <c r="H209" s="1">
        <v>0.95551928779999995</v>
      </c>
    </row>
    <row r="210" spans="1:8" ht="15.75" thickBot="1" x14ac:dyDescent="0.3">
      <c r="A210" s="1">
        <v>2014</v>
      </c>
      <c r="B210" s="1" t="s">
        <v>35</v>
      </c>
      <c r="C210" s="1" t="s">
        <v>9</v>
      </c>
      <c r="D210" s="1" t="s">
        <v>31</v>
      </c>
      <c r="E210" s="1">
        <v>3273.25</v>
      </c>
      <c r="F210" s="1">
        <v>130.13</v>
      </c>
      <c r="G210" s="1">
        <v>882</v>
      </c>
      <c r="H210" s="1">
        <v>3.7111678000000001</v>
      </c>
    </row>
    <row r="211" spans="1:8" ht="15.75" thickBot="1" x14ac:dyDescent="0.3">
      <c r="A211" s="1">
        <v>2017</v>
      </c>
      <c r="B211" s="1" t="s">
        <v>12</v>
      </c>
      <c r="C211" s="1" t="s">
        <v>15</v>
      </c>
      <c r="D211" s="1" t="s">
        <v>13</v>
      </c>
      <c r="E211" s="1">
        <v>122043.07</v>
      </c>
      <c r="F211" s="1">
        <v>3707.73</v>
      </c>
      <c r="G211" s="1">
        <v>2633</v>
      </c>
      <c r="H211" s="1">
        <v>46.351336879999998</v>
      </c>
    </row>
    <row r="212" spans="1:8" ht="15.75" thickBot="1" x14ac:dyDescent="0.3">
      <c r="A212" s="1">
        <v>2014</v>
      </c>
      <c r="B212" s="1" t="s">
        <v>20</v>
      </c>
      <c r="C212" s="1" t="s">
        <v>12</v>
      </c>
      <c r="D212" s="1" t="s">
        <v>13</v>
      </c>
      <c r="E212" s="1">
        <v>6340.59</v>
      </c>
      <c r="F212" s="1">
        <v>231.73</v>
      </c>
      <c r="G212" s="1">
        <v>883</v>
      </c>
      <c r="H212" s="1">
        <v>7.1807361270000003</v>
      </c>
    </row>
    <row r="213" spans="1:8" ht="15.75" thickBot="1" x14ac:dyDescent="0.3">
      <c r="A213" s="1">
        <v>2017</v>
      </c>
      <c r="B213" s="1" t="s">
        <v>35</v>
      </c>
      <c r="C213" s="1" t="s">
        <v>28</v>
      </c>
      <c r="D213" s="1" t="s">
        <v>36</v>
      </c>
      <c r="E213" s="1">
        <v>31634.35</v>
      </c>
      <c r="F213" s="1">
        <v>178.34</v>
      </c>
      <c r="G213" s="1">
        <v>626</v>
      </c>
      <c r="H213" s="1">
        <v>50.534105429999997</v>
      </c>
    </row>
    <row r="214" spans="1:8" ht="15.75" thickBot="1" x14ac:dyDescent="0.3">
      <c r="A214" s="1">
        <v>2016</v>
      </c>
      <c r="B214" s="1" t="s">
        <v>11</v>
      </c>
      <c r="C214" s="1" t="s">
        <v>21</v>
      </c>
      <c r="D214" s="1" t="s">
        <v>32</v>
      </c>
      <c r="E214" s="1">
        <v>177236551.59999999</v>
      </c>
      <c r="F214" s="1">
        <v>6117505.8600000003</v>
      </c>
      <c r="G214" s="1">
        <v>4689299</v>
      </c>
      <c r="H214" s="1">
        <v>37.795958759999998</v>
      </c>
    </row>
    <row r="215" spans="1:8" ht="15.75" thickBot="1" x14ac:dyDescent="0.3">
      <c r="A215" s="1">
        <v>2016</v>
      </c>
      <c r="B215" s="1" t="s">
        <v>12</v>
      </c>
      <c r="C215" s="1" t="s">
        <v>33</v>
      </c>
      <c r="D215" s="1" t="s">
        <v>10</v>
      </c>
      <c r="E215" s="1">
        <v>9735567.8100000005</v>
      </c>
      <c r="F215" s="1">
        <v>256600.38</v>
      </c>
      <c r="G215" s="1">
        <v>164546</v>
      </c>
      <c r="H215" s="1">
        <v>59.166238069999999</v>
      </c>
    </row>
    <row r="216" spans="1:8" ht="15.75" thickBot="1" x14ac:dyDescent="0.3">
      <c r="A216" s="1">
        <v>2017</v>
      </c>
      <c r="B216" s="1" t="s">
        <v>8</v>
      </c>
      <c r="C216" s="1" t="s">
        <v>25</v>
      </c>
      <c r="D216" s="1" t="s">
        <v>27</v>
      </c>
      <c r="E216" s="1">
        <v>14609.74</v>
      </c>
      <c r="F216" s="1">
        <v>692.83</v>
      </c>
      <c r="G216" s="1">
        <v>803</v>
      </c>
      <c r="H216" s="1">
        <v>18.193947699999999</v>
      </c>
    </row>
    <row r="217" spans="1:8" ht="15.75" thickBot="1" x14ac:dyDescent="0.3">
      <c r="A217" s="1">
        <v>2017</v>
      </c>
      <c r="B217" s="1" t="s">
        <v>12</v>
      </c>
      <c r="C217" s="1" t="s">
        <v>21</v>
      </c>
      <c r="D217" s="1" t="s">
        <v>10</v>
      </c>
      <c r="E217" s="1">
        <v>10219131.57</v>
      </c>
      <c r="F217" s="1">
        <v>291773.26</v>
      </c>
      <c r="G217" s="1">
        <v>223647</v>
      </c>
      <c r="H217" s="1">
        <v>45.69313056</v>
      </c>
    </row>
    <row r="218" spans="1:8" ht="15.75" thickBot="1" x14ac:dyDescent="0.3">
      <c r="A218" s="1">
        <v>2014</v>
      </c>
      <c r="B218" s="1" t="s">
        <v>12</v>
      </c>
      <c r="C218" s="1" t="s">
        <v>21</v>
      </c>
      <c r="D218" s="1" t="s">
        <v>10</v>
      </c>
      <c r="E218" s="1">
        <v>6342764.9100000001</v>
      </c>
      <c r="F218" s="1">
        <v>134054.95000000001</v>
      </c>
      <c r="G218" s="1">
        <v>86798</v>
      </c>
      <c r="H218" s="1">
        <v>73.075012209999997</v>
      </c>
    </row>
    <row r="219" spans="1:8" ht="15.75" thickBot="1" x14ac:dyDescent="0.3">
      <c r="A219" s="1">
        <v>2017</v>
      </c>
      <c r="B219" s="1" t="s">
        <v>30</v>
      </c>
      <c r="C219" s="1" t="s">
        <v>9</v>
      </c>
      <c r="D219" s="1" t="s">
        <v>24</v>
      </c>
      <c r="E219" s="1">
        <v>341670.48</v>
      </c>
      <c r="F219" s="1">
        <v>5538.25</v>
      </c>
      <c r="G219" s="1">
        <v>2688</v>
      </c>
      <c r="H219" s="1">
        <v>127.1095536</v>
      </c>
    </row>
    <row r="220" spans="1:8" ht="15.75" thickBot="1" x14ac:dyDescent="0.3">
      <c r="A220" s="1">
        <v>2016</v>
      </c>
      <c r="B220" s="1" t="s">
        <v>12</v>
      </c>
      <c r="C220" s="1" t="s">
        <v>12</v>
      </c>
      <c r="D220" s="1" t="s">
        <v>19</v>
      </c>
      <c r="E220" s="1">
        <v>4588945.4000000004</v>
      </c>
      <c r="F220" s="1">
        <v>123471.38</v>
      </c>
      <c r="G220" s="1">
        <v>27988</v>
      </c>
      <c r="H220" s="1">
        <v>163.96117620000001</v>
      </c>
    </row>
    <row r="221" spans="1:8" ht="15.75" thickBot="1" x14ac:dyDescent="0.3">
      <c r="A221" s="1">
        <v>2017</v>
      </c>
      <c r="B221" s="1" t="s">
        <v>16</v>
      </c>
      <c r="C221" s="1" t="s">
        <v>15</v>
      </c>
      <c r="D221" s="1" t="s">
        <v>10</v>
      </c>
      <c r="E221" s="1">
        <v>19745955.039999999</v>
      </c>
      <c r="F221" s="1">
        <v>748384.54</v>
      </c>
      <c r="G221" s="1">
        <v>352312</v>
      </c>
      <c r="H221" s="1">
        <v>56.04678535</v>
      </c>
    </row>
    <row r="222" spans="1:8" ht="15.75" thickBot="1" x14ac:dyDescent="0.3">
      <c r="A222" s="1">
        <v>2015</v>
      </c>
      <c r="B222" s="1" t="s">
        <v>11</v>
      </c>
      <c r="C222" s="1" t="s">
        <v>33</v>
      </c>
      <c r="D222" s="1" t="s">
        <v>24</v>
      </c>
      <c r="E222" s="1">
        <v>8110070.1200000001</v>
      </c>
      <c r="F222" s="1">
        <v>251110.95</v>
      </c>
      <c r="G222" s="1">
        <v>26812</v>
      </c>
      <c r="H222" s="1">
        <v>302.47911829999998</v>
      </c>
    </row>
    <row r="223" spans="1:8" ht="15.75" thickBot="1" x14ac:dyDescent="0.3">
      <c r="A223" s="1">
        <v>2014</v>
      </c>
      <c r="B223" s="1" t="s">
        <v>12</v>
      </c>
      <c r="C223" s="1" t="s">
        <v>21</v>
      </c>
      <c r="D223" s="1" t="s">
        <v>13</v>
      </c>
      <c r="E223" s="1">
        <v>4710.1899999999996</v>
      </c>
      <c r="F223" s="1">
        <v>150.87</v>
      </c>
      <c r="G223" s="1">
        <v>124</v>
      </c>
      <c r="H223" s="1">
        <v>37.985403230000003</v>
      </c>
    </row>
    <row r="224" spans="1:8" ht="15.75" thickBot="1" x14ac:dyDescent="0.3">
      <c r="A224" s="1">
        <v>2017</v>
      </c>
      <c r="B224" s="1" t="s">
        <v>20</v>
      </c>
      <c r="C224" s="1" t="s">
        <v>25</v>
      </c>
      <c r="D224" s="1" t="s">
        <v>24</v>
      </c>
      <c r="E224" s="1">
        <v>1246963.8600000001</v>
      </c>
      <c r="F224" s="1">
        <v>44666.86</v>
      </c>
      <c r="G224" s="1">
        <v>14406</v>
      </c>
      <c r="H224" s="1">
        <v>86.558646400000001</v>
      </c>
    </row>
    <row r="225" spans="1:8" ht="15.75" thickBot="1" x14ac:dyDescent="0.3">
      <c r="A225" s="1">
        <v>2014</v>
      </c>
      <c r="B225" s="1" t="s">
        <v>17</v>
      </c>
      <c r="C225" s="1" t="s">
        <v>25</v>
      </c>
      <c r="D225" s="1" t="s">
        <v>29</v>
      </c>
      <c r="E225" s="1">
        <v>9803555.8900000006</v>
      </c>
      <c r="F225" s="1">
        <v>316473.73</v>
      </c>
      <c r="G225" s="1">
        <v>33387</v>
      </c>
      <c r="H225" s="1">
        <v>293.6339261</v>
      </c>
    </row>
    <row r="226" spans="1:8" ht="15.75" thickBot="1" x14ac:dyDescent="0.3">
      <c r="A226" s="1">
        <v>2016</v>
      </c>
      <c r="B226" s="1" t="s">
        <v>30</v>
      </c>
      <c r="C226" s="1" t="s">
        <v>28</v>
      </c>
      <c r="D226" s="1" t="s">
        <v>13</v>
      </c>
      <c r="E226" s="1">
        <v>4769809.8099999996</v>
      </c>
      <c r="F226" s="1">
        <v>80851.460000000006</v>
      </c>
      <c r="G226" s="1">
        <v>45932</v>
      </c>
      <c r="H226" s="1">
        <v>103.84502759999999</v>
      </c>
    </row>
    <row r="227" spans="1:8" ht="15.75" thickBot="1" x14ac:dyDescent="0.3">
      <c r="A227" s="1">
        <v>2016</v>
      </c>
      <c r="B227" s="1" t="s">
        <v>16</v>
      </c>
      <c r="C227" s="1" t="s">
        <v>15</v>
      </c>
      <c r="D227" s="1" t="s">
        <v>32</v>
      </c>
      <c r="E227" s="1">
        <v>118981858.90000001</v>
      </c>
      <c r="F227" s="1">
        <v>4286052.28</v>
      </c>
      <c r="G227" s="1">
        <v>1766853</v>
      </c>
      <c r="H227" s="1">
        <v>67.341119430000006</v>
      </c>
    </row>
    <row r="228" spans="1:8" ht="15.75" thickBot="1" x14ac:dyDescent="0.3">
      <c r="A228" s="1">
        <v>2017</v>
      </c>
      <c r="B228" s="1" t="s">
        <v>35</v>
      </c>
      <c r="C228" s="1" t="s">
        <v>28</v>
      </c>
      <c r="D228" s="1" t="s">
        <v>31</v>
      </c>
      <c r="E228" s="1">
        <v>286.60000000000002</v>
      </c>
      <c r="F228" s="1">
        <v>15.87</v>
      </c>
      <c r="G228" s="1">
        <v>240</v>
      </c>
      <c r="H228" s="1">
        <v>1.194166667</v>
      </c>
    </row>
    <row r="229" spans="1:8" ht="15.75" thickBot="1" x14ac:dyDescent="0.3">
      <c r="A229" s="1">
        <v>2014</v>
      </c>
      <c r="B229" s="1" t="s">
        <v>11</v>
      </c>
      <c r="C229" s="1" t="s">
        <v>26</v>
      </c>
      <c r="D229" s="1" t="s">
        <v>31</v>
      </c>
      <c r="E229" s="1">
        <v>8411477.25</v>
      </c>
      <c r="F229" s="1">
        <v>276693.55</v>
      </c>
      <c r="G229" s="1">
        <v>263359</v>
      </c>
      <c r="H229" s="1">
        <v>31.939205609999998</v>
      </c>
    </row>
    <row r="230" spans="1:8" ht="15.75" thickBot="1" x14ac:dyDescent="0.3">
      <c r="A230" s="1">
        <v>2015</v>
      </c>
      <c r="B230" s="1" t="s">
        <v>11</v>
      </c>
      <c r="C230" s="1" t="s">
        <v>21</v>
      </c>
      <c r="D230" s="1" t="s">
        <v>31</v>
      </c>
      <c r="E230" s="1">
        <v>30469424.059999999</v>
      </c>
      <c r="F230" s="1">
        <v>869434.49</v>
      </c>
      <c r="G230" s="1">
        <v>574581</v>
      </c>
      <c r="H230" s="1">
        <v>53.028944670000001</v>
      </c>
    </row>
    <row r="231" spans="1:8" ht="15.75" thickBot="1" x14ac:dyDescent="0.3">
      <c r="A231" s="1">
        <v>2015</v>
      </c>
      <c r="B231" s="1" t="s">
        <v>14</v>
      </c>
      <c r="C231" s="1" t="s">
        <v>33</v>
      </c>
      <c r="D231" s="1" t="s">
        <v>22</v>
      </c>
      <c r="E231" s="1">
        <v>34049.379999999997</v>
      </c>
      <c r="F231" s="1">
        <v>936.5</v>
      </c>
      <c r="G231" s="1">
        <v>1765</v>
      </c>
      <c r="H231" s="1">
        <v>19.291433430000001</v>
      </c>
    </row>
    <row r="232" spans="1:8" ht="15.75" thickBot="1" x14ac:dyDescent="0.3">
      <c r="A232" s="1">
        <v>2015</v>
      </c>
      <c r="B232" s="1" t="s">
        <v>11</v>
      </c>
      <c r="C232" s="1" t="s">
        <v>18</v>
      </c>
      <c r="D232" s="1" t="s">
        <v>32</v>
      </c>
      <c r="E232" s="1">
        <v>11925502.960000001</v>
      </c>
      <c r="F232" s="1">
        <v>361241.01</v>
      </c>
      <c r="G232" s="1">
        <v>182028</v>
      </c>
      <c r="H232" s="1">
        <v>65.514662360000003</v>
      </c>
    </row>
    <row r="233" spans="1:8" ht="15.75" thickBot="1" x14ac:dyDescent="0.3">
      <c r="A233" s="1">
        <v>2015</v>
      </c>
      <c r="B233" s="1" t="s">
        <v>20</v>
      </c>
      <c r="C233" s="1" t="s">
        <v>28</v>
      </c>
      <c r="D233" s="1" t="s">
        <v>32</v>
      </c>
      <c r="E233" s="1">
        <v>3639921.44</v>
      </c>
      <c r="F233" s="1">
        <v>153480.1</v>
      </c>
      <c r="G233" s="1">
        <v>211982</v>
      </c>
      <c r="H233" s="1">
        <v>17.170898659999999</v>
      </c>
    </row>
    <row r="234" spans="1:8" ht="15.75" thickBot="1" x14ac:dyDescent="0.3">
      <c r="A234" s="1">
        <v>2016</v>
      </c>
      <c r="B234" s="1" t="s">
        <v>20</v>
      </c>
      <c r="C234" s="1" t="s">
        <v>18</v>
      </c>
      <c r="D234" s="1" t="s">
        <v>29</v>
      </c>
      <c r="E234" s="1">
        <v>619588.14</v>
      </c>
      <c r="F234" s="1">
        <v>20201.849999999999</v>
      </c>
      <c r="G234" s="1">
        <v>4935</v>
      </c>
      <c r="H234" s="1">
        <v>125.54977510000001</v>
      </c>
    </row>
    <row r="235" spans="1:8" ht="15.75" thickBot="1" x14ac:dyDescent="0.3">
      <c r="A235" s="1">
        <v>2017</v>
      </c>
      <c r="B235" s="1" t="s">
        <v>11</v>
      </c>
      <c r="C235" s="1" t="s">
        <v>26</v>
      </c>
      <c r="D235" s="1" t="s">
        <v>10</v>
      </c>
      <c r="E235" s="1">
        <v>635743373.79999995</v>
      </c>
      <c r="F235" s="1">
        <v>15267724</v>
      </c>
      <c r="G235" s="1">
        <v>14004836</v>
      </c>
      <c r="H235" s="1">
        <v>45.394560400000003</v>
      </c>
    </row>
    <row r="236" spans="1:8" ht="15.75" thickBot="1" x14ac:dyDescent="0.3">
      <c r="A236" s="1">
        <v>2016</v>
      </c>
      <c r="B236" s="1" t="s">
        <v>12</v>
      </c>
      <c r="C236" s="1" t="s">
        <v>15</v>
      </c>
      <c r="D236" s="1" t="s">
        <v>27</v>
      </c>
      <c r="E236" s="1">
        <v>8484770.0500000007</v>
      </c>
      <c r="F236" s="1">
        <v>312240.48</v>
      </c>
      <c r="G236" s="1">
        <v>154148</v>
      </c>
      <c r="H236" s="1">
        <v>55.043010940000002</v>
      </c>
    </row>
    <row r="237" spans="1:8" ht="15.75" thickBot="1" x14ac:dyDescent="0.3">
      <c r="A237" s="1">
        <v>2016</v>
      </c>
      <c r="B237" s="1" t="s">
        <v>17</v>
      </c>
      <c r="C237" s="1" t="s">
        <v>18</v>
      </c>
      <c r="D237" s="1" t="s">
        <v>24</v>
      </c>
      <c r="E237" s="1">
        <v>5218465.2300000004</v>
      </c>
      <c r="F237" s="1">
        <v>171844.2</v>
      </c>
      <c r="G237" s="1">
        <v>15124</v>
      </c>
      <c r="H237" s="1">
        <v>345.04530749999998</v>
      </c>
    </row>
    <row r="238" spans="1:8" ht="15.75" thickBot="1" x14ac:dyDescent="0.3">
      <c r="A238" s="1">
        <v>2016</v>
      </c>
      <c r="B238" s="1" t="s">
        <v>11</v>
      </c>
      <c r="C238" s="1" t="s">
        <v>26</v>
      </c>
      <c r="D238" s="1" t="s">
        <v>29</v>
      </c>
      <c r="E238" s="1">
        <v>3000665.09</v>
      </c>
      <c r="F238" s="1">
        <v>84385.41</v>
      </c>
      <c r="G238" s="1">
        <v>6643</v>
      </c>
      <c r="H238" s="1">
        <v>451.7033103</v>
      </c>
    </row>
    <row r="239" spans="1:8" ht="15.75" thickBot="1" x14ac:dyDescent="0.3">
      <c r="A239" s="1">
        <v>2017</v>
      </c>
      <c r="B239" s="1" t="s">
        <v>35</v>
      </c>
      <c r="C239" s="1" t="s">
        <v>23</v>
      </c>
      <c r="D239" s="1" t="s">
        <v>24</v>
      </c>
      <c r="E239" s="1">
        <v>15.9</v>
      </c>
      <c r="F239" s="1">
        <v>1.93</v>
      </c>
      <c r="G239" s="1">
        <v>8</v>
      </c>
      <c r="H239" s="1">
        <v>1.9875</v>
      </c>
    </row>
    <row r="240" spans="1:8" ht="15.75" thickBot="1" x14ac:dyDescent="0.3">
      <c r="A240" s="1">
        <v>2014</v>
      </c>
      <c r="B240" s="1" t="s">
        <v>17</v>
      </c>
      <c r="C240" s="1" t="s">
        <v>23</v>
      </c>
      <c r="D240" s="1" t="s">
        <v>32</v>
      </c>
      <c r="E240" s="1">
        <v>40115824.32</v>
      </c>
      <c r="F240" s="1">
        <v>1468292.71</v>
      </c>
      <c r="G240" s="1">
        <v>808406</v>
      </c>
      <c r="H240" s="1">
        <v>49.623362909999997</v>
      </c>
    </row>
    <row r="241" spans="1:8" ht="15.75" thickBot="1" x14ac:dyDescent="0.3">
      <c r="A241" s="1">
        <v>2015</v>
      </c>
      <c r="B241" s="1" t="s">
        <v>20</v>
      </c>
      <c r="C241" s="1" t="s">
        <v>15</v>
      </c>
      <c r="D241" s="1" t="s">
        <v>29</v>
      </c>
      <c r="E241" s="1">
        <v>864510.64</v>
      </c>
      <c r="F241" s="1">
        <v>28382.959999999999</v>
      </c>
      <c r="G241" s="1">
        <v>7646</v>
      </c>
      <c r="H241" s="1">
        <v>113.0670468</v>
      </c>
    </row>
    <row r="242" spans="1:8" ht="15.75" thickBot="1" x14ac:dyDescent="0.3">
      <c r="A242" s="1">
        <v>2017</v>
      </c>
      <c r="B242" s="1" t="s">
        <v>14</v>
      </c>
      <c r="C242" s="1" t="s">
        <v>33</v>
      </c>
      <c r="D242" s="1" t="s">
        <v>24</v>
      </c>
      <c r="E242" s="1">
        <v>36451972.240000002</v>
      </c>
      <c r="F242" s="1">
        <v>1225866.06</v>
      </c>
      <c r="G242" s="1">
        <v>183213</v>
      </c>
      <c r="H242" s="1">
        <v>198.95952930000001</v>
      </c>
    </row>
    <row r="243" spans="1:8" ht="15.75" thickBot="1" x14ac:dyDescent="0.3">
      <c r="A243" s="1">
        <v>2014</v>
      </c>
      <c r="B243" s="1" t="s">
        <v>17</v>
      </c>
      <c r="C243" s="1" t="s">
        <v>9</v>
      </c>
      <c r="D243" s="1" t="s">
        <v>31</v>
      </c>
      <c r="E243" s="1">
        <v>487950833.89999998</v>
      </c>
      <c r="F243" s="1">
        <v>13224517.460000001</v>
      </c>
      <c r="G243" s="1">
        <v>5243904</v>
      </c>
      <c r="H243" s="1">
        <v>93.051061559999994</v>
      </c>
    </row>
    <row r="244" spans="1:8" ht="15.75" thickBot="1" x14ac:dyDescent="0.3">
      <c r="A244" s="1">
        <v>2014</v>
      </c>
      <c r="B244" s="1" t="s">
        <v>17</v>
      </c>
      <c r="C244" s="1" t="s">
        <v>12</v>
      </c>
      <c r="D244" s="1" t="s">
        <v>31</v>
      </c>
      <c r="E244" s="1">
        <v>4112962.46</v>
      </c>
      <c r="F244" s="1">
        <v>137932.68</v>
      </c>
      <c r="G244" s="1">
        <v>63650</v>
      </c>
      <c r="H244" s="1">
        <v>64.618420420000007</v>
      </c>
    </row>
    <row r="245" spans="1:8" ht="15.75" thickBot="1" x14ac:dyDescent="0.3">
      <c r="A245" s="1">
        <v>2014</v>
      </c>
      <c r="B245" s="1" t="s">
        <v>11</v>
      </c>
      <c r="C245" s="1" t="s">
        <v>9</v>
      </c>
      <c r="D245" s="1" t="s">
        <v>29</v>
      </c>
      <c r="E245" s="1">
        <v>2713.74</v>
      </c>
      <c r="F245" s="1">
        <v>29.47</v>
      </c>
      <c r="G245" s="1">
        <v>16</v>
      </c>
      <c r="H245" s="1">
        <v>169.60874999999999</v>
      </c>
    </row>
    <row r="246" spans="1:8" ht="15.75" thickBot="1" x14ac:dyDescent="0.3">
      <c r="A246" s="1">
        <v>2014</v>
      </c>
      <c r="B246" s="1" t="s">
        <v>12</v>
      </c>
      <c r="C246" s="1" t="s">
        <v>25</v>
      </c>
      <c r="D246" s="1" t="s">
        <v>13</v>
      </c>
      <c r="E246" s="1">
        <v>8105.79</v>
      </c>
      <c r="F246" s="1">
        <v>259.70999999999998</v>
      </c>
      <c r="G246" s="1">
        <v>128</v>
      </c>
      <c r="H246" s="1">
        <v>63.326484379999997</v>
      </c>
    </row>
    <row r="247" spans="1:8" ht="15.75" thickBot="1" x14ac:dyDescent="0.3">
      <c r="A247" s="1">
        <v>2017</v>
      </c>
      <c r="B247" s="1" t="s">
        <v>11</v>
      </c>
      <c r="C247" s="1" t="s">
        <v>18</v>
      </c>
      <c r="D247" s="1" t="s">
        <v>31</v>
      </c>
      <c r="E247" s="1">
        <v>6489835.5</v>
      </c>
      <c r="F247" s="1">
        <v>192803.31</v>
      </c>
      <c r="G247" s="1">
        <v>104611</v>
      </c>
      <c r="H247" s="1">
        <v>62.03779239</v>
      </c>
    </row>
    <row r="248" spans="1:8" ht="15.75" thickBot="1" x14ac:dyDescent="0.3">
      <c r="A248" s="1">
        <v>2016</v>
      </c>
      <c r="B248" s="1" t="s">
        <v>20</v>
      </c>
      <c r="C248" s="1" t="s">
        <v>23</v>
      </c>
      <c r="D248" s="1" t="s">
        <v>31</v>
      </c>
      <c r="E248" s="1">
        <v>14254.9</v>
      </c>
      <c r="F248" s="1">
        <v>652.11</v>
      </c>
      <c r="G248" s="1">
        <v>13086</v>
      </c>
      <c r="H248" s="1">
        <v>1.0893244689999999</v>
      </c>
    </row>
    <row r="249" spans="1:8" ht="15.75" thickBot="1" x14ac:dyDescent="0.3">
      <c r="A249" s="1">
        <v>2015</v>
      </c>
      <c r="B249" s="1" t="s">
        <v>35</v>
      </c>
      <c r="C249" s="1" t="s">
        <v>28</v>
      </c>
      <c r="D249" s="1" t="s">
        <v>24</v>
      </c>
      <c r="E249" s="1">
        <v>38666.6</v>
      </c>
      <c r="F249" s="1">
        <v>919.1</v>
      </c>
      <c r="G249" s="1">
        <v>152</v>
      </c>
      <c r="H249" s="1">
        <v>254.38552630000001</v>
      </c>
    </row>
    <row r="250" spans="1:8" ht="15.75" thickBot="1" x14ac:dyDescent="0.3">
      <c r="A250" s="1">
        <v>2014</v>
      </c>
      <c r="B250" s="1" t="s">
        <v>35</v>
      </c>
      <c r="C250" s="1" t="s">
        <v>26</v>
      </c>
      <c r="D250" s="1" t="s">
        <v>32</v>
      </c>
      <c r="E250" s="1">
        <v>1877.71</v>
      </c>
      <c r="F250" s="1">
        <v>100.4</v>
      </c>
      <c r="G250" s="1">
        <v>212</v>
      </c>
      <c r="H250" s="1">
        <v>8.8571226420000002</v>
      </c>
    </row>
    <row r="251" spans="1:8" ht="15.75" thickBot="1" x14ac:dyDescent="0.3">
      <c r="A251" s="1">
        <v>2016</v>
      </c>
      <c r="B251" s="1" t="s">
        <v>20</v>
      </c>
      <c r="C251" s="1" t="s">
        <v>15</v>
      </c>
      <c r="D251" s="1" t="s">
        <v>10</v>
      </c>
      <c r="E251" s="1">
        <v>341216.37</v>
      </c>
      <c r="F251" s="1">
        <v>13483.22</v>
      </c>
      <c r="G251" s="1">
        <v>10553</v>
      </c>
      <c r="H251" s="1">
        <v>32.333589500000002</v>
      </c>
    </row>
    <row r="252" spans="1:8" ht="15.75" thickBot="1" x14ac:dyDescent="0.3">
      <c r="A252" s="1">
        <v>2014</v>
      </c>
      <c r="B252" s="1" t="s">
        <v>16</v>
      </c>
      <c r="C252" s="1" t="s">
        <v>21</v>
      </c>
      <c r="D252" s="1" t="s">
        <v>10</v>
      </c>
      <c r="E252" s="1">
        <v>12217652.51</v>
      </c>
      <c r="F252" s="1">
        <v>427363.55</v>
      </c>
      <c r="G252" s="1">
        <v>219667</v>
      </c>
      <c r="H252" s="1">
        <v>55.618971029999997</v>
      </c>
    </row>
    <row r="253" spans="1:8" ht="15.75" thickBot="1" x14ac:dyDescent="0.3">
      <c r="A253" s="1">
        <v>2016</v>
      </c>
      <c r="B253" s="1" t="s">
        <v>12</v>
      </c>
      <c r="C253" s="1" t="s">
        <v>15</v>
      </c>
      <c r="D253" s="1" t="s">
        <v>32</v>
      </c>
      <c r="E253" s="1">
        <v>14617032.91</v>
      </c>
      <c r="F253" s="1">
        <v>492801.78</v>
      </c>
      <c r="G253" s="1">
        <v>214899</v>
      </c>
      <c r="H253" s="1">
        <v>68.018152290000003</v>
      </c>
    </row>
    <row r="254" spans="1:8" ht="15.75" thickBot="1" x14ac:dyDescent="0.3">
      <c r="A254" s="1">
        <v>2016</v>
      </c>
      <c r="B254" s="1" t="s">
        <v>12</v>
      </c>
      <c r="C254" s="1" t="s">
        <v>9</v>
      </c>
      <c r="D254" s="1" t="s">
        <v>32</v>
      </c>
      <c r="E254" s="1">
        <v>85787115.390000001</v>
      </c>
      <c r="F254" s="1">
        <v>2739342.92</v>
      </c>
      <c r="G254" s="1">
        <v>939019</v>
      </c>
      <c r="H254" s="1">
        <v>91.358231720000006</v>
      </c>
    </row>
    <row r="255" spans="1:8" ht="15.75" thickBot="1" x14ac:dyDescent="0.3">
      <c r="A255" s="1">
        <v>2017</v>
      </c>
      <c r="B255" s="1" t="s">
        <v>35</v>
      </c>
      <c r="C255" s="1" t="s">
        <v>12</v>
      </c>
      <c r="D255" s="1" t="s">
        <v>27</v>
      </c>
      <c r="E255" s="1">
        <v>12190.3</v>
      </c>
      <c r="F255" s="1">
        <v>309.39999999999998</v>
      </c>
      <c r="G255" s="1">
        <v>366</v>
      </c>
      <c r="H255" s="1">
        <v>33.306830599999998</v>
      </c>
    </row>
    <row r="256" spans="1:8" ht="15.75" thickBot="1" x14ac:dyDescent="0.3">
      <c r="A256" s="1">
        <v>2014</v>
      </c>
      <c r="B256" s="1" t="s">
        <v>14</v>
      </c>
      <c r="C256" s="1" t="s">
        <v>18</v>
      </c>
      <c r="D256" s="1" t="s">
        <v>22</v>
      </c>
      <c r="E256" s="1">
        <v>2455.9299999999998</v>
      </c>
      <c r="F256" s="1">
        <v>108.86</v>
      </c>
      <c r="G256" s="1">
        <v>266</v>
      </c>
      <c r="H256" s="1">
        <v>9.2328195490000002</v>
      </c>
    </row>
    <row r="257" spans="1:8" ht="15.75" thickBot="1" x14ac:dyDescent="0.3">
      <c r="A257" s="1">
        <v>2014</v>
      </c>
      <c r="B257" s="1" t="s">
        <v>20</v>
      </c>
      <c r="C257" s="1" t="s">
        <v>28</v>
      </c>
      <c r="D257" s="1" t="s">
        <v>31</v>
      </c>
      <c r="E257" s="1">
        <v>16983.02</v>
      </c>
      <c r="F257" s="1">
        <v>770.03</v>
      </c>
      <c r="G257" s="1">
        <v>69201</v>
      </c>
      <c r="H257" s="1">
        <v>0.24541581770000001</v>
      </c>
    </row>
    <row r="258" spans="1:8" ht="15.75" thickBot="1" x14ac:dyDescent="0.3">
      <c r="A258" s="1">
        <v>2014</v>
      </c>
      <c r="B258" s="1" t="s">
        <v>14</v>
      </c>
      <c r="C258" s="1" t="s">
        <v>26</v>
      </c>
      <c r="D258" s="1" t="s">
        <v>32</v>
      </c>
      <c r="E258" s="1">
        <v>26214355.359999999</v>
      </c>
      <c r="F258" s="1">
        <v>1083472.71</v>
      </c>
      <c r="G258" s="1">
        <v>745433</v>
      </c>
      <c r="H258" s="1">
        <v>35.166615049999997</v>
      </c>
    </row>
    <row r="259" spans="1:8" ht="15.75" thickBot="1" x14ac:dyDescent="0.3">
      <c r="A259" s="1">
        <v>2017</v>
      </c>
      <c r="B259" s="1" t="s">
        <v>12</v>
      </c>
      <c r="C259" s="1" t="s">
        <v>23</v>
      </c>
      <c r="D259" s="1" t="s">
        <v>13</v>
      </c>
      <c r="E259" s="1">
        <v>273868.05</v>
      </c>
      <c r="F259" s="1">
        <v>10814.48</v>
      </c>
      <c r="G259" s="1">
        <v>11346</v>
      </c>
      <c r="H259" s="1">
        <v>24.13785034</v>
      </c>
    </row>
    <row r="260" spans="1:8" ht="15.75" thickBot="1" x14ac:dyDescent="0.3">
      <c r="A260" s="1">
        <v>2014</v>
      </c>
      <c r="B260" s="1" t="s">
        <v>20</v>
      </c>
      <c r="C260" s="1" t="s">
        <v>9</v>
      </c>
      <c r="D260" s="1" t="s">
        <v>29</v>
      </c>
      <c r="E260" s="1">
        <v>17206.490000000002</v>
      </c>
      <c r="F260" s="1">
        <v>200.55</v>
      </c>
      <c r="G260" s="1">
        <v>189</v>
      </c>
      <c r="H260" s="1">
        <v>91.039629629999993</v>
      </c>
    </row>
    <row r="261" spans="1:8" ht="15.75" thickBot="1" x14ac:dyDescent="0.3">
      <c r="A261" s="1">
        <v>2015</v>
      </c>
      <c r="B261" s="1" t="s">
        <v>12</v>
      </c>
      <c r="C261" s="1" t="s">
        <v>28</v>
      </c>
      <c r="D261" s="1" t="s">
        <v>13</v>
      </c>
      <c r="E261" s="1">
        <v>40391.800000000003</v>
      </c>
      <c r="F261" s="1">
        <v>1211.0999999999999</v>
      </c>
      <c r="G261" s="1">
        <v>422</v>
      </c>
      <c r="H261" s="1">
        <v>95.715165880000001</v>
      </c>
    </row>
    <row r="262" spans="1:8" ht="15.75" thickBot="1" x14ac:dyDescent="0.3">
      <c r="A262" s="1">
        <v>2017</v>
      </c>
      <c r="B262" s="1" t="s">
        <v>17</v>
      </c>
      <c r="C262" s="1" t="s">
        <v>25</v>
      </c>
      <c r="D262" s="1" t="s">
        <v>24</v>
      </c>
      <c r="E262" s="1">
        <v>41513144.509999998</v>
      </c>
      <c r="F262" s="1">
        <v>1465324.27</v>
      </c>
      <c r="G262" s="1">
        <v>183146</v>
      </c>
      <c r="H262" s="1">
        <v>226.66694609999999</v>
      </c>
    </row>
    <row r="263" spans="1:8" ht="15.75" thickBot="1" x14ac:dyDescent="0.3">
      <c r="A263" s="1">
        <v>2015</v>
      </c>
      <c r="B263" s="1" t="s">
        <v>12</v>
      </c>
      <c r="C263" s="1" t="s">
        <v>9</v>
      </c>
      <c r="D263" s="1" t="s">
        <v>31</v>
      </c>
      <c r="E263" s="1">
        <v>923.83</v>
      </c>
      <c r="F263" s="1">
        <v>46.51</v>
      </c>
      <c r="G263" s="1">
        <v>141</v>
      </c>
      <c r="H263" s="1">
        <v>6.5519858160000002</v>
      </c>
    </row>
    <row r="264" spans="1:8" ht="15.75" thickBot="1" x14ac:dyDescent="0.3">
      <c r="A264" s="1">
        <v>2014</v>
      </c>
      <c r="B264" s="1" t="s">
        <v>30</v>
      </c>
      <c r="C264" s="1" t="s">
        <v>18</v>
      </c>
      <c r="D264" s="1" t="s">
        <v>19</v>
      </c>
      <c r="E264" s="1">
        <v>32006877.949999999</v>
      </c>
      <c r="F264" s="1">
        <v>893627.55</v>
      </c>
      <c r="G264" s="1">
        <v>197724</v>
      </c>
      <c r="H264" s="1">
        <v>161.8765448</v>
      </c>
    </row>
    <row r="265" spans="1:8" ht="15.75" thickBot="1" x14ac:dyDescent="0.3">
      <c r="A265" s="1">
        <v>2014</v>
      </c>
      <c r="B265" s="1" t="s">
        <v>12</v>
      </c>
      <c r="C265" s="1" t="s">
        <v>28</v>
      </c>
      <c r="D265" s="1" t="s">
        <v>27</v>
      </c>
      <c r="E265" s="1">
        <v>22706289.129999999</v>
      </c>
      <c r="F265" s="1">
        <v>811398.4</v>
      </c>
      <c r="G265" s="1">
        <v>357117</v>
      </c>
      <c r="H265" s="1">
        <v>63.582212920000003</v>
      </c>
    </row>
    <row r="266" spans="1:8" ht="15.75" thickBot="1" x14ac:dyDescent="0.3">
      <c r="A266" s="1">
        <v>2015</v>
      </c>
      <c r="B266" s="1" t="s">
        <v>35</v>
      </c>
      <c r="C266" s="1" t="s">
        <v>18</v>
      </c>
      <c r="D266" s="1" t="s">
        <v>10</v>
      </c>
      <c r="E266" s="1">
        <v>10.48</v>
      </c>
      <c r="F266" s="1">
        <v>0.78</v>
      </c>
      <c r="G266" s="1">
        <v>30</v>
      </c>
      <c r="H266" s="1">
        <v>0.34933333329999999</v>
      </c>
    </row>
    <row r="267" spans="1:8" ht="15.75" thickBot="1" x14ac:dyDescent="0.3">
      <c r="A267" s="1">
        <v>2016</v>
      </c>
      <c r="B267" s="1" t="s">
        <v>16</v>
      </c>
      <c r="C267" s="1" t="s">
        <v>25</v>
      </c>
      <c r="D267" s="1" t="s">
        <v>27</v>
      </c>
      <c r="E267" s="1">
        <v>694250325.39999998</v>
      </c>
      <c r="F267" s="1">
        <v>27729296.82</v>
      </c>
      <c r="G267" s="1">
        <v>15282218</v>
      </c>
      <c r="H267" s="1">
        <v>45.428636429999997</v>
      </c>
    </row>
    <row r="268" spans="1:8" ht="15.75" thickBot="1" x14ac:dyDescent="0.3">
      <c r="A268" s="1">
        <v>2014</v>
      </c>
      <c r="B268" s="1" t="s">
        <v>16</v>
      </c>
      <c r="C268" s="1" t="s">
        <v>28</v>
      </c>
      <c r="D268" s="1" t="s">
        <v>13</v>
      </c>
      <c r="E268" s="1">
        <v>517227.32</v>
      </c>
      <c r="F268" s="1">
        <v>15203.69</v>
      </c>
      <c r="G268" s="1">
        <v>2483</v>
      </c>
      <c r="H268" s="1">
        <v>208.30741839999999</v>
      </c>
    </row>
    <row r="269" spans="1:8" ht="15.75" thickBot="1" x14ac:dyDescent="0.3">
      <c r="A269" s="1">
        <v>2016</v>
      </c>
      <c r="B269" s="1" t="s">
        <v>11</v>
      </c>
      <c r="C269" s="1" t="s">
        <v>28</v>
      </c>
      <c r="D269" s="1" t="s">
        <v>31</v>
      </c>
      <c r="E269" s="1">
        <v>23457709.219999999</v>
      </c>
      <c r="F269" s="1">
        <v>618340.44999999995</v>
      </c>
      <c r="G269" s="1">
        <v>321670</v>
      </c>
      <c r="H269" s="1">
        <v>72.924765190000002</v>
      </c>
    </row>
    <row r="270" spans="1:8" ht="15.75" thickBot="1" x14ac:dyDescent="0.3">
      <c r="A270" s="1">
        <v>2014</v>
      </c>
      <c r="B270" s="1" t="s">
        <v>17</v>
      </c>
      <c r="C270" s="1" t="s">
        <v>12</v>
      </c>
      <c r="D270" s="1" t="s">
        <v>29</v>
      </c>
      <c r="E270" s="1">
        <v>4748695.84</v>
      </c>
      <c r="F270" s="1">
        <v>157535.06</v>
      </c>
      <c r="G270" s="1">
        <v>15746</v>
      </c>
      <c r="H270" s="1">
        <v>301.58108979999997</v>
      </c>
    </row>
    <row r="271" spans="1:8" ht="15.75" thickBot="1" x14ac:dyDescent="0.3">
      <c r="A271" s="1">
        <v>2014</v>
      </c>
      <c r="B271" s="1" t="s">
        <v>40</v>
      </c>
      <c r="C271" s="1" t="s">
        <v>12</v>
      </c>
      <c r="D271" s="1" t="s">
        <v>27</v>
      </c>
      <c r="E271" s="1">
        <v>98357</v>
      </c>
      <c r="F271" s="1">
        <v>3255.53</v>
      </c>
      <c r="G271" s="1">
        <v>1032</v>
      </c>
      <c r="H271" s="1">
        <v>95.307170540000001</v>
      </c>
    </row>
    <row r="272" spans="1:8" ht="15.75" thickBot="1" x14ac:dyDescent="0.3">
      <c r="A272" s="1">
        <v>2016</v>
      </c>
      <c r="B272" s="1" t="s">
        <v>17</v>
      </c>
      <c r="C272" s="1" t="s">
        <v>15</v>
      </c>
      <c r="D272" s="1" t="s">
        <v>13</v>
      </c>
      <c r="E272" s="1">
        <v>690395.03</v>
      </c>
      <c r="F272" s="1">
        <v>21643.27</v>
      </c>
      <c r="G272" s="1">
        <v>14241</v>
      </c>
      <c r="H272" s="1">
        <v>48.479392599999997</v>
      </c>
    </row>
    <row r="273" spans="1:8" ht="15.75" thickBot="1" x14ac:dyDescent="0.3">
      <c r="A273" s="1">
        <v>2017</v>
      </c>
      <c r="B273" s="1" t="s">
        <v>40</v>
      </c>
      <c r="C273" s="1" t="s">
        <v>12</v>
      </c>
      <c r="D273" s="1" t="s">
        <v>27</v>
      </c>
      <c r="E273" s="1">
        <v>20051.86</v>
      </c>
      <c r="F273" s="1">
        <v>752.86</v>
      </c>
      <c r="G273" s="1">
        <v>350</v>
      </c>
      <c r="H273" s="1">
        <v>57.291028570000002</v>
      </c>
    </row>
    <row r="274" spans="1:8" ht="15.75" thickBot="1" x14ac:dyDescent="0.3">
      <c r="A274" s="1">
        <v>2014</v>
      </c>
      <c r="B274" s="1" t="s">
        <v>17</v>
      </c>
      <c r="C274" s="1" t="s">
        <v>26</v>
      </c>
      <c r="D274" s="1" t="s">
        <v>27</v>
      </c>
      <c r="E274" s="1">
        <v>508698925.39999998</v>
      </c>
      <c r="F274" s="1">
        <v>17239139.75</v>
      </c>
      <c r="G274" s="1">
        <v>7917553</v>
      </c>
      <c r="H274" s="1">
        <v>64.249513129999997</v>
      </c>
    </row>
    <row r="275" spans="1:8" ht="15.75" thickBot="1" x14ac:dyDescent="0.3">
      <c r="A275" s="1">
        <v>2016</v>
      </c>
      <c r="B275" s="1" t="s">
        <v>35</v>
      </c>
      <c r="C275" s="1" t="s">
        <v>28</v>
      </c>
      <c r="D275" s="1" t="s">
        <v>29</v>
      </c>
      <c r="E275" s="1">
        <v>12880.04</v>
      </c>
      <c r="F275" s="1">
        <v>196.3</v>
      </c>
      <c r="G275" s="1">
        <v>71</v>
      </c>
      <c r="H275" s="1">
        <v>181.40901410000001</v>
      </c>
    </row>
    <row r="276" spans="1:8" ht="15.75" thickBot="1" x14ac:dyDescent="0.3">
      <c r="A276" s="1">
        <v>2016</v>
      </c>
      <c r="B276" s="1" t="s">
        <v>16</v>
      </c>
      <c r="C276" s="1" t="s">
        <v>25</v>
      </c>
      <c r="D276" s="1" t="s">
        <v>22</v>
      </c>
      <c r="E276" s="1">
        <v>206937.92</v>
      </c>
      <c r="F276" s="1">
        <v>6102.12</v>
      </c>
      <c r="G276" s="1">
        <v>12072</v>
      </c>
      <c r="H276" s="1">
        <v>17.141974820000002</v>
      </c>
    </row>
    <row r="277" spans="1:8" ht="15.75" thickBot="1" x14ac:dyDescent="0.3">
      <c r="A277" s="1">
        <v>2015</v>
      </c>
      <c r="B277" s="1" t="s">
        <v>14</v>
      </c>
      <c r="C277" s="1" t="s">
        <v>9</v>
      </c>
      <c r="D277" s="1" t="s">
        <v>31</v>
      </c>
      <c r="E277" s="1">
        <v>53290564.359999999</v>
      </c>
      <c r="F277" s="1">
        <v>1807066.83</v>
      </c>
      <c r="G277" s="1">
        <v>937783</v>
      </c>
      <c r="H277" s="1">
        <v>56.826114740000001</v>
      </c>
    </row>
    <row r="278" spans="1:8" ht="15.75" thickBot="1" x14ac:dyDescent="0.3">
      <c r="A278" s="1">
        <v>2014</v>
      </c>
      <c r="B278" s="1" t="s">
        <v>16</v>
      </c>
      <c r="C278" s="1" t="s">
        <v>26</v>
      </c>
      <c r="D278" s="1" t="s">
        <v>13</v>
      </c>
      <c r="E278" s="1">
        <v>129453.1</v>
      </c>
      <c r="F278" s="1">
        <v>4148.67</v>
      </c>
      <c r="G278" s="1">
        <v>1288</v>
      </c>
      <c r="H278" s="1">
        <v>100.5070652</v>
      </c>
    </row>
    <row r="279" spans="1:8" ht="15.75" thickBot="1" x14ac:dyDescent="0.3">
      <c r="A279" s="1">
        <v>2017</v>
      </c>
      <c r="B279" s="1" t="s">
        <v>14</v>
      </c>
      <c r="C279" s="1" t="s">
        <v>28</v>
      </c>
      <c r="D279" s="1" t="s">
        <v>19</v>
      </c>
      <c r="E279" s="1">
        <v>205726385.40000001</v>
      </c>
      <c r="F279" s="1">
        <v>4633009.03</v>
      </c>
      <c r="G279" s="1">
        <v>1194045</v>
      </c>
      <c r="H279" s="1">
        <v>172.2936618</v>
      </c>
    </row>
    <row r="280" spans="1:8" ht="15.75" thickBot="1" x14ac:dyDescent="0.3">
      <c r="A280" s="1">
        <v>2016</v>
      </c>
      <c r="B280" s="1" t="s">
        <v>20</v>
      </c>
      <c r="C280" s="1" t="s">
        <v>9</v>
      </c>
      <c r="D280" s="1" t="s">
        <v>29</v>
      </c>
      <c r="E280" s="1">
        <v>1925000.88</v>
      </c>
      <c r="F280" s="1">
        <v>62471</v>
      </c>
      <c r="G280" s="1">
        <v>14457</v>
      </c>
      <c r="H280" s="1">
        <v>133.15355049999999</v>
      </c>
    </row>
    <row r="281" spans="1:8" ht="15.75" thickBot="1" x14ac:dyDescent="0.3">
      <c r="A281" s="1">
        <v>2015</v>
      </c>
      <c r="B281" s="1" t="s">
        <v>17</v>
      </c>
      <c r="C281" s="1" t="s">
        <v>33</v>
      </c>
      <c r="D281" s="1" t="s">
        <v>19</v>
      </c>
      <c r="E281" s="1">
        <v>34785531.859999999</v>
      </c>
      <c r="F281" s="1">
        <v>1214348.31</v>
      </c>
      <c r="G281" s="1">
        <v>188494</v>
      </c>
      <c r="H281" s="1">
        <v>184.5445047</v>
      </c>
    </row>
    <row r="282" spans="1:8" ht="15.75" thickBot="1" x14ac:dyDescent="0.3">
      <c r="A282" s="1">
        <v>2016</v>
      </c>
      <c r="B282" s="1" t="s">
        <v>14</v>
      </c>
      <c r="C282" s="1" t="s">
        <v>23</v>
      </c>
      <c r="D282" s="1" t="s">
        <v>31</v>
      </c>
      <c r="E282" s="1">
        <v>530950.18000000005</v>
      </c>
      <c r="F282" s="1">
        <v>20591.32</v>
      </c>
      <c r="G282" s="1">
        <v>12847</v>
      </c>
      <c r="H282" s="1">
        <v>41.328728890000001</v>
      </c>
    </row>
    <row r="283" spans="1:8" ht="15.75" thickBot="1" x14ac:dyDescent="0.3">
      <c r="A283" s="1">
        <v>2015</v>
      </c>
      <c r="B283" s="1" t="s">
        <v>11</v>
      </c>
      <c r="C283" s="1" t="s">
        <v>21</v>
      </c>
      <c r="D283" s="1" t="s">
        <v>24</v>
      </c>
      <c r="E283" s="1">
        <v>7988143.29</v>
      </c>
      <c r="F283" s="1">
        <v>242645.75</v>
      </c>
      <c r="G283" s="1">
        <v>26884</v>
      </c>
      <c r="H283" s="1">
        <v>297.13373339999998</v>
      </c>
    </row>
    <row r="284" spans="1:8" ht="15.75" thickBot="1" x14ac:dyDescent="0.3">
      <c r="A284" s="1">
        <v>2016</v>
      </c>
      <c r="B284" s="1" t="s">
        <v>17</v>
      </c>
      <c r="C284" s="1" t="s">
        <v>21</v>
      </c>
      <c r="D284" s="1" t="s">
        <v>10</v>
      </c>
      <c r="E284" s="1">
        <v>102063515.90000001</v>
      </c>
      <c r="F284" s="1">
        <v>3224942.75</v>
      </c>
      <c r="G284" s="1">
        <v>1916632</v>
      </c>
      <c r="H284" s="1">
        <v>53.251493199999999</v>
      </c>
    </row>
    <row r="285" spans="1:8" ht="15.75" thickBot="1" x14ac:dyDescent="0.3">
      <c r="A285" s="1">
        <v>2014</v>
      </c>
      <c r="B285" s="1" t="s">
        <v>17</v>
      </c>
      <c r="C285" s="1" t="s">
        <v>26</v>
      </c>
      <c r="D285" s="1" t="s">
        <v>13</v>
      </c>
      <c r="E285" s="1">
        <v>32578.34</v>
      </c>
      <c r="F285" s="1">
        <v>998.29</v>
      </c>
      <c r="G285" s="1">
        <v>561</v>
      </c>
      <c r="H285" s="1">
        <v>58.07190731</v>
      </c>
    </row>
    <row r="286" spans="1:8" ht="15.75" thickBot="1" x14ac:dyDescent="0.3">
      <c r="A286" s="1">
        <v>2015</v>
      </c>
      <c r="B286" s="1" t="s">
        <v>17</v>
      </c>
      <c r="C286" s="1" t="s">
        <v>9</v>
      </c>
      <c r="D286" s="1" t="s">
        <v>37</v>
      </c>
      <c r="E286" s="1">
        <v>1026406466</v>
      </c>
      <c r="F286" s="1">
        <v>28490071.300000001</v>
      </c>
      <c r="G286" s="1">
        <v>2331595</v>
      </c>
      <c r="H286" s="1">
        <v>440.21644659999998</v>
      </c>
    </row>
    <row r="287" spans="1:8" ht="15.75" thickBot="1" x14ac:dyDescent="0.3">
      <c r="A287" s="1">
        <v>2017</v>
      </c>
      <c r="B287" s="1" t="s">
        <v>16</v>
      </c>
      <c r="C287" s="1" t="s">
        <v>9</v>
      </c>
      <c r="D287" s="1" t="s">
        <v>31</v>
      </c>
      <c r="E287" s="1">
        <v>11860.75</v>
      </c>
      <c r="F287" s="1">
        <v>356.74</v>
      </c>
      <c r="G287" s="1">
        <v>2122</v>
      </c>
      <c r="H287" s="1">
        <v>5.5894203579999999</v>
      </c>
    </row>
    <row r="288" spans="1:8" ht="15.75" thickBot="1" x14ac:dyDescent="0.3">
      <c r="A288" s="1">
        <v>2017</v>
      </c>
      <c r="B288" s="1" t="s">
        <v>20</v>
      </c>
      <c r="C288" s="1" t="s">
        <v>18</v>
      </c>
      <c r="D288" s="1" t="s">
        <v>29</v>
      </c>
      <c r="E288" s="1">
        <v>516497.24</v>
      </c>
      <c r="F288" s="1">
        <v>16850.34</v>
      </c>
      <c r="G288" s="1">
        <v>4382</v>
      </c>
      <c r="H288" s="1">
        <v>117.8679233</v>
      </c>
    </row>
    <row r="289" spans="1:8" ht="15.75" thickBot="1" x14ac:dyDescent="0.3">
      <c r="A289" s="1">
        <v>2017</v>
      </c>
      <c r="B289" s="1" t="s">
        <v>16</v>
      </c>
      <c r="C289" s="1" t="s">
        <v>28</v>
      </c>
      <c r="D289" s="1" t="s">
        <v>32</v>
      </c>
      <c r="E289" s="1">
        <v>151731755.90000001</v>
      </c>
      <c r="F289" s="1">
        <v>5537990.2000000002</v>
      </c>
      <c r="G289" s="1">
        <v>2337626</v>
      </c>
      <c r="H289" s="1">
        <v>64.908482309999997</v>
      </c>
    </row>
    <row r="290" spans="1:8" ht="15.75" thickBot="1" x14ac:dyDescent="0.3">
      <c r="A290" s="1">
        <v>2014</v>
      </c>
      <c r="B290" s="1" t="s">
        <v>14</v>
      </c>
      <c r="C290" s="1" t="s">
        <v>9</v>
      </c>
      <c r="D290" s="1" t="s">
        <v>10</v>
      </c>
      <c r="E290" s="1">
        <v>4490899.3600000003</v>
      </c>
      <c r="F290" s="1">
        <v>155502.68</v>
      </c>
      <c r="G290" s="1">
        <v>67189</v>
      </c>
      <c r="H290" s="1">
        <v>66.83980056</v>
      </c>
    </row>
    <row r="291" spans="1:8" ht="15.75" thickBot="1" x14ac:dyDescent="0.3">
      <c r="A291" s="1">
        <v>2016</v>
      </c>
      <c r="B291" s="1" t="s">
        <v>14</v>
      </c>
      <c r="C291" s="1" t="s">
        <v>28</v>
      </c>
      <c r="D291" s="1" t="s">
        <v>24</v>
      </c>
      <c r="E291" s="1">
        <v>41356157.869999997</v>
      </c>
      <c r="F291" s="1">
        <v>1358418.58</v>
      </c>
      <c r="G291" s="1">
        <v>193208</v>
      </c>
      <c r="H291" s="1">
        <v>214.04992480000001</v>
      </c>
    </row>
    <row r="292" spans="1:8" ht="15.75" thickBot="1" x14ac:dyDescent="0.3">
      <c r="A292" s="1">
        <v>2017</v>
      </c>
      <c r="B292" s="1" t="s">
        <v>14</v>
      </c>
      <c r="C292" s="1" t="s">
        <v>21</v>
      </c>
      <c r="D292" s="1" t="s">
        <v>32</v>
      </c>
      <c r="E292" s="1">
        <v>130655782.7</v>
      </c>
      <c r="F292" s="1">
        <v>4874692.66</v>
      </c>
      <c r="G292" s="1">
        <v>2872174</v>
      </c>
      <c r="H292" s="1">
        <v>45.490204519999999</v>
      </c>
    </row>
    <row r="293" spans="1:8" ht="15.75" thickBot="1" x14ac:dyDescent="0.3">
      <c r="A293" s="1">
        <v>2014</v>
      </c>
      <c r="B293" s="1" t="s">
        <v>16</v>
      </c>
      <c r="C293" s="1" t="s">
        <v>9</v>
      </c>
      <c r="D293" s="1" t="s">
        <v>29</v>
      </c>
      <c r="E293" s="1">
        <v>12309179.210000001</v>
      </c>
      <c r="F293" s="1">
        <v>394348.05</v>
      </c>
      <c r="G293" s="1">
        <v>38448</v>
      </c>
      <c r="H293" s="1">
        <v>320.15135270000002</v>
      </c>
    </row>
    <row r="294" spans="1:8" ht="15.75" thickBot="1" x14ac:dyDescent="0.3">
      <c r="A294" s="1">
        <v>2014</v>
      </c>
      <c r="B294" s="1" t="s">
        <v>40</v>
      </c>
      <c r="C294" s="1" t="s">
        <v>18</v>
      </c>
      <c r="D294" s="1" t="s">
        <v>27</v>
      </c>
      <c r="E294" s="1">
        <v>25184.37</v>
      </c>
      <c r="F294" s="1">
        <v>842.44</v>
      </c>
      <c r="G294" s="1">
        <v>183</v>
      </c>
      <c r="H294" s="1">
        <v>137.61950820000001</v>
      </c>
    </row>
    <row r="295" spans="1:8" ht="15.75" thickBot="1" x14ac:dyDescent="0.3">
      <c r="A295" s="1">
        <v>2014</v>
      </c>
      <c r="B295" s="1" t="s">
        <v>16</v>
      </c>
      <c r="C295" s="1" t="s">
        <v>25</v>
      </c>
      <c r="D295" s="1" t="s">
        <v>31</v>
      </c>
      <c r="E295" s="1">
        <v>2824031.76</v>
      </c>
      <c r="F295" s="1">
        <v>105514.43</v>
      </c>
      <c r="G295" s="1">
        <v>58591</v>
      </c>
      <c r="H295" s="1">
        <v>48.199070849999998</v>
      </c>
    </row>
    <row r="296" spans="1:8" ht="15.75" thickBot="1" x14ac:dyDescent="0.3">
      <c r="A296" s="1">
        <v>2016</v>
      </c>
      <c r="B296" s="1" t="s">
        <v>20</v>
      </c>
      <c r="C296" s="1" t="s">
        <v>18</v>
      </c>
      <c r="D296" s="1" t="s">
        <v>24</v>
      </c>
      <c r="E296" s="1">
        <v>740369.59</v>
      </c>
      <c r="F296" s="1">
        <v>24790.9</v>
      </c>
      <c r="G296" s="1">
        <v>5991</v>
      </c>
      <c r="H296" s="1">
        <v>123.5803021</v>
      </c>
    </row>
    <row r="297" spans="1:8" ht="15.75" thickBot="1" x14ac:dyDescent="0.3">
      <c r="A297" s="1">
        <v>2015</v>
      </c>
      <c r="B297" s="1" t="s">
        <v>14</v>
      </c>
      <c r="C297" s="1" t="s">
        <v>28</v>
      </c>
      <c r="D297" s="1" t="s">
        <v>31</v>
      </c>
      <c r="E297" s="1">
        <v>688347.74</v>
      </c>
      <c r="F297" s="1">
        <v>26085.09</v>
      </c>
      <c r="G297" s="1">
        <v>15539</v>
      </c>
      <c r="H297" s="1">
        <v>44.298071950000001</v>
      </c>
    </row>
    <row r="298" spans="1:8" ht="15.75" thickBot="1" x14ac:dyDescent="0.3">
      <c r="A298" s="1">
        <v>2017</v>
      </c>
      <c r="B298" s="1" t="s">
        <v>11</v>
      </c>
      <c r="C298" s="1" t="s">
        <v>25</v>
      </c>
      <c r="D298" s="1" t="s">
        <v>19</v>
      </c>
      <c r="E298" s="1">
        <v>10435038.52</v>
      </c>
      <c r="F298" s="1">
        <v>355218.37</v>
      </c>
      <c r="G298" s="1">
        <v>65828</v>
      </c>
      <c r="H298" s="1">
        <v>158.51975630000001</v>
      </c>
    </row>
    <row r="299" spans="1:8" ht="15.75" thickBot="1" x14ac:dyDescent="0.3">
      <c r="A299" s="1">
        <v>2015</v>
      </c>
      <c r="B299" s="1" t="s">
        <v>14</v>
      </c>
      <c r="C299" s="1" t="s">
        <v>9</v>
      </c>
      <c r="D299" s="1" t="s">
        <v>24</v>
      </c>
      <c r="E299" s="1">
        <v>125012.12</v>
      </c>
      <c r="F299" s="1">
        <v>2058.89</v>
      </c>
      <c r="G299" s="1">
        <v>1243</v>
      </c>
      <c r="H299" s="1">
        <v>100.5729043</v>
      </c>
    </row>
    <row r="300" spans="1:8" ht="15.75" thickBot="1" x14ac:dyDescent="0.3">
      <c r="A300" s="1">
        <v>2017</v>
      </c>
      <c r="B300" s="1" t="s">
        <v>14</v>
      </c>
      <c r="C300" s="1" t="s">
        <v>23</v>
      </c>
      <c r="D300" s="1" t="s">
        <v>31</v>
      </c>
      <c r="E300" s="1">
        <v>746857.02</v>
      </c>
      <c r="F300" s="1">
        <v>29319.68</v>
      </c>
      <c r="G300" s="1">
        <v>17583</v>
      </c>
      <c r="H300" s="1">
        <v>42.476085990000001</v>
      </c>
    </row>
    <row r="301" spans="1:8" ht="15.75" thickBot="1" x14ac:dyDescent="0.3">
      <c r="A301" s="1">
        <v>2014</v>
      </c>
      <c r="B301" s="1" t="s">
        <v>20</v>
      </c>
      <c r="C301" s="1" t="s">
        <v>9</v>
      </c>
      <c r="D301" s="1" t="s">
        <v>31</v>
      </c>
      <c r="E301" s="1">
        <v>1555919.45</v>
      </c>
      <c r="F301" s="1">
        <v>58835.12</v>
      </c>
      <c r="G301" s="1">
        <v>59456</v>
      </c>
      <c r="H301" s="1">
        <v>26.16925878</v>
      </c>
    </row>
    <row r="302" spans="1:8" ht="15.75" thickBot="1" x14ac:dyDescent="0.3">
      <c r="A302" s="1">
        <v>2014</v>
      </c>
      <c r="B302" s="1" t="s">
        <v>11</v>
      </c>
      <c r="C302" s="1" t="s">
        <v>21</v>
      </c>
      <c r="D302" s="1" t="s">
        <v>27</v>
      </c>
      <c r="E302" s="1">
        <v>298920230.5</v>
      </c>
      <c r="F302" s="1">
        <v>8300317.3099999996</v>
      </c>
      <c r="G302" s="1">
        <v>3866674</v>
      </c>
      <c r="H302" s="1">
        <v>77.306809540000003</v>
      </c>
    </row>
    <row r="303" spans="1:8" ht="15.75" thickBot="1" x14ac:dyDescent="0.3">
      <c r="A303" s="1">
        <v>2014</v>
      </c>
      <c r="B303" s="1" t="s">
        <v>17</v>
      </c>
      <c r="C303" s="1" t="s">
        <v>12</v>
      </c>
      <c r="D303" s="1" t="s">
        <v>19</v>
      </c>
      <c r="E303" s="1">
        <v>15554782.42</v>
      </c>
      <c r="F303" s="1">
        <v>570688.18000000005</v>
      </c>
      <c r="G303" s="1">
        <v>98605</v>
      </c>
      <c r="H303" s="1">
        <v>157.74841459999999</v>
      </c>
    </row>
    <row r="304" spans="1:8" ht="15.75" thickBot="1" x14ac:dyDescent="0.3">
      <c r="A304" s="1">
        <v>2014</v>
      </c>
      <c r="B304" s="1" t="s">
        <v>12</v>
      </c>
      <c r="C304" s="1" t="s">
        <v>15</v>
      </c>
      <c r="D304" s="1" t="s">
        <v>10</v>
      </c>
      <c r="E304" s="1">
        <v>3176430.51</v>
      </c>
      <c r="F304" s="1">
        <v>70661.87</v>
      </c>
      <c r="G304" s="1">
        <v>40985</v>
      </c>
      <c r="H304" s="1">
        <v>77.502269369999993</v>
      </c>
    </row>
    <row r="305" spans="1:8" ht="15.75" thickBot="1" x14ac:dyDescent="0.3">
      <c r="A305" s="1">
        <v>2017</v>
      </c>
      <c r="B305" s="1" t="s">
        <v>16</v>
      </c>
      <c r="C305" s="1" t="s">
        <v>15</v>
      </c>
      <c r="D305" s="1" t="s">
        <v>29</v>
      </c>
      <c r="E305" s="1">
        <v>23644781.760000002</v>
      </c>
      <c r="F305" s="1">
        <v>793373.39</v>
      </c>
      <c r="G305" s="1">
        <v>68894</v>
      </c>
      <c r="H305" s="1">
        <v>343.20523939999998</v>
      </c>
    </row>
    <row r="306" spans="1:8" ht="15.75" thickBot="1" x14ac:dyDescent="0.3">
      <c r="A306" s="1">
        <v>2017</v>
      </c>
      <c r="B306" s="1" t="s">
        <v>40</v>
      </c>
      <c r="C306" s="1" t="s">
        <v>33</v>
      </c>
      <c r="D306" s="1" t="s">
        <v>13</v>
      </c>
      <c r="E306" s="1">
        <v>4658.01</v>
      </c>
      <c r="F306" s="1">
        <v>47.95</v>
      </c>
      <c r="G306" s="1">
        <v>48</v>
      </c>
      <c r="H306" s="1">
        <v>97.041875000000005</v>
      </c>
    </row>
    <row r="307" spans="1:8" ht="15.75" thickBot="1" x14ac:dyDescent="0.3">
      <c r="A307" s="1">
        <v>2016</v>
      </c>
      <c r="B307" s="1" t="s">
        <v>11</v>
      </c>
      <c r="C307" s="1" t="s">
        <v>23</v>
      </c>
      <c r="D307" s="1" t="s">
        <v>27</v>
      </c>
      <c r="E307" s="1">
        <v>179271989.69999999</v>
      </c>
      <c r="F307" s="1">
        <v>5078833.82</v>
      </c>
      <c r="G307" s="1">
        <v>3528816</v>
      </c>
      <c r="H307" s="1">
        <v>50.802305840000002</v>
      </c>
    </row>
    <row r="308" spans="1:8" ht="15.75" thickBot="1" x14ac:dyDescent="0.3">
      <c r="A308" s="1">
        <v>2015</v>
      </c>
      <c r="B308" s="1" t="s">
        <v>14</v>
      </c>
      <c r="C308" s="1" t="s">
        <v>26</v>
      </c>
      <c r="D308" s="1" t="s">
        <v>13</v>
      </c>
      <c r="E308" s="1">
        <v>314386.38</v>
      </c>
      <c r="F308" s="1">
        <v>11795.39</v>
      </c>
      <c r="G308" s="1">
        <v>9082</v>
      </c>
      <c r="H308" s="1">
        <v>34.616425900000003</v>
      </c>
    </row>
    <row r="309" spans="1:8" ht="15.75" thickBot="1" x14ac:dyDescent="0.3">
      <c r="A309" s="1">
        <v>2016</v>
      </c>
      <c r="B309" s="1" t="s">
        <v>16</v>
      </c>
      <c r="C309" s="1" t="s">
        <v>12</v>
      </c>
      <c r="D309" s="1" t="s">
        <v>13</v>
      </c>
      <c r="E309" s="1">
        <v>1063480.3999999999</v>
      </c>
      <c r="F309" s="1">
        <v>40410.97</v>
      </c>
      <c r="G309" s="1">
        <v>34032</v>
      </c>
      <c r="H309" s="1">
        <v>31.24942407</v>
      </c>
    </row>
    <row r="310" spans="1:8" ht="15.75" thickBot="1" x14ac:dyDescent="0.3">
      <c r="A310" s="1">
        <v>2016</v>
      </c>
      <c r="B310" s="1" t="s">
        <v>30</v>
      </c>
      <c r="C310" s="1" t="s">
        <v>21</v>
      </c>
      <c r="D310" s="1" t="s">
        <v>13</v>
      </c>
      <c r="E310" s="1">
        <v>7389079.25</v>
      </c>
      <c r="F310" s="1">
        <v>186387.71</v>
      </c>
      <c r="G310" s="1">
        <v>107111</v>
      </c>
      <c r="H310" s="1">
        <v>68.98525128</v>
      </c>
    </row>
    <row r="311" spans="1:8" ht="15.75" thickBot="1" x14ac:dyDescent="0.3">
      <c r="A311" s="1">
        <v>2014</v>
      </c>
      <c r="B311" s="1" t="s">
        <v>20</v>
      </c>
      <c r="C311" s="1" t="s">
        <v>9</v>
      </c>
      <c r="D311" s="1" t="s">
        <v>37</v>
      </c>
      <c r="E311" s="1">
        <v>3175234.82</v>
      </c>
      <c r="F311" s="1">
        <v>106341.96</v>
      </c>
      <c r="G311" s="1">
        <v>42755</v>
      </c>
      <c r="H311" s="1">
        <v>74.265812650000001</v>
      </c>
    </row>
    <row r="312" spans="1:8" ht="15.75" thickBot="1" x14ac:dyDescent="0.3">
      <c r="A312" s="1">
        <v>2014</v>
      </c>
      <c r="B312" s="1" t="s">
        <v>12</v>
      </c>
      <c r="C312" s="1" t="s">
        <v>23</v>
      </c>
      <c r="D312" s="1" t="s">
        <v>22</v>
      </c>
      <c r="E312" s="1">
        <v>18474.599999999999</v>
      </c>
      <c r="F312" s="1">
        <v>661.68</v>
      </c>
      <c r="G312" s="1">
        <v>911</v>
      </c>
      <c r="H312" s="1">
        <v>20.279473110000001</v>
      </c>
    </row>
    <row r="313" spans="1:8" ht="15.75" thickBot="1" x14ac:dyDescent="0.3">
      <c r="A313" s="1">
        <v>2014</v>
      </c>
      <c r="B313" s="1" t="s">
        <v>11</v>
      </c>
      <c r="C313" s="1" t="s">
        <v>12</v>
      </c>
      <c r="D313" s="1" t="s">
        <v>13</v>
      </c>
      <c r="E313" s="1">
        <v>7118.51</v>
      </c>
      <c r="F313" s="1">
        <v>180.29</v>
      </c>
      <c r="G313" s="1">
        <v>172</v>
      </c>
      <c r="H313" s="1">
        <v>41.386686050000002</v>
      </c>
    </row>
    <row r="314" spans="1:8" ht="15.75" thickBot="1" x14ac:dyDescent="0.3">
      <c r="A314" s="1">
        <v>2016</v>
      </c>
      <c r="B314" s="1" t="s">
        <v>12</v>
      </c>
      <c r="C314" s="1" t="s">
        <v>23</v>
      </c>
      <c r="D314" s="1" t="s">
        <v>19</v>
      </c>
      <c r="E314" s="1">
        <v>1897300</v>
      </c>
      <c r="F314" s="1">
        <v>61340.94</v>
      </c>
      <c r="G314" s="1">
        <v>25176</v>
      </c>
      <c r="H314" s="1">
        <v>75.36145535</v>
      </c>
    </row>
    <row r="315" spans="1:8" ht="15.75" thickBot="1" x14ac:dyDescent="0.3">
      <c r="A315" s="1">
        <v>2016</v>
      </c>
      <c r="B315" s="1" t="s">
        <v>17</v>
      </c>
      <c r="C315" s="1" t="s">
        <v>33</v>
      </c>
      <c r="D315" s="1" t="s">
        <v>27</v>
      </c>
      <c r="E315" s="1">
        <v>657821312.60000002</v>
      </c>
      <c r="F315" s="1">
        <v>22526784.420000002</v>
      </c>
      <c r="G315" s="1">
        <v>9756043</v>
      </c>
      <c r="H315" s="1">
        <v>67.427061629999997</v>
      </c>
    </row>
    <row r="316" spans="1:8" ht="15.75" thickBot="1" x14ac:dyDescent="0.3">
      <c r="A316" s="1">
        <v>2017</v>
      </c>
      <c r="B316" s="1" t="s">
        <v>14</v>
      </c>
      <c r="C316" s="1" t="s">
        <v>15</v>
      </c>
      <c r="D316" s="1" t="s">
        <v>13</v>
      </c>
      <c r="E316" s="1">
        <v>1440897.44</v>
      </c>
      <c r="F316" s="1">
        <v>46320.77</v>
      </c>
      <c r="G316" s="1">
        <v>37873</v>
      </c>
      <c r="H316" s="1">
        <v>38.045505769999998</v>
      </c>
    </row>
    <row r="317" spans="1:8" ht="15.75" thickBot="1" x14ac:dyDescent="0.3">
      <c r="A317" s="1">
        <v>2014</v>
      </c>
      <c r="B317" s="1" t="s">
        <v>16</v>
      </c>
      <c r="C317" s="1" t="s">
        <v>9</v>
      </c>
      <c r="D317" s="1" t="s">
        <v>19</v>
      </c>
      <c r="E317" s="1">
        <v>212546.99</v>
      </c>
      <c r="F317" s="1">
        <v>5205.7</v>
      </c>
      <c r="G317" s="1">
        <v>3495</v>
      </c>
      <c r="H317" s="1">
        <v>60.814589410000004</v>
      </c>
    </row>
    <row r="318" spans="1:8" ht="15.75" thickBot="1" x14ac:dyDescent="0.3">
      <c r="A318" s="1">
        <v>2015</v>
      </c>
      <c r="B318" s="1" t="s">
        <v>8</v>
      </c>
      <c r="C318" s="1" t="s">
        <v>21</v>
      </c>
      <c r="D318" s="1" t="s">
        <v>13</v>
      </c>
      <c r="E318" s="1">
        <v>20</v>
      </c>
      <c r="F318" s="1">
        <v>0</v>
      </c>
      <c r="G318" s="1">
        <v>1</v>
      </c>
      <c r="H318" s="1">
        <v>20</v>
      </c>
    </row>
    <row r="319" spans="1:8" ht="15.75" thickBot="1" x14ac:dyDescent="0.3">
      <c r="A319" s="1">
        <v>2015</v>
      </c>
      <c r="B319" s="1" t="s">
        <v>11</v>
      </c>
      <c r="C319" s="1" t="s">
        <v>25</v>
      </c>
      <c r="D319" s="1" t="s">
        <v>19</v>
      </c>
      <c r="E319" s="1">
        <v>8612201.8499999996</v>
      </c>
      <c r="F319" s="1">
        <v>288842.17</v>
      </c>
      <c r="G319" s="1">
        <v>50700</v>
      </c>
      <c r="H319" s="1">
        <v>169.86591419999999</v>
      </c>
    </row>
    <row r="320" spans="1:8" ht="15.75" thickBot="1" x14ac:dyDescent="0.3">
      <c r="A320" s="1">
        <v>2015</v>
      </c>
      <c r="B320" s="1" t="s">
        <v>35</v>
      </c>
      <c r="C320" s="1" t="s">
        <v>33</v>
      </c>
      <c r="D320" s="1" t="s">
        <v>31</v>
      </c>
      <c r="E320" s="1">
        <v>0</v>
      </c>
      <c r="F320" s="1">
        <v>0</v>
      </c>
      <c r="G320" s="1">
        <v>2</v>
      </c>
      <c r="H320" s="1">
        <v>0</v>
      </c>
    </row>
    <row r="321" spans="1:8" ht="15.75" thickBot="1" x14ac:dyDescent="0.3">
      <c r="A321" s="1">
        <v>2016</v>
      </c>
      <c r="B321" s="1" t="s">
        <v>30</v>
      </c>
      <c r="C321" s="1" t="s">
        <v>25</v>
      </c>
      <c r="D321" s="1" t="s">
        <v>24</v>
      </c>
      <c r="E321" s="1">
        <v>41876820.43</v>
      </c>
      <c r="F321" s="1">
        <v>1403052.17</v>
      </c>
      <c r="G321" s="1">
        <v>258270</v>
      </c>
      <c r="H321" s="1">
        <v>162.14357229999999</v>
      </c>
    </row>
    <row r="322" spans="1:8" ht="15.75" thickBot="1" x14ac:dyDescent="0.3">
      <c r="A322" s="1">
        <v>2016</v>
      </c>
      <c r="B322" s="1" t="s">
        <v>11</v>
      </c>
      <c r="C322" s="1" t="s">
        <v>26</v>
      </c>
      <c r="D322" s="1" t="s">
        <v>24</v>
      </c>
      <c r="E322" s="1">
        <v>5612004.9100000001</v>
      </c>
      <c r="F322" s="1">
        <v>168399.76</v>
      </c>
      <c r="G322" s="1">
        <v>21511</v>
      </c>
      <c r="H322" s="1">
        <v>260.89000559999999</v>
      </c>
    </row>
    <row r="323" spans="1:8" ht="15.75" thickBot="1" x14ac:dyDescent="0.3">
      <c r="A323" s="1">
        <v>2014</v>
      </c>
      <c r="B323" s="1" t="s">
        <v>12</v>
      </c>
      <c r="C323" s="1" t="s">
        <v>15</v>
      </c>
      <c r="D323" s="1" t="s">
        <v>22</v>
      </c>
      <c r="E323" s="1">
        <v>85679.81</v>
      </c>
      <c r="F323" s="1">
        <v>3361.28</v>
      </c>
      <c r="G323" s="1">
        <v>5397</v>
      </c>
      <c r="H323" s="1">
        <v>15.875451180000001</v>
      </c>
    </row>
    <row r="324" spans="1:8" ht="15.75" thickBot="1" x14ac:dyDescent="0.3">
      <c r="A324" s="1">
        <v>2017</v>
      </c>
      <c r="B324" s="1" t="s">
        <v>30</v>
      </c>
      <c r="C324" s="1" t="s">
        <v>9</v>
      </c>
      <c r="D324" s="1" t="s">
        <v>19</v>
      </c>
      <c r="E324" s="1">
        <v>129042.55</v>
      </c>
      <c r="F324" s="1">
        <v>4317.07</v>
      </c>
      <c r="G324" s="1">
        <v>14535</v>
      </c>
      <c r="H324" s="1">
        <v>8.8780564159999997</v>
      </c>
    </row>
    <row r="325" spans="1:8" ht="15.75" thickBot="1" x14ac:dyDescent="0.3">
      <c r="A325" s="1">
        <v>2014</v>
      </c>
      <c r="B325" s="1" t="s">
        <v>12</v>
      </c>
      <c r="C325" s="1" t="s">
        <v>18</v>
      </c>
      <c r="D325" s="1" t="s">
        <v>32</v>
      </c>
      <c r="E325" s="1">
        <v>3542627.23</v>
      </c>
      <c r="F325" s="1">
        <v>103824.64</v>
      </c>
      <c r="G325" s="1">
        <v>41535</v>
      </c>
      <c r="H325" s="1">
        <v>85.292578070000005</v>
      </c>
    </row>
    <row r="326" spans="1:8" ht="15.75" thickBot="1" x14ac:dyDescent="0.3">
      <c r="A326" s="1">
        <v>2014</v>
      </c>
      <c r="B326" s="1" t="s">
        <v>20</v>
      </c>
      <c r="C326" s="1" t="s">
        <v>21</v>
      </c>
      <c r="D326" s="1" t="s">
        <v>27</v>
      </c>
      <c r="E326" s="1">
        <v>10498205.98</v>
      </c>
      <c r="F326" s="1">
        <v>409218.18</v>
      </c>
      <c r="G326" s="1">
        <v>289209</v>
      </c>
      <c r="H326" s="1">
        <v>36.299720890000003</v>
      </c>
    </row>
    <row r="327" spans="1:8" ht="15.75" thickBot="1" x14ac:dyDescent="0.3">
      <c r="A327" s="1">
        <v>2017</v>
      </c>
      <c r="B327" s="1" t="s">
        <v>12</v>
      </c>
      <c r="C327" s="1" t="s">
        <v>23</v>
      </c>
      <c r="D327" s="1" t="s">
        <v>22</v>
      </c>
      <c r="E327" s="1">
        <v>3138.71</v>
      </c>
      <c r="F327" s="1">
        <v>205.62</v>
      </c>
      <c r="G327" s="1">
        <v>369</v>
      </c>
      <c r="H327" s="1">
        <v>8.5059891600000004</v>
      </c>
    </row>
    <row r="328" spans="1:8" ht="15.75" thickBot="1" x14ac:dyDescent="0.3">
      <c r="A328" s="1">
        <v>2015</v>
      </c>
      <c r="B328" s="1" t="s">
        <v>14</v>
      </c>
      <c r="C328" s="1" t="s">
        <v>33</v>
      </c>
      <c r="D328" s="1" t="s">
        <v>19</v>
      </c>
      <c r="E328" s="1">
        <v>58054235</v>
      </c>
      <c r="F328" s="1">
        <v>1948514.97</v>
      </c>
      <c r="G328" s="1">
        <v>393676</v>
      </c>
      <c r="H328" s="1">
        <v>147.4670414</v>
      </c>
    </row>
    <row r="329" spans="1:8" ht="15.75" thickBot="1" x14ac:dyDescent="0.3">
      <c r="A329" s="1">
        <v>2016</v>
      </c>
      <c r="B329" s="1" t="s">
        <v>40</v>
      </c>
      <c r="C329" s="1" t="s">
        <v>18</v>
      </c>
      <c r="D329" s="1" t="s">
        <v>32</v>
      </c>
      <c r="E329" s="1">
        <v>4351.3100000000004</v>
      </c>
      <c r="F329" s="1">
        <v>157.19</v>
      </c>
      <c r="G329" s="1">
        <v>66</v>
      </c>
      <c r="H329" s="1">
        <v>65.928939389999996</v>
      </c>
    </row>
    <row r="330" spans="1:8" ht="15.75" thickBot="1" x14ac:dyDescent="0.3">
      <c r="A330" s="1">
        <v>2015</v>
      </c>
      <c r="B330" s="1" t="s">
        <v>17</v>
      </c>
      <c r="C330" s="1" t="s">
        <v>33</v>
      </c>
      <c r="D330" s="1" t="s">
        <v>22</v>
      </c>
      <c r="E330" s="1">
        <v>1613224.34</v>
      </c>
      <c r="F330" s="1">
        <v>57797.93</v>
      </c>
      <c r="G330" s="1">
        <v>105720</v>
      </c>
      <c r="H330" s="1">
        <v>15.259405409999999</v>
      </c>
    </row>
    <row r="331" spans="1:8" ht="15.75" thickBot="1" x14ac:dyDescent="0.3">
      <c r="A331" s="1">
        <v>2014</v>
      </c>
      <c r="B331" s="1" t="s">
        <v>40</v>
      </c>
      <c r="C331" s="1" t="s">
        <v>28</v>
      </c>
      <c r="D331" s="1" t="s">
        <v>13</v>
      </c>
      <c r="E331" s="1">
        <v>416.09</v>
      </c>
      <c r="F331" s="1">
        <v>0.6</v>
      </c>
      <c r="G331" s="1">
        <v>8</v>
      </c>
      <c r="H331" s="1">
        <v>52.011249999999997</v>
      </c>
    </row>
    <row r="332" spans="1:8" ht="15.75" thickBot="1" x14ac:dyDescent="0.3">
      <c r="A332" s="1">
        <v>2015</v>
      </c>
      <c r="B332" s="1" t="s">
        <v>30</v>
      </c>
      <c r="C332" s="1" t="s">
        <v>9</v>
      </c>
      <c r="D332" s="1" t="s">
        <v>24</v>
      </c>
      <c r="E332" s="1">
        <v>19302425.489999998</v>
      </c>
      <c r="F332" s="1">
        <v>627508.46</v>
      </c>
      <c r="G332" s="1">
        <v>100099</v>
      </c>
      <c r="H332" s="1">
        <v>192.8333499</v>
      </c>
    </row>
    <row r="333" spans="1:8" ht="15.75" thickBot="1" x14ac:dyDescent="0.3">
      <c r="A333" s="1">
        <v>2015</v>
      </c>
      <c r="B333" s="1" t="s">
        <v>20</v>
      </c>
      <c r="C333" s="1" t="s">
        <v>25</v>
      </c>
      <c r="D333" s="1" t="s">
        <v>22</v>
      </c>
      <c r="E333" s="1">
        <v>962.9</v>
      </c>
      <c r="F333" s="1">
        <v>30.43</v>
      </c>
      <c r="G333" s="1">
        <v>72</v>
      </c>
      <c r="H333" s="1">
        <v>13.373611110000001</v>
      </c>
    </row>
    <row r="334" spans="1:8" ht="15.75" thickBot="1" x14ac:dyDescent="0.3">
      <c r="A334" s="1">
        <v>2014</v>
      </c>
      <c r="B334" s="1" t="s">
        <v>40</v>
      </c>
      <c r="C334" s="1" t="s">
        <v>33</v>
      </c>
      <c r="D334" s="1" t="s">
        <v>19</v>
      </c>
      <c r="E334" s="1">
        <v>75381.490000000005</v>
      </c>
      <c r="F334" s="1">
        <v>1547.37</v>
      </c>
      <c r="G334" s="1">
        <v>458</v>
      </c>
      <c r="H334" s="1">
        <v>164.58840609999999</v>
      </c>
    </row>
    <row r="335" spans="1:8" ht="15.75" thickBot="1" x14ac:dyDescent="0.3">
      <c r="A335" s="1">
        <v>2014</v>
      </c>
      <c r="B335" s="1" t="s">
        <v>11</v>
      </c>
      <c r="C335" s="1" t="s">
        <v>12</v>
      </c>
      <c r="D335" s="1" t="s">
        <v>10</v>
      </c>
      <c r="E335" s="1">
        <v>54103879.579999998</v>
      </c>
      <c r="F335" s="1">
        <v>1343840.74</v>
      </c>
      <c r="G335" s="1">
        <v>852660</v>
      </c>
      <c r="H335" s="1">
        <v>63.453052309999997</v>
      </c>
    </row>
    <row r="336" spans="1:8" ht="15.75" thickBot="1" x14ac:dyDescent="0.3">
      <c r="A336" s="1">
        <v>2015</v>
      </c>
      <c r="B336" s="1" t="s">
        <v>16</v>
      </c>
      <c r="C336" s="1" t="s">
        <v>15</v>
      </c>
      <c r="D336" s="1" t="s">
        <v>13</v>
      </c>
      <c r="E336" s="1">
        <v>132913.43</v>
      </c>
      <c r="F336" s="1">
        <v>4455.45</v>
      </c>
      <c r="G336" s="1">
        <v>2292</v>
      </c>
      <c r="H336" s="1">
        <v>57.990152709999997</v>
      </c>
    </row>
    <row r="337" spans="1:8" ht="15.75" thickBot="1" x14ac:dyDescent="0.3">
      <c r="A337" s="1">
        <v>2014</v>
      </c>
      <c r="B337" s="1" t="s">
        <v>30</v>
      </c>
      <c r="C337" s="1" t="s">
        <v>21</v>
      </c>
      <c r="D337" s="1" t="s">
        <v>27</v>
      </c>
      <c r="E337" s="1">
        <v>681188155.20000005</v>
      </c>
      <c r="F337" s="1">
        <v>24434139.300000001</v>
      </c>
      <c r="G337" s="1">
        <v>10638200</v>
      </c>
      <c r="H337" s="1">
        <v>64.032275679999998</v>
      </c>
    </row>
    <row r="338" spans="1:8" ht="15.75" thickBot="1" x14ac:dyDescent="0.3">
      <c r="A338" s="1">
        <v>2014</v>
      </c>
      <c r="B338" s="1" t="s">
        <v>35</v>
      </c>
      <c r="C338" s="1" t="s">
        <v>15</v>
      </c>
      <c r="D338" s="1" t="s">
        <v>31</v>
      </c>
      <c r="E338" s="1">
        <v>0</v>
      </c>
      <c r="F338" s="1">
        <v>0</v>
      </c>
      <c r="G338" s="1">
        <v>14</v>
      </c>
      <c r="H338" s="1">
        <v>0</v>
      </c>
    </row>
    <row r="339" spans="1:8" ht="15.75" thickBot="1" x14ac:dyDescent="0.3">
      <c r="A339" s="1">
        <v>2015</v>
      </c>
      <c r="B339" s="1" t="s">
        <v>11</v>
      </c>
      <c r="C339" s="1" t="s">
        <v>28</v>
      </c>
      <c r="D339" s="1" t="s">
        <v>29</v>
      </c>
      <c r="E339" s="1">
        <v>16247280.27</v>
      </c>
      <c r="F339" s="1">
        <v>427950.2</v>
      </c>
      <c r="G339" s="1">
        <v>13955</v>
      </c>
      <c r="H339" s="1">
        <v>1164.262291</v>
      </c>
    </row>
    <row r="340" spans="1:8" ht="15.75" thickBot="1" x14ac:dyDescent="0.3">
      <c r="A340" s="1">
        <v>2016</v>
      </c>
      <c r="B340" s="1" t="s">
        <v>11</v>
      </c>
      <c r="C340" s="1" t="s">
        <v>33</v>
      </c>
      <c r="D340" s="1" t="s">
        <v>22</v>
      </c>
      <c r="E340" s="1">
        <v>34311148.380000003</v>
      </c>
      <c r="F340" s="1">
        <v>1082829.28</v>
      </c>
      <c r="G340" s="1">
        <v>2185726</v>
      </c>
      <c r="H340" s="1">
        <v>15.69782689</v>
      </c>
    </row>
    <row r="341" spans="1:8" ht="15.75" thickBot="1" x14ac:dyDescent="0.3">
      <c r="A341" s="1">
        <v>2017</v>
      </c>
      <c r="B341" s="1" t="s">
        <v>35</v>
      </c>
      <c r="C341" s="1" t="s">
        <v>23</v>
      </c>
      <c r="D341" s="1" t="s">
        <v>32</v>
      </c>
      <c r="E341" s="1">
        <v>2433.9499999999998</v>
      </c>
      <c r="F341" s="1">
        <v>159.72</v>
      </c>
      <c r="G341" s="1">
        <v>349</v>
      </c>
      <c r="H341" s="1">
        <v>6.9740687680000004</v>
      </c>
    </row>
    <row r="342" spans="1:8" ht="15.75" thickBot="1" x14ac:dyDescent="0.3">
      <c r="A342" s="1">
        <v>2015</v>
      </c>
      <c r="B342" s="1" t="s">
        <v>14</v>
      </c>
      <c r="C342" s="1" t="s">
        <v>12</v>
      </c>
      <c r="D342" s="1" t="s">
        <v>27</v>
      </c>
      <c r="E342" s="1">
        <v>130348187.59999999</v>
      </c>
      <c r="F342" s="1">
        <v>5857933.3600000003</v>
      </c>
      <c r="G342" s="1">
        <v>4692540</v>
      </c>
      <c r="H342" s="1">
        <v>27.77774672</v>
      </c>
    </row>
    <row r="343" spans="1:8" ht="15.75" thickBot="1" x14ac:dyDescent="0.3">
      <c r="A343" s="1">
        <v>2017</v>
      </c>
      <c r="B343" s="1" t="s">
        <v>30</v>
      </c>
      <c r="C343" s="1" t="s">
        <v>9</v>
      </c>
      <c r="D343" s="1" t="s">
        <v>13</v>
      </c>
      <c r="E343" s="1">
        <v>79.88</v>
      </c>
      <c r="F343" s="1">
        <v>3.21</v>
      </c>
      <c r="G343" s="1">
        <v>3</v>
      </c>
      <c r="H343" s="1">
        <v>26.626666669999999</v>
      </c>
    </row>
    <row r="344" spans="1:8" ht="15.75" thickBot="1" x14ac:dyDescent="0.3">
      <c r="A344" s="1">
        <v>2014</v>
      </c>
      <c r="B344" s="1" t="s">
        <v>20</v>
      </c>
      <c r="C344" s="1" t="s">
        <v>9</v>
      </c>
      <c r="D344" s="1" t="s">
        <v>32</v>
      </c>
      <c r="E344" s="1">
        <v>55800.82</v>
      </c>
      <c r="F344" s="1">
        <v>1547.38</v>
      </c>
      <c r="G344" s="1">
        <v>5987</v>
      </c>
      <c r="H344" s="1">
        <v>9.3203307169999992</v>
      </c>
    </row>
    <row r="345" spans="1:8" ht="15.75" thickBot="1" x14ac:dyDescent="0.3">
      <c r="A345" s="1">
        <v>2017</v>
      </c>
      <c r="B345" s="1" t="s">
        <v>16</v>
      </c>
      <c r="C345" s="1" t="s">
        <v>25</v>
      </c>
      <c r="D345" s="1" t="s">
        <v>13</v>
      </c>
      <c r="E345" s="1">
        <v>16920271.77</v>
      </c>
      <c r="F345" s="1">
        <v>599129.04</v>
      </c>
      <c r="G345" s="1">
        <v>442965</v>
      </c>
      <c r="H345" s="1">
        <v>38.197762279999999</v>
      </c>
    </row>
    <row r="346" spans="1:8" ht="15.75" thickBot="1" x14ac:dyDescent="0.3">
      <c r="A346" s="1">
        <v>2016</v>
      </c>
      <c r="B346" s="1" t="s">
        <v>30</v>
      </c>
      <c r="C346" s="1" t="s">
        <v>28</v>
      </c>
      <c r="D346" s="1" t="s">
        <v>29</v>
      </c>
      <c r="E346" s="1">
        <v>35097329.490000002</v>
      </c>
      <c r="F346" s="1">
        <v>1067634.3600000001</v>
      </c>
      <c r="G346" s="1">
        <v>131198</v>
      </c>
      <c r="H346" s="1">
        <v>267.5142113</v>
      </c>
    </row>
    <row r="347" spans="1:8" ht="15.75" thickBot="1" x14ac:dyDescent="0.3">
      <c r="A347" s="1">
        <v>2017</v>
      </c>
      <c r="B347" s="1" t="s">
        <v>16</v>
      </c>
      <c r="C347" s="1" t="s">
        <v>33</v>
      </c>
      <c r="D347" s="1" t="s">
        <v>19</v>
      </c>
      <c r="E347" s="1">
        <v>104832086</v>
      </c>
      <c r="F347" s="1">
        <v>2997481.04</v>
      </c>
      <c r="G347" s="1">
        <v>421402</v>
      </c>
      <c r="H347" s="1">
        <v>248.7697876</v>
      </c>
    </row>
    <row r="348" spans="1:8" ht="15.75" thickBot="1" x14ac:dyDescent="0.3">
      <c r="A348" s="1">
        <v>2014</v>
      </c>
      <c r="B348" s="1" t="s">
        <v>20</v>
      </c>
      <c r="C348" s="1" t="s">
        <v>23</v>
      </c>
      <c r="D348" s="1" t="s">
        <v>27</v>
      </c>
      <c r="E348" s="1">
        <v>8348172.2400000002</v>
      </c>
      <c r="F348" s="1">
        <v>353077.41</v>
      </c>
      <c r="G348" s="1">
        <v>333504</v>
      </c>
      <c r="H348" s="1">
        <v>25.031700489999999</v>
      </c>
    </row>
    <row r="349" spans="1:8" ht="15.75" thickBot="1" x14ac:dyDescent="0.3">
      <c r="A349" s="1">
        <v>2017</v>
      </c>
      <c r="B349" s="1" t="s">
        <v>12</v>
      </c>
      <c r="C349" s="1" t="s">
        <v>12</v>
      </c>
      <c r="D349" s="1" t="s">
        <v>24</v>
      </c>
      <c r="E349" s="1">
        <v>3444815.5</v>
      </c>
      <c r="F349" s="1">
        <v>112307.16</v>
      </c>
      <c r="G349" s="1">
        <v>10478</v>
      </c>
      <c r="H349" s="1">
        <v>328.76651079999999</v>
      </c>
    </row>
    <row r="350" spans="1:8" ht="15.75" thickBot="1" x14ac:dyDescent="0.3">
      <c r="A350" s="1">
        <v>2014</v>
      </c>
      <c r="B350" s="1" t="s">
        <v>17</v>
      </c>
      <c r="C350" s="1" t="s">
        <v>12</v>
      </c>
      <c r="D350" s="1" t="s">
        <v>10</v>
      </c>
      <c r="E350" s="1">
        <v>14906467.560000001</v>
      </c>
      <c r="F350" s="1">
        <v>493156.11</v>
      </c>
      <c r="G350" s="1">
        <v>259439</v>
      </c>
      <c r="H350" s="1">
        <v>57.456541080000001</v>
      </c>
    </row>
    <row r="351" spans="1:8" ht="15.75" thickBot="1" x14ac:dyDescent="0.3">
      <c r="A351" s="1">
        <v>2017</v>
      </c>
      <c r="B351" s="1" t="s">
        <v>20</v>
      </c>
      <c r="C351" s="1" t="s">
        <v>28</v>
      </c>
      <c r="D351" s="1" t="s">
        <v>36</v>
      </c>
      <c r="E351" s="1">
        <v>10019153.689999999</v>
      </c>
      <c r="F351" s="1">
        <v>90519.23</v>
      </c>
      <c r="G351" s="1">
        <v>409224</v>
      </c>
      <c r="H351" s="1">
        <v>24.483299339999999</v>
      </c>
    </row>
    <row r="352" spans="1:8" ht="15.75" thickBot="1" x14ac:dyDescent="0.3">
      <c r="A352" s="1">
        <v>2014</v>
      </c>
      <c r="B352" s="1" t="s">
        <v>35</v>
      </c>
      <c r="C352" s="1" t="s">
        <v>15</v>
      </c>
      <c r="D352" s="1" t="s">
        <v>32</v>
      </c>
      <c r="E352" s="1">
        <v>14261.91</v>
      </c>
      <c r="F352" s="1">
        <v>430.14</v>
      </c>
      <c r="G352" s="1">
        <v>632</v>
      </c>
      <c r="H352" s="1">
        <v>22.56631329</v>
      </c>
    </row>
    <row r="353" spans="1:8" ht="15.75" thickBot="1" x14ac:dyDescent="0.3">
      <c r="A353" s="1">
        <v>2015</v>
      </c>
      <c r="B353" s="1" t="s">
        <v>8</v>
      </c>
      <c r="C353" s="1" t="s">
        <v>25</v>
      </c>
      <c r="D353" s="1" t="s">
        <v>13</v>
      </c>
      <c r="E353" s="1">
        <v>25</v>
      </c>
      <c r="F353" s="1">
        <v>0</v>
      </c>
      <c r="G353" s="1">
        <v>1</v>
      </c>
      <c r="H353" s="1">
        <v>25</v>
      </c>
    </row>
    <row r="354" spans="1:8" ht="15.75" thickBot="1" x14ac:dyDescent="0.3">
      <c r="A354" s="1">
        <v>2015</v>
      </c>
      <c r="B354" s="1" t="s">
        <v>20</v>
      </c>
      <c r="C354" s="1" t="s">
        <v>23</v>
      </c>
      <c r="D354" s="1" t="s">
        <v>27</v>
      </c>
      <c r="E354" s="1">
        <v>7815517.8399999999</v>
      </c>
      <c r="F354" s="1">
        <v>336382.19</v>
      </c>
      <c r="G354" s="1">
        <v>310280</v>
      </c>
      <c r="H354" s="1">
        <v>25.188596879999999</v>
      </c>
    </row>
    <row r="355" spans="1:8" ht="15.75" thickBot="1" x14ac:dyDescent="0.3">
      <c r="A355" s="1">
        <v>2016</v>
      </c>
      <c r="B355" s="1" t="s">
        <v>16</v>
      </c>
      <c r="C355" s="1" t="s">
        <v>12</v>
      </c>
      <c r="D355" s="1" t="s">
        <v>10</v>
      </c>
      <c r="E355" s="1">
        <v>10932915.17</v>
      </c>
      <c r="F355" s="1">
        <v>423624.15</v>
      </c>
      <c r="G355" s="1">
        <v>202506</v>
      </c>
      <c r="H355" s="1">
        <v>53.988104900000003</v>
      </c>
    </row>
    <row r="356" spans="1:8" ht="15.75" thickBot="1" x14ac:dyDescent="0.3">
      <c r="A356" s="1">
        <v>2014</v>
      </c>
      <c r="B356" s="1" t="s">
        <v>17</v>
      </c>
      <c r="C356" s="1" t="s">
        <v>9</v>
      </c>
      <c r="D356" s="1" t="s">
        <v>10</v>
      </c>
      <c r="E356" s="1">
        <v>5697799.0199999996</v>
      </c>
      <c r="F356" s="1">
        <v>168417.91</v>
      </c>
      <c r="G356" s="1">
        <v>71630</v>
      </c>
      <c r="H356" s="1">
        <v>79.544869750000004</v>
      </c>
    </row>
    <row r="357" spans="1:8" ht="15.75" thickBot="1" x14ac:dyDescent="0.3">
      <c r="A357" s="1">
        <v>2014</v>
      </c>
      <c r="B357" s="1" t="s">
        <v>16</v>
      </c>
      <c r="C357" s="1" t="s">
        <v>12</v>
      </c>
      <c r="D357" s="1" t="s">
        <v>19</v>
      </c>
      <c r="E357" s="1">
        <v>37075383.009999998</v>
      </c>
      <c r="F357" s="1">
        <v>1301128.58</v>
      </c>
      <c r="G357" s="1">
        <v>188725</v>
      </c>
      <c r="H357" s="1">
        <v>196.4518904</v>
      </c>
    </row>
    <row r="358" spans="1:8" ht="15.75" thickBot="1" x14ac:dyDescent="0.3">
      <c r="A358" s="1">
        <v>2016</v>
      </c>
      <c r="B358" s="1" t="s">
        <v>12</v>
      </c>
      <c r="C358" s="1" t="s">
        <v>12</v>
      </c>
      <c r="D358" s="1" t="s">
        <v>13</v>
      </c>
      <c r="E358" s="1">
        <v>61776.07</v>
      </c>
      <c r="F358" s="1">
        <v>2300.6999999999998</v>
      </c>
      <c r="G358" s="1">
        <v>2274</v>
      </c>
      <c r="H358" s="1">
        <v>27.166257699999999</v>
      </c>
    </row>
    <row r="359" spans="1:8" ht="15.75" thickBot="1" x14ac:dyDescent="0.3">
      <c r="A359" s="1">
        <v>2014</v>
      </c>
      <c r="B359" s="1" t="s">
        <v>16</v>
      </c>
      <c r="C359" s="1" t="s">
        <v>18</v>
      </c>
      <c r="D359" s="1" t="s">
        <v>32</v>
      </c>
      <c r="E359" s="1">
        <v>21503820.050000001</v>
      </c>
      <c r="F359" s="1">
        <v>772762.79</v>
      </c>
      <c r="G359" s="1">
        <v>311768</v>
      </c>
      <c r="H359" s="1">
        <v>68.97378836</v>
      </c>
    </row>
    <row r="360" spans="1:8" ht="15.75" thickBot="1" x14ac:dyDescent="0.3">
      <c r="A360" s="1">
        <v>2014</v>
      </c>
      <c r="B360" s="1" t="s">
        <v>16</v>
      </c>
      <c r="C360" s="1" t="s">
        <v>25</v>
      </c>
      <c r="D360" s="1" t="s">
        <v>29</v>
      </c>
      <c r="E360" s="1">
        <v>12376397.15</v>
      </c>
      <c r="F360" s="1">
        <v>433633.21</v>
      </c>
      <c r="G360" s="1">
        <v>61535</v>
      </c>
      <c r="H360" s="1">
        <v>201.1277671</v>
      </c>
    </row>
    <row r="361" spans="1:8" ht="15.75" thickBot="1" x14ac:dyDescent="0.3">
      <c r="A361" s="1">
        <v>2016</v>
      </c>
      <c r="B361" s="1" t="s">
        <v>35</v>
      </c>
      <c r="C361" s="1" t="s">
        <v>12</v>
      </c>
      <c r="D361" s="1" t="s">
        <v>24</v>
      </c>
      <c r="E361" s="1">
        <v>48827.519999999997</v>
      </c>
      <c r="F361" s="1">
        <v>369.88</v>
      </c>
      <c r="G361" s="1">
        <v>103</v>
      </c>
      <c r="H361" s="1">
        <v>474.05359220000003</v>
      </c>
    </row>
    <row r="362" spans="1:8" ht="15.75" thickBot="1" x14ac:dyDescent="0.3">
      <c r="A362" s="1">
        <v>2016</v>
      </c>
      <c r="B362" s="1" t="s">
        <v>14</v>
      </c>
      <c r="C362" s="1" t="s">
        <v>9</v>
      </c>
      <c r="D362" s="1" t="s">
        <v>19</v>
      </c>
      <c r="E362" s="1">
        <v>160987.71</v>
      </c>
      <c r="F362" s="1">
        <v>3305.26</v>
      </c>
      <c r="G362" s="1">
        <v>7648</v>
      </c>
      <c r="H362" s="1">
        <v>21.049648269999999</v>
      </c>
    </row>
    <row r="363" spans="1:8" ht="15.75" thickBot="1" x14ac:dyDescent="0.3">
      <c r="A363" s="1">
        <v>2014</v>
      </c>
      <c r="B363" s="1" t="s">
        <v>20</v>
      </c>
      <c r="C363" s="1" t="s">
        <v>33</v>
      </c>
      <c r="D363" s="1" t="s">
        <v>32</v>
      </c>
      <c r="E363" s="1">
        <v>5800260.4800000004</v>
      </c>
      <c r="F363" s="1">
        <v>239886.02</v>
      </c>
      <c r="G363" s="1">
        <v>207894</v>
      </c>
      <c r="H363" s="1">
        <v>27.900086009999999</v>
      </c>
    </row>
    <row r="364" spans="1:8" ht="15.75" thickBot="1" x14ac:dyDescent="0.3">
      <c r="A364" s="1">
        <v>2015</v>
      </c>
      <c r="B364" s="1" t="s">
        <v>17</v>
      </c>
      <c r="C364" s="1" t="s">
        <v>9</v>
      </c>
      <c r="D364" s="1" t="s">
        <v>24</v>
      </c>
      <c r="E364" s="1">
        <v>88524.86</v>
      </c>
      <c r="F364" s="1">
        <v>1586.68</v>
      </c>
      <c r="G364" s="1">
        <v>653</v>
      </c>
      <c r="H364" s="1">
        <v>135.5664012</v>
      </c>
    </row>
    <row r="365" spans="1:8" ht="15.75" thickBot="1" x14ac:dyDescent="0.3">
      <c r="A365" s="1">
        <v>2014</v>
      </c>
      <c r="B365" s="1" t="s">
        <v>35</v>
      </c>
      <c r="C365" s="1" t="s">
        <v>23</v>
      </c>
      <c r="D365" s="1" t="s">
        <v>29</v>
      </c>
      <c r="E365" s="1">
        <v>82.54</v>
      </c>
      <c r="F365" s="1">
        <v>3</v>
      </c>
      <c r="G365" s="1">
        <v>6</v>
      </c>
      <c r="H365" s="1">
        <v>13.75666667</v>
      </c>
    </row>
    <row r="366" spans="1:8" ht="15.75" thickBot="1" x14ac:dyDescent="0.3">
      <c r="A366" s="1">
        <v>2015</v>
      </c>
      <c r="B366" s="1" t="s">
        <v>11</v>
      </c>
      <c r="C366" s="1" t="s">
        <v>21</v>
      </c>
      <c r="D366" s="1" t="s">
        <v>13</v>
      </c>
      <c r="E366" s="1">
        <v>216901.01</v>
      </c>
      <c r="F366" s="1">
        <v>5470.54</v>
      </c>
      <c r="G366" s="1">
        <v>3775</v>
      </c>
      <c r="H366" s="1">
        <v>57.457221189999999</v>
      </c>
    </row>
    <row r="367" spans="1:8" ht="15.75" thickBot="1" x14ac:dyDescent="0.3">
      <c r="A367" s="1">
        <v>2017</v>
      </c>
      <c r="B367" s="1" t="s">
        <v>20</v>
      </c>
      <c r="C367" s="1" t="s">
        <v>15</v>
      </c>
      <c r="D367" s="1" t="s">
        <v>31</v>
      </c>
      <c r="E367" s="1">
        <v>40258.120000000003</v>
      </c>
      <c r="F367" s="1">
        <v>1648.44</v>
      </c>
      <c r="G367" s="1">
        <v>1571</v>
      </c>
      <c r="H367" s="1">
        <v>25.625792489999998</v>
      </c>
    </row>
    <row r="368" spans="1:8" ht="15.75" thickBot="1" x14ac:dyDescent="0.3">
      <c r="A368" s="1">
        <v>2016</v>
      </c>
      <c r="B368" s="1" t="s">
        <v>35</v>
      </c>
      <c r="C368" s="1" t="s">
        <v>25</v>
      </c>
      <c r="D368" s="1" t="s">
        <v>31</v>
      </c>
      <c r="E368" s="1">
        <v>75.44</v>
      </c>
      <c r="F368" s="1">
        <v>2.79</v>
      </c>
      <c r="G368" s="1">
        <v>30</v>
      </c>
      <c r="H368" s="1">
        <v>2.5146666670000002</v>
      </c>
    </row>
    <row r="369" spans="1:8" ht="15.75" thickBot="1" x14ac:dyDescent="0.3">
      <c r="A369" s="1">
        <v>2016</v>
      </c>
      <c r="B369" s="1" t="s">
        <v>35</v>
      </c>
      <c r="C369" s="1" t="s">
        <v>9</v>
      </c>
      <c r="D369" s="1" t="s">
        <v>10</v>
      </c>
      <c r="E369" s="1">
        <v>-26.28</v>
      </c>
      <c r="F369" s="1">
        <v>19.309999999999999</v>
      </c>
      <c r="G369" s="1">
        <v>26026</v>
      </c>
      <c r="H369" s="1">
        <v>-1.0097594709999999E-3</v>
      </c>
    </row>
    <row r="370" spans="1:8" ht="15.75" thickBot="1" x14ac:dyDescent="0.3">
      <c r="A370" s="1">
        <v>2014</v>
      </c>
      <c r="B370" s="1" t="s">
        <v>20</v>
      </c>
      <c r="C370" s="1" t="s">
        <v>15</v>
      </c>
      <c r="D370" s="1" t="s">
        <v>32</v>
      </c>
      <c r="E370" s="1">
        <v>3777668.02</v>
      </c>
      <c r="F370" s="1">
        <v>151194.32999999999</v>
      </c>
      <c r="G370" s="1">
        <v>120104</v>
      </c>
      <c r="H370" s="1">
        <v>31.453307299999999</v>
      </c>
    </row>
    <row r="371" spans="1:8" ht="15.75" thickBot="1" x14ac:dyDescent="0.3">
      <c r="A371" s="1">
        <v>2014</v>
      </c>
      <c r="B371" s="1" t="s">
        <v>14</v>
      </c>
      <c r="C371" s="1" t="s">
        <v>15</v>
      </c>
      <c r="D371" s="1" t="s">
        <v>13</v>
      </c>
      <c r="E371" s="1">
        <v>18677.61</v>
      </c>
      <c r="F371" s="1">
        <v>671.78</v>
      </c>
      <c r="G371" s="1">
        <v>249</v>
      </c>
      <c r="H371" s="1">
        <v>75.010481929999997</v>
      </c>
    </row>
    <row r="372" spans="1:8" ht="15.75" thickBot="1" x14ac:dyDescent="0.3">
      <c r="A372" s="1">
        <v>2017</v>
      </c>
      <c r="B372" s="1" t="s">
        <v>14</v>
      </c>
      <c r="C372" s="1" t="s">
        <v>25</v>
      </c>
      <c r="D372" s="1" t="s">
        <v>13</v>
      </c>
      <c r="E372" s="1">
        <v>9133744.7400000002</v>
      </c>
      <c r="F372" s="1">
        <v>332636.46000000002</v>
      </c>
      <c r="G372" s="1">
        <v>341134</v>
      </c>
      <c r="H372" s="1">
        <v>26.77465377</v>
      </c>
    </row>
    <row r="373" spans="1:8" ht="15.75" thickBot="1" x14ac:dyDescent="0.3">
      <c r="A373" s="1">
        <v>2016</v>
      </c>
      <c r="B373" s="1" t="s">
        <v>20</v>
      </c>
      <c r="C373" s="1" t="s">
        <v>15</v>
      </c>
      <c r="D373" s="1" t="s">
        <v>31</v>
      </c>
      <c r="E373" s="1">
        <v>35934.14</v>
      </c>
      <c r="F373" s="1">
        <v>1463.99</v>
      </c>
      <c r="G373" s="1">
        <v>1140</v>
      </c>
      <c r="H373" s="1">
        <v>31.52117544</v>
      </c>
    </row>
    <row r="374" spans="1:8" ht="15.75" thickBot="1" x14ac:dyDescent="0.3">
      <c r="A374" s="1">
        <v>2017</v>
      </c>
      <c r="B374" s="1" t="s">
        <v>35</v>
      </c>
      <c r="C374" s="1" t="s">
        <v>12</v>
      </c>
      <c r="D374" s="1" t="s">
        <v>24</v>
      </c>
      <c r="E374" s="1">
        <v>5828.05</v>
      </c>
      <c r="F374" s="1">
        <v>75.27</v>
      </c>
      <c r="G374" s="1">
        <v>69</v>
      </c>
      <c r="H374" s="1">
        <v>84.464492750000005</v>
      </c>
    </row>
    <row r="375" spans="1:8" ht="15.75" thickBot="1" x14ac:dyDescent="0.3">
      <c r="A375" s="1">
        <v>2017</v>
      </c>
      <c r="B375" s="1" t="s">
        <v>16</v>
      </c>
      <c r="C375" s="1" t="s">
        <v>12</v>
      </c>
      <c r="D375" s="1" t="s">
        <v>13</v>
      </c>
      <c r="E375" s="1">
        <v>4304962.54</v>
      </c>
      <c r="F375" s="1">
        <v>166083.13</v>
      </c>
      <c r="G375" s="1">
        <v>141375</v>
      </c>
      <c r="H375" s="1">
        <v>30.450663410000001</v>
      </c>
    </row>
    <row r="376" spans="1:8" ht="15.75" thickBot="1" x14ac:dyDescent="0.3">
      <c r="A376" s="1">
        <v>2014</v>
      </c>
      <c r="B376" s="1" t="s">
        <v>16</v>
      </c>
      <c r="C376" s="1" t="s">
        <v>23</v>
      </c>
      <c r="D376" s="1" t="s">
        <v>31</v>
      </c>
      <c r="E376" s="1">
        <v>1055644.3400000001</v>
      </c>
      <c r="F376" s="1">
        <v>40327.22</v>
      </c>
      <c r="G376" s="1">
        <v>22995</v>
      </c>
      <c r="H376" s="1">
        <v>45.907559900000003</v>
      </c>
    </row>
    <row r="377" spans="1:8" ht="15.75" thickBot="1" x14ac:dyDescent="0.3">
      <c r="A377" s="1">
        <v>2014</v>
      </c>
      <c r="B377" s="1" t="s">
        <v>14</v>
      </c>
      <c r="C377" s="1" t="s">
        <v>12</v>
      </c>
      <c r="D377" s="1" t="s">
        <v>24</v>
      </c>
      <c r="E377" s="1">
        <v>18782113.800000001</v>
      </c>
      <c r="F377" s="1">
        <v>628348.1</v>
      </c>
      <c r="G377" s="1">
        <v>87451</v>
      </c>
      <c r="H377" s="1">
        <v>214.77300199999999</v>
      </c>
    </row>
    <row r="378" spans="1:8" ht="15.75" thickBot="1" x14ac:dyDescent="0.3">
      <c r="A378" s="1">
        <v>2014</v>
      </c>
      <c r="B378" s="1" t="s">
        <v>14</v>
      </c>
      <c r="C378" s="1" t="s">
        <v>9</v>
      </c>
      <c r="D378" s="1" t="s">
        <v>27</v>
      </c>
      <c r="E378" s="1">
        <v>22552322.690000001</v>
      </c>
      <c r="F378" s="1">
        <v>901023.08</v>
      </c>
      <c r="G378" s="1">
        <v>616960</v>
      </c>
      <c r="H378" s="1">
        <v>36.553946269999997</v>
      </c>
    </row>
    <row r="379" spans="1:8" ht="15.75" thickBot="1" x14ac:dyDescent="0.3">
      <c r="A379" s="1">
        <v>2016</v>
      </c>
      <c r="B379" s="1" t="s">
        <v>8</v>
      </c>
      <c r="C379" s="1" t="s">
        <v>21</v>
      </c>
      <c r="D379" s="1" t="s">
        <v>13</v>
      </c>
      <c r="E379" s="1">
        <v>41.94</v>
      </c>
      <c r="F379" s="1">
        <v>2.12</v>
      </c>
      <c r="G379" s="1">
        <v>3</v>
      </c>
      <c r="H379" s="1">
        <v>13.98</v>
      </c>
    </row>
    <row r="380" spans="1:8" ht="15.75" thickBot="1" x14ac:dyDescent="0.3">
      <c r="A380" s="1">
        <v>2014</v>
      </c>
      <c r="B380" s="1" t="s">
        <v>30</v>
      </c>
      <c r="C380" s="1" t="s">
        <v>21</v>
      </c>
      <c r="D380" s="1" t="s">
        <v>24</v>
      </c>
      <c r="E380" s="1">
        <v>29601318.629999999</v>
      </c>
      <c r="F380" s="1">
        <v>888775.61</v>
      </c>
      <c r="G380" s="1">
        <v>179205</v>
      </c>
      <c r="H380" s="1">
        <v>165.181321</v>
      </c>
    </row>
    <row r="381" spans="1:8" ht="15.75" thickBot="1" x14ac:dyDescent="0.3">
      <c r="A381" s="1">
        <v>2016</v>
      </c>
      <c r="B381" s="1" t="s">
        <v>17</v>
      </c>
      <c r="C381" s="1" t="s">
        <v>12</v>
      </c>
      <c r="D381" s="1" t="s">
        <v>29</v>
      </c>
      <c r="E381" s="1">
        <v>7959534.8399999999</v>
      </c>
      <c r="F381" s="1">
        <v>279371.28999999998</v>
      </c>
      <c r="G381" s="1">
        <v>23693</v>
      </c>
      <c r="H381" s="1">
        <v>335.94457599999998</v>
      </c>
    </row>
    <row r="382" spans="1:8" ht="15.75" thickBot="1" x14ac:dyDescent="0.3">
      <c r="A382" s="1">
        <v>2014</v>
      </c>
      <c r="B382" s="1" t="s">
        <v>12</v>
      </c>
      <c r="C382" s="1" t="s">
        <v>21</v>
      </c>
      <c r="D382" s="1" t="s">
        <v>29</v>
      </c>
      <c r="E382" s="1">
        <v>1434322.36</v>
      </c>
      <c r="F382" s="1">
        <v>44307.92</v>
      </c>
      <c r="G382" s="1">
        <v>4782</v>
      </c>
      <c r="H382" s="1">
        <v>299.94194060000001</v>
      </c>
    </row>
    <row r="383" spans="1:8" ht="15.75" thickBot="1" x14ac:dyDescent="0.3">
      <c r="A383" s="1">
        <v>2016</v>
      </c>
      <c r="B383" s="1" t="s">
        <v>17</v>
      </c>
      <c r="C383" s="1" t="s">
        <v>12</v>
      </c>
      <c r="D383" s="1" t="s">
        <v>32</v>
      </c>
      <c r="E383" s="1">
        <v>90293702</v>
      </c>
      <c r="F383" s="1">
        <v>3425505.87</v>
      </c>
      <c r="G383" s="1">
        <v>1678391</v>
      </c>
      <c r="H383" s="1">
        <v>53.797775369999997</v>
      </c>
    </row>
    <row r="384" spans="1:8" ht="15.75" thickBot="1" x14ac:dyDescent="0.3">
      <c r="A384" s="1">
        <v>2014</v>
      </c>
      <c r="B384" s="1" t="s">
        <v>8</v>
      </c>
      <c r="C384" s="1" t="s">
        <v>21</v>
      </c>
      <c r="D384" s="1" t="s">
        <v>29</v>
      </c>
      <c r="E384" s="1">
        <v>529.9</v>
      </c>
      <c r="F384" s="1">
        <v>33.65</v>
      </c>
      <c r="G384" s="1">
        <v>4</v>
      </c>
      <c r="H384" s="1">
        <v>132.47499999999999</v>
      </c>
    </row>
    <row r="385" spans="1:8" ht="15.75" thickBot="1" x14ac:dyDescent="0.3">
      <c r="A385" s="1">
        <v>2014</v>
      </c>
      <c r="B385" s="1" t="s">
        <v>16</v>
      </c>
      <c r="C385" s="1" t="s">
        <v>15</v>
      </c>
      <c r="D385" s="1" t="s">
        <v>19</v>
      </c>
      <c r="E385" s="1">
        <v>35239655.920000002</v>
      </c>
      <c r="F385" s="1">
        <v>1155496.5900000001</v>
      </c>
      <c r="G385" s="1">
        <v>149985</v>
      </c>
      <c r="H385" s="1">
        <v>234.9545349</v>
      </c>
    </row>
    <row r="386" spans="1:8" ht="15.75" thickBot="1" x14ac:dyDescent="0.3">
      <c r="A386" s="1">
        <v>2017</v>
      </c>
      <c r="B386" s="1" t="s">
        <v>30</v>
      </c>
      <c r="C386" s="1" t="s">
        <v>26</v>
      </c>
      <c r="D386" s="1" t="s">
        <v>32</v>
      </c>
      <c r="E386" s="1">
        <v>21183775.600000001</v>
      </c>
      <c r="F386" s="1">
        <v>864289.07</v>
      </c>
      <c r="G386" s="1">
        <v>533211</v>
      </c>
      <c r="H386" s="1">
        <v>39.728692019999997</v>
      </c>
    </row>
    <row r="387" spans="1:8" ht="15.75" thickBot="1" x14ac:dyDescent="0.3">
      <c r="A387" s="1">
        <v>2017</v>
      </c>
      <c r="B387" s="1" t="s">
        <v>11</v>
      </c>
      <c r="C387" s="1" t="s">
        <v>28</v>
      </c>
      <c r="D387" s="1" t="s">
        <v>32</v>
      </c>
      <c r="E387" s="1">
        <v>267292470.09999999</v>
      </c>
      <c r="F387" s="1">
        <v>6539379.2000000002</v>
      </c>
      <c r="G387" s="1">
        <v>2554235</v>
      </c>
      <c r="H387" s="1">
        <v>104.6467808</v>
      </c>
    </row>
    <row r="388" spans="1:8" ht="15.75" thickBot="1" x14ac:dyDescent="0.3">
      <c r="A388" s="1">
        <v>2014</v>
      </c>
      <c r="B388" s="1" t="s">
        <v>17</v>
      </c>
      <c r="C388" s="1" t="s">
        <v>21</v>
      </c>
      <c r="D388" s="1" t="s">
        <v>24</v>
      </c>
      <c r="E388" s="1">
        <v>25663111.510000002</v>
      </c>
      <c r="F388" s="1">
        <v>847999.89</v>
      </c>
      <c r="G388" s="1">
        <v>119578</v>
      </c>
      <c r="H388" s="1">
        <v>214.61398840000001</v>
      </c>
    </row>
    <row r="389" spans="1:8" ht="15.75" thickBot="1" x14ac:dyDescent="0.3">
      <c r="A389" s="1">
        <v>2017</v>
      </c>
      <c r="B389" s="1" t="s">
        <v>30</v>
      </c>
      <c r="C389" s="1" t="s">
        <v>15</v>
      </c>
      <c r="D389" s="1" t="s">
        <v>27</v>
      </c>
      <c r="E389" s="1">
        <v>198520370.90000001</v>
      </c>
      <c r="F389" s="1">
        <v>6929133.5300000003</v>
      </c>
      <c r="G389" s="1">
        <v>2284671</v>
      </c>
      <c r="H389" s="1">
        <v>86.892323180000005</v>
      </c>
    </row>
    <row r="390" spans="1:8" ht="15.75" thickBot="1" x14ac:dyDescent="0.3">
      <c r="A390" s="1">
        <v>2016</v>
      </c>
      <c r="B390" s="1" t="s">
        <v>14</v>
      </c>
      <c r="C390" s="1" t="s">
        <v>21</v>
      </c>
      <c r="D390" s="1" t="s">
        <v>29</v>
      </c>
      <c r="E390" s="1">
        <v>17113343.510000002</v>
      </c>
      <c r="F390" s="1">
        <v>574232.27</v>
      </c>
      <c r="G390" s="1">
        <v>103363</v>
      </c>
      <c r="H390" s="1">
        <v>165.56546839999999</v>
      </c>
    </row>
    <row r="391" spans="1:8" ht="15.75" thickBot="1" x14ac:dyDescent="0.3">
      <c r="A391" s="1">
        <v>2014</v>
      </c>
      <c r="B391" s="1" t="s">
        <v>16</v>
      </c>
      <c r="C391" s="1" t="s">
        <v>9</v>
      </c>
      <c r="D391" s="1" t="s">
        <v>27</v>
      </c>
      <c r="E391" s="1">
        <v>63842115.170000002</v>
      </c>
      <c r="F391" s="1">
        <v>2330222.69</v>
      </c>
      <c r="G391" s="1">
        <v>1022098</v>
      </c>
      <c r="H391" s="1">
        <v>62.461833570000003</v>
      </c>
    </row>
    <row r="392" spans="1:8" ht="15.75" thickBot="1" x14ac:dyDescent="0.3">
      <c r="A392" s="1">
        <v>2016</v>
      </c>
      <c r="B392" s="1" t="s">
        <v>11</v>
      </c>
      <c r="C392" s="1" t="s">
        <v>21</v>
      </c>
      <c r="D392" s="1" t="s">
        <v>24</v>
      </c>
      <c r="E392" s="1">
        <v>7862776.4699999997</v>
      </c>
      <c r="F392" s="1">
        <v>245031.67</v>
      </c>
      <c r="G392" s="1">
        <v>31876</v>
      </c>
      <c r="H392" s="1">
        <v>246.66760160000001</v>
      </c>
    </row>
    <row r="393" spans="1:8" ht="15.75" thickBot="1" x14ac:dyDescent="0.3">
      <c r="A393" s="1">
        <v>2017</v>
      </c>
      <c r="B393" s="1" t="s">
        <v>40</v>
      </c>
      <c r="C393" s="1" t="s">
        <v>12</v>
      </c>
      <c r="D393" s="1" t="s">
        <v>19</v>
      </c>
      <c r="E393" s="1">
        <v>42014.9</v>
      </c>
      <c r="F393" s="1">
        <v>718.7</v>
      </c>
      <c r="G393" s="1">
        <v>280</v>
      </c>
      <c r="H393" s="1">
        <v>150.05321430000001</v>
      </c>
    </row>
    <row r="394" spans="1:8" ht="15.75" thickBot="1" x14ac:dyDescent="0.3">
      <c r="A394" s="1">
        <v>2017</v>
      </c>
      <c r="B394" s="1" t="s">
        <v>11</v>
      </c>
      <c r="C394" s="1" t="s">
        <v>9</v>
      </c>
      <c r="D394" s="1" t="s">
        <v>27</v>
      </c>
      <c r="E394" s="1">
        <v>519695.14</v>
      </c>
      <c r="F394" s="1">
        <v>12049.67</v>
      </c>
      <c r="G394" s="1">
        <v>44277</v>
      </c>
      <c r="H394" s="1">
        <v>11.737361160000001</v>
      </c>
    </row>
    <row r="395" spans="1:8" ht="15.75" thickBot="1" x14ac:dyDescent="0.3">
      <c r="A395" s="1">
        <v>2017</v>
      </c>
      <c r="B395" s="1" t="s">
        <v>17</v>
      </c>
      <c r="C395" s="1" t="s">
        <v>15</v>
      </c>
      <c r="D395" s="1" t="s">
        <v>31</v>
      </c>
      <c r="E395" s="1">
        <v>17248769.129999999</v>
      </c>
      <c r="F395" s="1">
        <v>572976.13</v>
      </c>
      <c r="G395" s="1">
        <v>278284</v>
      </c>
      <c r="H395" s="1">
        <v>61.982611759999998</v>
      </c>
    </row>
    <row r="396" spans="1:8" ht="15.75" thickBot="1" x14ac:dyDescent="0.3">
      <c r="A396" s="1">
        <v>2016</v>
      </c>
      <c r="B396" s="1" t="s">
        <v>14</v>
      </c>
      <c r="C396" s="1" t="s">
        <v>12</v>
      </c>
      <c r="D396" s="1" t="s">
        <v>31</v>
      </c>
      <c r="E396" s="1">
        <v>727533.13</v>
      </c>
      <c r="F396" s="1">
        <v>28777.79</v>
      </c>
      <c r="G396" s="1">
        <v>16547</v>
      </c>
      <c r="H396" s="1">
        <v>43.967675710000002</v>
      </c>
    </row>
    <row r="397" spans="1:8" ht="15.75" thickBot="1" x14ac:dyDescent="0.3">
      <c r="A397" s="1">
        <v>2014</v>
      </c>
      <c r="B397" s="1" t="s">
        <v>20</v>
      </c>
      <c r="C397" s="1" t="s">
        <v>25</v>
      </c>
      <c r="D397" s="1" t="s">
        <v>29</v>
      </c>
      <c r="E397" s="1">
        <v>356043.05</v>
      </c>
      <c r="F397" s="1">
        <v>12809.15</v>
      </c>
      <c r="G397" s="1">
        <v>4886</v>
      </c>
      <c r="H397" s="1">
        <v>72.870047069999998</v>
      </c>
    </row>
    <row r="398" spans="1:8" ht="15.75" thickBot="1" x14ac:dyDescent="0.3">
      <c r="A398" s="1">
        <v>2016</v>
      </c>
      <c r="B398" s="1" t="s">
        <v>16</v>
      </c>
      <c r="C398" s="1" t="s">
        <v>9</v>
      </c>
      <c r="D398" s="1" t="s">
        <v>10</v>
      </c>
      <c r="E398" s="1">
        <v>16088078.869999999</v>
      </c>
      <c r="F398" s="1">
        <v>547989.22</v>
      </c>
      <c r="G398" s="1">
        <v>217547</v>
      </c>
      <c r="H398" s="1">
        <v>73.952198240000001</v>
      </c>
    </row>
    <row r="399" spans="1:8" ht="15.75" thickBot="1" x14ac:dyDescent="0.3">
      <c r="A399" s="1">
        <v>2015</v>
      </c>
      <c r="B399" s="1" t="s">
        <v>35</v>
      </c>
      <c r="C399" s="1" t="s">
        <v>9</v>
      </c>
      <c r="D399" s="1" t="s">
        <v>31</v>
      </c>
      <c r="E399" s="1">
        <v>3315.61</v>
      </c>
      <c r="F399" s="1">
        <v>182.49</v>
      </c>
      <c r="G399" s="1">
        <v>992</v>
      </c>
      <c r="H399" s="1">
        <v>3.34234879</v>
      </c>
    </row>
    <row r="400" spans="1:8" ht="15.75" thickBot="1" x14ac:dyDescent="0.3">
      <c r="A400" s="1">
        <v>2015</v>
      </c>
      <c r="B400" s="1" t="s">
        <v>11</v>
      </c>
      <c r="C400" s="1" t="s">
        <v>9</v>
      </c>
      <c r="D400" s="1" t="s">
        <v>10</v>
      </c>
      <c r="E400" s="1">
        <v>11965616.51</v>
      </c>
      <c r="F400" s="1">
        <v>417743.03</v>
      </c>
      <c r="G400" s="1">
        <v>370438</v>
      </c>
      <c r="H400" s="1">
        <v>32.30126637</v>
      </c>
    </row>
    <row r="401" spans="1:8" ht="15.75" thickBot="1" x14ac:dyDescent="0.3">
      <c r="A401" s="1">
        <v>2016</v>
      </c>
      <c r="B401" s="1" t="s">
        <v>35</v>
      </c>
      <c r="C401" s="1" t="s">
        <v>23</v>
      </c>
      <c r="D401" s="1" t="s">
        <v>31</v>
      </c>
      <c r="E401" s="1">
        <v>0</v>
      </c>
      <c r="F401" s="1">
        <v>0</v>
      </c>
      <c r="G401" s="1">
        <v>10</v>
      </c>
      <c r="H401" s="1">
        <v>0</v>
      </c>
    </row>
    <row r="402" spans="1:8" ht="15.75" thickBot="1" x14ac:dyDescent="0.3">
      <c r="A402" s="1">
        <v>2015</v>
      </c>
      <c r="B402" s="1" t="s">
        <v>14</v>
      </c>
      <c r="C402" s="1" t="s">
        <v>9</v>
      </c>
      <c r="D402" s="1" t="s">
        <v>10</v>
      </c>
      <c r="E402" s="1">
        <v>9096859.7400000002</v>
      </c>
      <c r="F402" s="1">
        <v>316168.74</v>
      </c>
      <c r="G402" s="1">
        <v>138864</v>
      </c>
      <c r="H402" s="1">
        <v>65.509129360000003</v>
      </c>
    </row>
    <row r="403" spans="1:8" ht="15.75" thickBot="1" x14ac:dyDescent="0.3">
      <c r="A403" s="1">
        <v>2014</v>
      </c>
      <c r="B403" s="1" t="s">
        <v>35</v>
      </c>
      <c r="C403" s="1" t="s">
        <v>9</v>
      </c>
      <c r="D403" s="1" t="s">
        <v>19</v>
      </c>
      <c r="E403" s="1">
        <v>0</v>
      </c>
      <c r="F403" s="1">
        <v>0</v>
      </c>
      <c r="G403" s="1">
        <v>155</v>
      </c>
      <c r="H403" s="1">
        <v>0</v>
      </c>
    </row>
    <row r="404" spans="1:8" ht="15.75" thickBot="1" x14ac:dyDescent="0.3">
      <c r="A404" s="1">
        <v>2015</v>
      </c>
      <c r="B404" s="1" t="s">
        <v>35</v>
      </c>
      <c r="C404" s="1" t="s">
        <v>26</v>
      </c>
      <c r="D404" s="1" t="s">
        <v>13</v>
      </c>
      <c r="E404" s="1">
        <v>100</v>
      </c>
      <c r="F404" s="1">
        <v>3.2</v>
      </c>
      <c r="G404" s="1">
        <v>1</v>
      </c>
      <c r="H404" s="1">
        <v>100</v>
      </c>
    </row>
    <row r="405" spans="1:8" ht="15.75" thickBot="1" x14ac:dyDescent="0.3">
      <c r="A405" s="1">
        <v>2014</v>
      </c>
      <c r="B405" s="1" t="s">
        <v>20</v>
      </c>
      <c r="C405" s="1" t="s">
        <v>33</v>
      </c>
      <c r="D405" s="1" t="s">
        <v>13</v>
      </c>
      <c r="E405" s="1">
        <v>10335.48</v>
      </c>
      <c r="F405" s="1">
        <v>389.27</v>
      </c>
      <c r="G405" s="1">
        <v>372</v>
      </c>
      <c r="H405" s="1">
        <v>27.78354839</v>
      </c>
    </row>
    <row r="406" spans="1:8" ht="15.75" thickBot="1" x14ac:dyDescent="0.3">
      <c r="A406" s="1">
        <v>2016</v>
      </c>
      <c r="B406" s="1" t="s">
        <v>14</v>
      </c>
      <c r="C406" s="1" t="s">
        <v>21</v>
      </c>
      <c r="D406" s="1" t="s">
        <v>27</v>
      </c>
      <c r="E406" s="1">
        <v>240790689.30000001</v>
      </c>
      <c r="F406" s="1">
        <v>10438578.51</v>
      </c>
      <c r="G406" s="1">
        <v>8705388</v>
      </c>
      <c r="H406" s="1">
        <v>27.65996062</v>
      </c>
    </row>
    <row r="407" spans="1:8" ht="15.75" thickBot="1" x14ac:dyDescent="0.3">
      <c r="A407" s="1">
        <v>2015</v>
      </c>
      <c r="B407" s="1" t="s">
        <v>30</v>
      </c>
      <c r="C407" s="1" t="s">
        <v>15</v>
      </c>
      <c r="D407" s="1" t="s">
        <v>24</v>
      </c>
      <c r="E407" s="1">
        <v>29085653.789999999</v>
      </c>
      <c r="F407" s="1">
        <v>911538.12</v>
      </c>
      <c r="G407" s="1">
        <v>129243</v>
      </c>
      <c r="H407" s="1">
        <v>225.04626010000001</v>
      </c>
    </row>
    <row r="408" spans="1:8" ht="15.75" thickBot="1" x14ac:dyDescent="0.3">
      <c r="A408" s="1">
        <v>2014</v>
      </c>
      <c r="B408" s="1" t="s">
        <v>11</v>
      </c>
      <c r="C408" s="1" t="s">
        <v>9</v>
      </c>
      <c r="D408" s="1" t="s">
        <v>27</v>
      </c>
      <c r="E408" s="1">
        <v>469644.24</v>
      </c>
      <c r="F408" s="1">
        <v>20302.419999999998</v>
      </c>
      <c r="G408" s="1">
        <v>31577</v>
      </c>
      <c r="H408" s="1">
        <v>14.87298477</v>
      </c>
    </row>
    <row r="409" spans="1:8" ht="15.75" thickBot="1" x14ac:dyDescent="0.3">
      <c r="A409" s="1">
        <v>2017</v>
      </c>
      <c r="B409" s="1" t="s">
        <v>30</v>
      </c>
      <c r="C409" s="1" t="s">
        <v>21</v>
      </c>
      <c r="D409" s="1" t="s">
        <v>29</v>
      </c>
      <c r="E409" s="1">
        <v>17255091.210000001</v>
      </c>
      <c r="F409" s="1">
        <v>578468.31999999995</v>
      </c>
      <c r="G409" s="1">
        <v>88021</v>
      </c>
      <c r="H409" s="1">
        <v>196.03380110000001</v>
      </c>
    </row>
    <row r="410" spans="1:8" ht="15.75" thickBot="1" x14ac:dyDescent="0.3">
      <c r="A410" s="1">
        <v>2015</v>
      </c>
      <c r="B410" s="1" t="s">
        <v>8</v>
      </c>
      <c r="C410" s="1" t="s">
        <v>9</v>
      </c>
      <c r="D410" s="1" t="s">
        <v>32</v>
      </c>
      <c r="E410" s="1">
        <v>113.42</v>
      </c>
      <c r="F410" s="1">
        <v>4.4800000000000004</v>
      </c>
      <c r="G410" s="1">
        <v>4</v>
      </c>
      <c r="H410" s="1">
        <v>28.355</v>
      </c>
    </row>
    <row r="411" spans="1:8" ht="15.75" thickBot="1" x14ac:dyDescent="0.3">
      <c r="A411" s="1">
        <v>2014</v>
      </c>
      <c r="B411" s="1" t="s">
        <v>16</v>
      </c>
      <c r="C411" s="1" t="s">
        <v>18</v>
      </c>
      <c r="D411" s="1" t="s">
        <v>19</v>
      </c>
      <c r="E411" s="1">
        <v>9513939.5399999991</v>
      </c>
      <c r="F411" s="1">
        <v>310935.12</v>
      </c>
      <c r="G411" s="1">
        <v>39118</v>
      </c>
      <c r="H411" s="1">
        <v>243.21129759999999</v>
      </c>
    </row>
    <row r="412" spans="1:8" ht="15.75" thickBot="1" x14ac:dyDescent="0.3">
      <c r="A412" s="1">
        <v>2015</v>
      </c>
      <c r="B412" s="1" t="s">
        <v>16</v>
      </c>
      <c r="C412" s="1" t="s">
        <v>28</v>
      </c>
      <c r="D412" s="1" t="s">
        <v>13</v>
      </c>
      <c r="E412" s="1">
        <v>1487054.64</v>
      </c>
      <c r="F412" s="1">
        <v>45321.01</v>
      </c>
      <c r="G412" s="1">
        <v>9717</v>
      </c>
      <c r="H412" s="1">
        <v>153.03639390000001</v>
      </c>
    </row>
    <row r="413" spans="1:8" ht="15.75" thickBot="1" x14ac:dyDescent="0.3">
      <c r="A413" s="1">
        <v>2016</v>
      </c>
      <c r="B413" s="1" t="s">
        <v>11</v>
      </c>
      <c r="C413" s="1" t="s">
        <v>18</v>
      </c>
      <c r="D413" s="1" t="s">
        <v>19</v>
      </c>
      <c r="E413" s="1">
        <v>918996.62</v>
      </c>
      <c r="F413" s="1">
        <v>29323.14</v>
      </c>
      <c r="G413" s="1">
        <v>5659</v>
      </c>
      <c r="H413" s="1">
        <v>162.39558579999999</v>
      </c>
    </row>
    <row r="414" spans="1:8" ht="15.75" thickBot="1" x14ac:dyDescent="0.3">
      <c r="A414" s="1">
        <v>2017</v>
      </c>
      <c r="B414" s="1" t="s">
        <v>16</v>
      </c>
      <c r="C414" s="1" t="s">
        <v>25</v>
      </c>
      <c r="D414" s="1" t="s">
        <v>10</v>
      </c>
      <c r="E414" s="1">
        <v>40851066.780000001</v>
      </c>
      <c r="F414" s="1">
        <v>1521733.97</v>
      </c>
      <c r="G414" s="1">
        <v>777071</v>
      </c>
      <c r="H414" s="1">
        <v>52.570571780000002</v>
      </c>
    </row>
    <row r="415" spans="1:8" ht="15.75" thickBot="1" x14ac:dyDescent="0.3">
      <c r="A415" s="1">
        <v>2016</v>
      </c>
      <c r="B415" s="1" t="s">
        <v>40</v>
      </c>
      <c r="C415" s="1" t="s">
        <v>23</v>
      </c>
      <c r="D415" s="1" t="s">
        <v>19</v>
      </c>
      <c r="E415" s="1">
        <v>7359.96</v>
      </c>
      <c r="F415" s="1">
        <v>167.17</v>
      </c>
      <c r="G415" s="1">
        <v>90</v>
      </c>
      <c r="H415" s="1">
        <v>81.777333330000005</v>
      </c>
    </row>
    <row r="416" spans="1:8" ht="15.75" thickBot="1" x14ac:dyDescent="0.3">
      <c r="A416" s="1">
        <v>2014</v>
      </c>
      <c r="B416" s="1" t="s">
        <v>35</v>
      </c>
      <c r="C416" s="1" t="s">
        <v>28</v>
      </c>
      <c r="D416" s="1" t="s">
        <v>10</v>
      </c>
      <c r="E416" s="1">
        <v>0</v>
      </c>
      <c r="F416" s="1">
        <v>0</v>
      </c>
      <c r="G416" s="1">
        <v>67</v>
      </c>
      <c r="H416" s="1">
        <v>0</v>
      </c>
    </row>
    <row r="417" spans="1:8" ht="15.75" thickBot="1" x14ac:dyDescent="0.3">
      <c r="A417" s="1">
        <v>2016</v>
      </c>
      <c r="B417" s="1" t="s">
        <v>16</v>
      </c>
      <c r="C417" s="1" t="s">
        <v>33</v>
      </c>
      <c r="D417" s="1" t="s">
        <v>19</v>
      </c>
      <c r="E417" s="1">
        <v>91314629.469999999</v>
      </c>
      <c r="F417" s="1">
        <v>2800868.15</v>
      </c>
      <c r="G417" s="1">
        <v>402522</v>
      </c>
      <c r="H417" s="1">
        <v>226.856245</v>
      </c>
    </row>
    <row r="418" spans="1:8" ht="15.75" thickBot="1" x14ac:dyDescent="0.3">
      <c r="A418" s="1">
        <v>2016</v>
      </c>
      <c r="B418" s="1" t="s">
        <v>16</v>
      </c>
      <c r="C418" s="1" t="s">
        <v>21</v>
      </c>
      <c r="D418" s="1" t="s">
        <v>24</v>
      </c>
      <c r="E418" s="1">
        <v>46609147.539999999</v>
      </c>
      <c r="F418" s="1">
        <v>1638708.94</v>
      </c>
      <c r="G418" s="1">
        <v>223750</v>
      </c>
      <c r="H418" s="1">
        <v>208.30903929999999</v>
      </c>
    </row>
    <row r="419" spans="1:8" ht="15.75" thickBot="1" x14ac:dyDescent="0.3">
      <c r="A419" s="1">
        <v>2014</v>
      </c>
      <c r="B419" s="1" t="s">
        <v>11</v>
      </c>
      <c r="C419" s="1" t="s">
        <v>21</v>
      </c>
      <c r="D419" s="1" t="s">
        <v>32</v>
      </c>
      <c r="E419" s="1">
        <v>101572024</v>
      </c>
      <c r="F419" s="1">
        <v>3234157.73</v>
      </c>
      <c r="G419" s="1">
        <v>1799521</v>
      </c>
      <c r="H419" s="1">
        <v>56.443922569999998</v>
      </c>
    </row>
    <row r="420" spans="1:8" ht="15.75" thickBot="1" x14ac:dyDescent="0.3">
      <c r="A420" s="1">
        <v>2015</v>
      </c>
      <c r="B420" s="1" t="s">
        <v>30</v>
      </c>
      <c r="C420" s="1" t="s">
        <v>23</v>
      </c>
      <c r="D420" s="1" t="s">
        <v>13</v>
      </c>
      <c r="E420" s="1">
        <v>565759.42000000004</v>
      </c>
      <c r="F420" s="1">
        <v>18009.310000000001</v>
      </c>
      <c r="G420" s="1">
        <v>10686</v>
      </c>
      <c r="H420" s="1">
        <v>52.943984649999997</v>
      </c>
    </row>
    <row r="421" spans="1:8" ht="15.75" thickBot="1" x14ac:dyDescent="0.3">
      <c r="A421" s="1">
        <v>2016</v>
      </c>
      <c r="B421" s="1" t="s">
        <v>16</v>
      </c>
      <c r="C421" s="1" t="s">
        <v>23</v>
      </c>
      <c r="D421" s="1" t="s">
        <v>29</v>
      </c>
      <c r="E421" s="1">
        <v>12154796.869999999</v>
      </c>
      <c r="F421" s="1">
        <v>446747.34</v>
      </c>
      <c r="G421" s="1">
        <v>76324</v>
      </c>
      <c r="H421" s="1">
        <v>159.2526187</v>
      </c>
    </row>
    <row r="422" spans="1:8" ht="15.75" thickBot="1" x14ac:dyDescent="0.3">
      <c r="A422" s="1">
        <v>2017</v>
      </c>
      <c r="B422" s="1" t="s">
        <v>11</v>
      </c>
      <c r="C422" s="1" t="s">
        <v>9</v>
      </c>
      <c r="D422" s="1" t="s">
        <v>22</v>
      </c>
      <c r="E422" s="1">
        <v>5085.42</v>
      </c>
      <c r="F422" s="1">
        <v>605.35</v>
      </c>
      <c r="G422" s="1">
        <v>62034</v>
      </c>
      <c r="H422" s="1">
        <v>8.1977947580000002E-2</v>
      </c>
    </row>
    <row r="423" spans="1:8" ht="15.75" thickBot="1" x14ac:dyDescent="0.3">
      <c r="A423" s="1">
        <v>2017</v>
      </c>
      <c r="B423" s="1" t="s">
        <v>20</v>
      </c>
      <c r="C423" s="1" t="s">
        <v>12</v>
      </c>
      <c r="D423" s="1" t="s">
        <v>24</v>
      </c>
      <c r="E423" s="1">
        <v>1409572.99</v>
      </c>
      <c r="F423" s="1">
        <v>49177.46</v>
      </c>
      <c r="G423" s="1">
        <v>12539</v>
      </c>
      <c r="H423" s="1">
        <v>112.41510409999999</v>
      </c>
    </row>
    <row r="424" spans="1:8" ht="15.75" thickBot="1" x14ac:dyDescent="0.3">
      <c r="A424" s="1">
        <v>2016</v>
      </c>
      <c r="B424" s="1" t="s">
        <v>20</v>
      </c>
      <c r="C424" s="1" t="s">
        <v>12</v>
      </c>
      <c r="D424" s="1" t="s">
        <v>31</v>
      </c>
      <c r="E424" s="1">
        <v>25816.95</v>
      </c>
      <c r="F424" s="1">
        <v>1099.45</v>
      </c>
      <c r="G424" s="1">
        <v>1125</v>
      </c>
      <c r="H424" s="1">
        <v>22.948399999999999</v>
      </c>
    </row>
    <row r="425" spans="1:8" ht="15.75" thickBot="1" x14ac:dyDescent="0.3">
      <c r="A425" s="1">
        <v>2016</v>
      </c>
      <c r="B425" s="1" t="s">
        <v>16</v>
      </c>
      <c r="C425" s="1" t="s">
        <v>21</v>
      </c>
      <c r="D425" s="1" t="s">
        <v>32</v>
      </c>
      <c r="E425" s="1">
        <v>180163293.59999999</v>
      </c>
      <c r="F425" s="1">
        <v>6820951.0800000001</v>
      </c>
      <c r="G425" s="1">
        <v>3381652</v>
      </c>
      <c r="H425" s="1">
        <v>53.276710209999997</v>
      </c>
    </row>
    <row r="426" spans="1:8" ht="15.75" thickBot="1" x14ac:dyDescent="0.3">
      <c r="A426" s="1">
        <v>2015</v>
      </c>
      <c r="B426" s="1" t="s">
        <v>17</v>
      </c>
      <c r="C426" s="1" t="s">
        <v>21</v>
      </c>
      <c r="D426" s="1" t="s">
        <v>29</v>
      </c>
      <c r="E426" s="1">
        <v>15746415.109999999</v>
      </c>
      <c r="F426" s="1">
        <v>548726.18999999994</v>
      </c>
      <c r="G426" s="1">
        <v>51013</v>
      </c>
      <c r="H426" s="1">
        <v>308.67455569999998</v>
      </c>
    </row>
    <row r="427" spans="1:8" ht="15.75" thickBot="1" x14ac:dyDescent="0.3">
      <c r="A427" s="1">
        <v>2017</v>
      </c>
      <c r="B427" s="1" t="s">
        <v>8</v>
      </c>
      <c r="C427" s="1" t="s">
        <v>9</v>
      </c>
      <c r="D427" s="1" t="s">
        <v>10</v>
      </c>
      <c r="E427" s="1">
        <v>370.25</v>
      </c>
      <c r="F427" s="1">
        <v>12.55</v>
      </c>
      <c r="G427" s="1">
        <v>6</v>
      </c>
      <c r="H427" s="1">
        <v>61.708333330000002</v>
      </c>
    </row>
    <row r="428" spans="1:8" ht="15.75" thickBot="1" x14ac:dyDescent="0.3">
      <c r="A428" s="1">
        <v>2014</v>
      </c>
      <c r="B428" s="1" t="s">
        <v>8</v>
      </c>
      <c r="C428" s="1" t="s">
        <v>18</v>
      </c>
      <c r="D428" s="1" t="s">
        <v>27</v>
      </c>
      <c r="E428" s="1">
        <v>1442.7</v>
      </c>
      <c r="F428" s="1">
        <v>18.22</v>
      </c>
      <c r="G428" s="1">
        <v>13</v>
      </c>
      <c r="H428" s="1">
        <v>110.97692309999999</v>
      </c>
    </row>
    <row r="429" spans="1:8" ht="15.75" thickBot="1" x14ac:dyDescent="0.3">
      <c r="A429" s="1">
        <v>2015</v>
      </c>
      <c r="B429" s="1" t="s">
        <v>40</v>
      </c>
      <c r="C429" s="1" t="s">
        <v>21</v>
      </c>
      <c r="D429" s="1" t="s">
        <v>27</v>
      </c>
      <c r="E429" s="1">
        <v>83150.7</v>
      </c>
      <c r="F429" s="1">
        <v>2612.29</v>
      </c>
      <c r="G429" s="1">
        <v>1045</v>
      </c>
      <c r="H429" s="1">
        <v>79.570047849999995</v>
      </c>
    </row>
    <row r="430" spans="1:8" ht="15.75" thickBot="1" x14ac:dyDescent="0.3">
      <c r="A430" s="1">
        <v>2017</v>
      </c>
      <c r="B430" s="1" t="s">
        <v>16</v>
      </c>
      <c r="C430" s="1" t="s">
        <v>28</v>
      </c>
      <c r="D430" s="1" t="s">
        <v>29</v>
      </c>
      <c r="E430" s="1">
        <v>99165158.590000004</v>
      </c>
      <c r="F430" s="1">
        <v>3166413.16</v>
      </c>
      <c r="G430" s="1">
        <v>195581</v>
      </c>
      <c r="H430" s="1">
        <v>507.02858959999998</v>
      </c>
    </row>
    <row r="431" spans="1:8" ht="15.75" thickBot="1" x14ac:dyDescent="0.3">
      <c r="A431" s="1">
        <v>2017</v>
      </c>
      <c r="B431" s="1" t="s">
        <v>17</v>
      </c>
      <c r="C431" s="1" t="s">
        <v>23</v>
      </c>
      <c r="D431" s="1" t="s">
        <v>29</v>
      </c>
      <c r="E431" s="1">
        <v>14701465.310000001</v>
      </c>
      <c r="F431" s="1">
        <v>517084.54</v>
      </c>
      <c r="G431" s="1">
        <v>53486</v>
      </c>
      <c r="H431" s="1">
        <v>274.86567159999998</v>
      </c>
    </row>
    <row r="432" spans="1:8" ht="15.75" thickBot="1" x14ac:dyDescent="0.3">
      <c r="A432" s="1">
        <v>2014</v>
      </c>
      <c r="B432" s="1" t="s">
        <v>20</v>
      </c>
      <c r="C432" s="1" t="s">
        <v>26</v>
      </c>
      <c r="D432" s="1" t="s">
        <v>32</v>
      </c>
      <c r="E432" s="1">
        <v>1712515.43</v>
      </c>
      <c r="F432" s="1">
        <v>75099.649999999994</v>
      </c>
      <c r="G432" s="1">
        <v>71434</v>
      </c>
      <c r="H432" s="1">
        <v>23.973394039999999</v>
      </c>
    </row>
    <row r="433" spans="1:8" ht="15.75" thickBot="1" x14ac:dyDescent="0.3">
      <c r="A433" s="1">
        <v>2017</v>
      </c>
      <c r="B433" s="1" t="s">
        <v>14</v>
      </c>
      <c r="C433" s="1" t="s">
        <v>9</v>
      </c>
      <c r="D433" s="1" t="s">
        <v>10</v>
      </c>
      <c r="E433" s="1">
        <v>27971.5</v>
      </c>
      <c r="F433" s="1">
        <v>1160.68</v>
      </c>
      <c r="G433" s="1">
        <v>4706</v>
      </c>
      <c r="H433" s="1">
        <v>5.9437951550000001</v>
      </c>
    </row>
    <row r="434" spans="1:8" ht="15.75" thickBot="1" x14ac:dyDescent="0.3">
      <c r="A434" s="1">
        <v>2016</v>
      </c>
      <c r="B434" s="1" t="s">
        <v>35</v>
      </c>
      <c r="C434" s="1" t="s">
        <v>9</v>
      </c>
      <c r="D434" s="1" t="s">
        <v>27</v>
      </c>
      <c r="E434" s="1">
        <v>1776.13</v>
      </c>
      <c r="F434" s="1">
        <v>87.08</v>
      </c>
      <c r="G434" s="1">
        <v>99</v>
      </c>
      <c r="H434" s="1">
        <v>17.940707069999998</v>
      </c>
    </row>
    <row r="435" spans="1:8" ht="15.75" thickBot="1" x14ac:dyDescent="0.3">
      <c r="A435" s="1">
        <v>2016</v>
      </c>
      <c r="B435" s="1" t="s">
        <v>20</v>
      </c>
      <c r="C435" s="1" t="s">
        <v>21</v>
      </c>
      <c r="D435" s="1" t="s">
        <v>10</v>
      </c>
      <c r="E435" s="1">
        <v>455965.53</v>
      </c>
      <c r="F435" s="1">
        <v>18335.11</v>
      </c>
      <c r="G435" s="1">
        <v>15332</v>
      </c>
      <c r="H435" s="1">
        <v>29.739468429999999</v>
      </c>
    </row>
    <row r="436" spans="1:8" ht="15.75" thickBot="1" x14ac:dyDescent="0.3">
      <c r="A436" s="1">
        <v>2017</v>
      </c>
      <c r="B436" s="1" t="s">
        <v>30</v>
      </c>
      <c r="C436" s="1" t="s">
        <v>33</v>
      </c>
      <c r="D436" s="1" t="s">
        <v>32</v>
      </c>
      <c r="E436" s="1">
        <v>45916213.649999999</v>
      </c>
      <c r="F436" s="1">
        <v>1730708.04</v>
      </c>
      <c r="G436" s="1">
        <v>916335</v>
      </c>
      <c r="H436" s="1">
        <v>50.108545069999998</v>
      </c>
    </row>
    <row r="437" spans="1:8" ht="15.75" thickBot="1" x14ac:dyDescent="0.3">
      <c r="A437" s="1">
        <v>2016</v>
      </c>
      <c r="B437" s="1" t="s">
        <v>35</v>
      </c>
      <c r="C437" s="1" t="s">
        <v>15</v>
      </c>
      <c r="D437" s="1" t="s">
        <v>29</v>
      </c>
      <c r="E437" s="1">
        <v>7106.3</v>
      </c>
      <c r="F437" s="1">
        <v>126.01</v>
      </c>
      <c r="G437" s="1">
        <v>36</v>
      </c>
      <c r="H437" s="1">
        <v>197.39722219999999</v>
      </c>
    </row>
    <row r="438" spans="1:8" ht="15.75" thickBot="1" x14ac:dyDescent="0.3">
      <c r="A438" s="1">
        <v>2014</v>
      </c>
      <c r="B438" s="1" t="s">
        <v>14</v>
      </c>
      <c r="C438" s="1" t="s">
        <v>25</v>
      </c>
      <c r="D438" s="1" t="s">
        <v>31</v>
      </c>
      <c r="E438" s="1">
        <v>701827.58</v>
      </c>
      <c r="F438" s="1">
        <v>27735.68</v>
      </c>
      <c r="G438" s="1">
        <v>18057</v>
      </c>
      <c r="H438" s="1">
        <v>38.867341199999998</v>
      </c>
    </row>
    <row r="439" spans="1:8" ht="15.75" thickBot="1" x14ac:dyDescent="0.3">
      <c r="A439" s="1">
        <v>2017</v>
      </c>
      <c r="B439" s="1" t="s">
        <v>8</v>
      </c>
      <c r="C439" s="1" t="s">
        <v>15</v>
      </c>
      <c r="D439" s="1" t="s">
        <v>32</v>
      </c>
      <c r="E439" s="1">
        <v>503</v>
      </c>
      <c r="F439" s="1">
        <v>22.01</v>
      </c>
      <c r="G439" s="1">
        <v>14</v>
      </c>
      <c r="H439" s="1">
        <v>35.928571429999998</v>
      </c>
    </row>
    <row r="440" spans="1:8" ht="15.75" thickBot="1" x14ac:dyDescent="0.3">
      <c r="A440" s="1">
        <v>2015</v>
      </c>
      <c r="B440" s="1" t="s">
        <v>12</v>
      </c>
      <c r="C440" s="1" t="s">
        <v>9</v>
      </c>
      <c r="D440" s="1" t="s">
        <v>31</v>
      </c>
      <c r="E440" s="1">
        <v>131268036.40000001</v>
      </c>
      <c r="F440" s="1">
        <v>3302192.33</v>
      </c>
      <c r="G440" s="1">
        <v>731764</v>
      </c>
      <c r="H440" s="1">
        <v>179.3857533</v>
      </c>
    </row>
    <row r="441" spans="1:8" ht="15.75" thickBot="1" x14ac:dyDescent="0.3">
      <c r="A441" s="1">
        <v>2017</v>
      </c>
      <c r="B441" s="1" t="s">
        <v>14</v>
      </c>
      <c r="C441" s="1" t="s">
        <v>23</v>
      </c>
      <c r="D441" s="1" t="s">
        <v>34</v>
      </c>
      <c r="E441" s="1">
        <v>325647.81</v>
      </c>
      <c r="F441" s="1">
        <v>14080.76</v>
      </c>
      <c r="G441" s="1">
        <v>14089</v>
      </c>
      <c r="H441" s="1">
        <v>23.113621259999999</v>
      </c>
    </row>
    <row r="442" spans="1:8" ht="15.75" thickBot="1" x14ac:dyDescent="0.3">
      <c r="A442" s="1">
        <v>2015</v>
      </c>
      <c r="B442" s="1" t="s">
        <v>17</v>
      </c>
      <c r="C442" s="1" t="s">
        <v>15</v>
      </c>
      <c r="D442" s="1" t="s">
        <v>24</v>
      </c>
      <c r="E442" s="1">
        <v>14715584.49</v>
      </c>
      <c r="F442" s="1">
        <v>500170.93</v>
      </c>
      <c r="G442" s="1">
        <v>55776</v>
      </c>
      <c r="H442" s="1">
        <v>263.83362899999997</v>
      </c>
    </row>
    <row r="443" spans="1:8" ht="15.75" thickBot="1" x14ac:dyDescent="0.3">
      <c r="A443" s="1">
        <v>2017</v>
      </c>
      <c r="B443" s="1" t="s">
        <v>20</v>
      </c>
      <c r="C443" s="1" t="s">
        <v>28</v>
      </c>
      <c r="D443" s="1" t="s">
        <v>31</v>
      </c>
      <c r="E443" s="1">
        <v>33597.11</v>
      </c>
      <c r="F443" s="1">
        <v>4314.99</v>
      </c>
      <c r="G443" s="1">
        <v>162152</v>
      </c>
      <c r="H443" s="1">
        <v>0.20719516260000001</v>
      </c>
    </row>
    <row r="444" spans="1:8" ht="15.75" thickBot="1" x14ac:dyDescent="0.3">
      <c r="A444" s="1">
        <v>2016</v>
      </c>
      <c r="B444" s="1" t="s">
        <v>20</v>
      </c>
      <c r="C444" s="1" t="s">
        <v>33</v>
      </c>
      <c r="D444" s="1" t="s">
        <v>24</v>
      </c>
      <c r="E444" s="1">
        <v>1779231.87</v>
      </c>
      <c r="F444" s="1">
        <v>61835.69</v>
      </c>
      <c r="G444" s="1">
        <v>17969</v>
      </c>
      <c r="H444" s="1">
        <v>99.016743840000004</v>
      </c>
    </row>
    <row r="445" spans="1:8" ht="15.75" thickBot="1" x14ac:dyDescent="0.3">
      <c r="A445" s="1">
        <v>2014</v>
      </c>
      <c r="B445" s="1" t="s">
        <v>16</v>
      </c>
      <c r="C445" s="1" t="s">
        <v>21</v>
      </c>
      <c r="D445" s="1" t="s">
        <v>29</v>
      </c>
      <c r="E445" s="1">
        <v>13847247.08</v>
      </c>
      <c r="F445" s="1">
        <v>467658.17</v>
      </c>
      <c r="G445" s="1">
        <v>60707</v>
      </c>
      <c r="H445" s="1">
        <v>228.0996768</v>
      </c>
    </row>
    <row r="446" spans="1:8" ht="15.75" thickBot="1" x14ac:dyDescent="0.3">
      <c r="A446" s="1">
        <v>2016</v>
      </c>
      <c r="B446" s="1" t="s">
        <v>12</v>
      </c>
      <c r="C446" s="1" t="s">
        <v>12</v>
      </c>
      <c r="D446" s="1" t="s">
        <v>27</v>
      </c>
      <c r="E446" s="1">
        <v>9391351.5099999998</v>
      </c>
      <c r="F446" s="1">
        <v>375946.98</v>
      </c>
      <c r="G446" s="1">
        <v>253911</v>
      </c>
      <c r="H446" s="1">
        <v>36.986784780000001</v>
      </c>
    </row>
    <row r="447" spans="1:8" ht="15.75" thickBot="1" x14ac:dyDescent="0.3">
      <c r="A447" s="1">
        <v>2016</v>
      </c>
      <c r="B447" s="1" t="s">
        <v>14</v>
      </c>
      <c r="C447" s="1" t="s">
        <v>33</v>
      </c>
      <c r="D447" s="1" t="s">
        <v>31</v>
      </c>
      <c r="E447" s="1">
        <v>2071671.89</v>
      </c>
      <c r="F447" s="1">
        <v>80233.77</v>
      </c>
      <c r="G447" s="1">
        <v>48654</v>
      </c>
      <c r="H447" s="1">
        <v>42.579682859999998</v>
      </c>
    </row>
    <row r="448" spans="1:8" ht="15.75" thickBot="1" x14ac:dyDescent="0.3">
      <c r="A448" s="1">
        <v>2016</v>
      </c>
      <c r="B448" s="1" t="s">
        <v>8</v>
      </c>
      <c r="C448" s="1" t="s">
        <v>28</v>
      </c>
      <c r="D448" s="1" t="s">
        <v>36</v>
      </c>
      <c r="E448" s="1">
        <v>5738.15</v>
      </c>
      <c r="F448" s="1">
        <v>50.07</v>
      </c>
      <c r="G448" s="1">
        <v>233</v>
      </c>
      <c r="H448" s="1">
        <v>24.62725322</v>
      </c>
    </row>
    <row r="449" spans="1:8" ht="15.75" thickBot="1" x14ac:dyDescent="0.3">
      <c r="A449" s="1">
        <v>2017</v>
      </c>
      <c r="B449" s="1" t="s">
        <v>14</v>
      </c>
      <c r="C449" s="1" t="s">
        <v>23</v>
      </c>
      <c r="D449" s="1" t="s">
        <v>19</v>
      </c>
      <c r="E449" s="1">
        <v>30247198.109999999</v>
      </c>
      <c r="F449" s="1">
        <v>938176.68</v>
      </c>
      <c r="G449" s="1">
        <v>483404</v>
      </c>
      <c r="H449" s="1">
        <v>62.571261530000001</v>
      </c>
    </row>
    <row r="450" spans="1:8" ht="15.75" thickBot="1" x14ac:dyDescent="0.3">
      <c r="A450" s="1">
        <v>2017</v>
      </c>
      <c r="B450" s="1" t="s">
        <v>11</v>
      </c>
      <c r="C450" s="1" t="s">
        <v>26</v>
      </c>
      <c r="D450" s="1" t="s">
        <v>29</v>
      </c>
      <c r="E450" s="1">
        <v>5010180.03</v>
      </c>
      <c r="F450" s="1">
        <v>150993.51999999999</v>
      </c>
      <c r="G450" s="1">
        <v>11417</v>
      </c>
      <c r="H450" s="1">
        <v>438.83507309999999</v>
      </c>
    </row>
    <row r="451" spans="1:8" ht="15.75" thickBot="1" x14ac:dyDescent="0.3">
      <c r="A451" s="1">
        <v>2015</v>
      </c>
      <c r="B451" s="1" t="s">
        <v>20</v>
      </c>
      <c r="C451" s="1" t="s">
        <v>33</v>
      </c>
      <c r="D451" s="1" t="s">
        <v>19</v>
      </c>
      <c r="E451" s="1">
        <v>5005934.5599999996</v>
      </c>
      <c r="F451" s="1">
        <v>174889.32</v>
      </c>
      <c r="G451" s="1">
        <v>65062</v>
      </c>
      <c r="H451" s="1">
        <v>76.940987980000003</v>
      </c>
    </row>
    <row r="452" spans="1:8" ht="15.75" thickBot="1" x14ac:dyDescent="0.3">
      <c r="A452" s="1">
        <v>2016</v>
      </c>
      <c r="B452" s="1" t="s">
        <v>12</v>
      </c>
      <c r="C452" s="1" t="s">
        <v>18</v>
      </c>
      <c r="D452" s="1" t="s">
        <v>10</v>
      </c>
      <c r="E452" s="1">
        <v>776902.7</v>
      </c>
      <c r="F452" s="1">
        <v>23528.06</v>
      </c>
      <c r="G452" s="1">
        <v>13240</v>
      </c>
      <c r="H452" s="1">
        <v>58.67845166</v>
      </c>
    </row>
    <row r="453" spans="1:8" ht="15.75" thickBot="1" x14ac:dyDescent="0.3">
      <c r="A453" s="1">
        <v>2015</v>
      </c>
      <c r="B453" s="1" t="s">
        <v>16</v>
      </c>
      <c r="C453" s="1" t="s">
        <v>9</v>
      </c>
      <c r="D453" s="1" t="s">
        <v>10</v>
      </c>
      <c r="E453" s="1">
        <v>12805910.380000001</v>
      </c>
      <c r="F453" s="1">
        <v>438003.61</v>
      </c>
      <c r="G453" s="1">
        <v>167895</v>
      </c>
      <c r="H453" s="1">
        <v>76.273327850000001</v>
      </c>
    </row>
    <row r="454" spans="1:8" ht="15.75" thickBot="1" x14ac:dyDescent="0.3">
      <c r="A454" s="1">
        <v>2015</v>
      </c>
      <c r="B454" s="1" t="s">
        <v>11</v>
      </c>
      <c r="C454" s="1" t="s">
        <v>12</v>
      </c>
      <c r="D454" s="1" t="s">
        <v>29</v>
      </c>
      <c r="E454" s="1">
        <v>1495435.32</v>
      </c>
      <c r="F454" s="1">
        <v>47569.2</v>
      </c>
      <c r="G454" s="1">
        <v>3660</v>
      </c>
      <c r="H454" s="1">
        <v>408.58888519999999</v>
      </c>
    </row>
    <row r="455" spans="1:8" ht="15.75" thickBot="1" x14ac:dyDescent="0.3">
      <c r="A455" s="1">
        <v>2017</v>
      </c>
      <c r="B455" s="1" t="s">
        <v>11</v>
      </c>
      <c r="C455" s="1" t="s">
        <v>18</v>
      </c>
      <c r="D455" s="1" t="s">
        <v>19</v>
      </c>
      <c r="E455" s="1">
        <v>1097487.6399999999</v>
      </c>
      <c r="F455" s="1">
        <v>36522.32</v>
      </c>
      <c r="G455" s="1">
        <v>5574</v>
      </c>
      <c r="H455" s="1">
        <v>196.8940868</v>
      </c>
    </row>
    <row r="456" spans="1:8" ht="15.75" thickBot="1" x14ac:dyDescent="0.3">
      <c r="A456" s="1">
        <v>2014</v>
      </c>
      <c r="B456" s="1" t="s">
        <v>20</v>
      </c>
      <c r="C456" s="1" t="s">
        <v>33</v>
      </c>
      <c r="D456" s="1" t="s">
        <v>29</v>
      </c>
      <c r="E456" s="1">
        <v>742060.27</v>
      </c>
      <c r="F456" s="1">
        <v>25288.2</v>
      </c>
      <c r="G456" s="1">
        <v>7918</v>
      </c>
      <c r="H456" s="1">
        <v>93.718144730000006</v>
      </c>
    </row>
    <row r="457" spans="1:8" ht="15.75" thickBot="1" x14ac:dyDescent="0.3">
      <c r="A457" s="1">
        <v>2015</v>
      </c>
      <c r="B457" s="1" t="s">
        <v>20</v>
      </c>
      <c r="C457" s="1" t="s">
        <v>21</v>
      </c>
      <c r="D457" s="1" t="s">
        <v>29</v>
      </c>
      <c r="E457" s="1">
        <v>640574.28</v>
      </c>
      <c r="F457" s="1">
        <v>22329.31</v>
      </c>
      <c r="G457" s="1">
        <v>7556</v>
      </c>
      <c r="H457" s="1">
        <v>84.77690312</v>
      </c>
    </row>
    <row r="458" spans="1:8" ht="15.75" thickBot="1" x14ac:dyDescent="0.3">
      <c r="A458" s="1">
        <v>2014</v>
      </c>
      <c r="B458" s="1" t="s">
        <v>14</v>
      </c>
      <c r="C458" s="1" t="s">
        <v>21</v>
      </c>
      <c r="D458" s="1" t="s">
        <v>31</v>
      </c>
      <c r="E458" s="1">
        <v>855127.01</v>
      </c>
      <c r="F458" s="1">
        <v>33503.339999999997</v>
      </c>
      <c r="G458" s="1">
        <v>21901</v>
      </c>
      <c r="H458" s="1">
        <v>39.045112549999999</v>
      </c>
    </row>
    <row r="459" spans="1:8" ht="15.75" thickBot="1" x14ac:dyDescent="0.3">
      <c r="A459" s="1">
        <v>2017</v>
      </c>
      <c r="B459" s="1" t="s">
        <v>14</v>
      </c>
      <c r="C459" s="1" t="s">
        <v>15</v>
      </c>
      <c r="D459" s="1" t="s">
        <v>31</v>
      </c>
      <c r="E459" s="1">
        <v>1028969.83</v>
      </c>
      <c r="F459" s="1">
        <v>40479.57</v>
      </c>
      <c r="G459" s="1">
        <v>24277</v>
      </c>
      <c r="H459" s="1">
        <v>42.384554520000002</v>
      </c>
    </row>
    <row r="460" spans="1:8" ht="15.75" thickBot="1" x14ac:dyDescent="0.3">
      <c r="A460" s="1">
        <v>2017</v>
      </c>
      <c r="B460" s="1" t="s">
        <v>17</v>
      </c>
      <c r="C460" s="1" t="s">
        <v>28</v>
      </c>
      <c r="D460" s="1" t="s">
        <v>13</v>
      </c>
      <c r="E460" s="1">
        <v>8568449.9299999997</v>
      </c>
      <c r="F460" s="1">
        <v>169047.16</v>
      </c>
      <c r="G460" s="1">
        <v>82816</v>
      </c>
      <c r="H460" s="1">
        <v>103.4637018</v>
      </c>
    </row>
    <row r="461" spans="1:8" ht="15.75" thickBot="1" x14ac:dyDescent="0.3">
      <c r="A461" s="1">
        <v>2017</v>
      </c>
      <c r="B461" s="1" t="s">
        <v>11</v>
      </c>
      <c r="C461" s="1" t="s">
        <v>21</v>
      </c>
      <c r="D461" s="1" t="s">
        <v>24</v>
      </c>
      <c r="E461" s="1">
        <v>11047938.970000001</v>
      </c>
      <c r="F461" s="1">
        <v>347791.05</v>
      </c>
      <c r="G461" s="1">
        <v>40712</v>
      </c>
      <c r="H461" s="1">
        <v>271.36812170000002</v>
      </c>
    </row>
    <row r="462" spans="1:8" ht="15.75" thickBot="1" x14ac:dyDescent="0.3">
      <c r="A462" s="1">
        <v>2014</v>
      </c>
      <c r="B462" s="1" t="s">
        <v>20</v>
      </c>
      <c r="C462" s="1" t="s">
        <v>26</v>
      </c>
      <c r="D462" s="1" t="s">
        <v>27</v>
      </c>
      <c r="E462" s="1">
        <v>9191466.8000000007</v>
      </c>
      <c r="F462" s="1">
        <v>375538.98</v>
      </c>
      <c r="G462" s="1">
        <v>308354</v>
      </c>
      <c r="H462" s="1">
        <v>29.808164640000001</v>
      </c>
    </row>
    <row r="463" spans="1:8" ht="15.75" thickBot="1" x14ac:dyDescent="0.3">
      <c r="A463" s="1">
        <v>2017</v>
      </c>
      <c r="B463" s="1" t="s">
        <v>12</v>
      </c>
      <c r="C463" s="1" t="s">
        <v>25</v>
      </c>
      <c r="D463" s="1" t="s">
        <v>13</v>
      </c>
      <c r="E463" s="1">
        <v>586023.69999999995</v>
      </c>
      <c r="F463" s="1">
        <v>20347.099999999999</v>
      </c>
      <c r="G463" s="1">
        <v>17863</v>
      </c>
      <c r="H463" s="1">
        <v>32.806566650000001</v>
      </c>
    </row>
    <row r="464" spans="1:8" ht="15.75" thickBot="1" x14ac:dyDescent="0.3">
      <c r="A464" s="1">
        <v>2015</v>
      </c>
      <c r="B464" s="1" t="s">
        <v>30</v>
      </c>
      <c r="C464" s="1" t="s">
        <v>23</v>
      </c>
      <c r="D464" s="1" t="s">
        <v>27</v>
      </c>
      <c r="E464" s="1">
        <v>565356590.79999995</v>
      </c>
      <c r="F464" s="1">
        <v>22042661.350000001</v>
      </c>
      <c r="G464" s="1">
        <v>13104033</v>
      </c>
      <c r="H464" s="1">
        <v>43.14370933</v>
      </c>
    </row>
    <row r="465" spans="1:8" ht="15.75" thickBot="1" x14ac:dyDescent="0.3">
      <c r="A465" s="1">
        <v>2014</v>
      </c>
      <c r="B465" s="1" t="s">
        <v>17</v>
      </c>
      <c r="C465" s="1" t="s">
        <v>25</v>
      </c>
      <c r="D465" s="1" t="s">
        <v>32</v>
      </c>
      <c r="E465" s="1">
        <v>108140428.2</v>
      </c>
      <c r="F465" s="1">
        <v>3953030.39</v>
      </c>
      <c r="G465" s="1">
        <v>2243179</v>
      </c>
      <c r="H465" s="1">
        <v>48.208559469999997</v>
      </c>
    </row>
    <row r="466" spans="1:8" ht="15.75" thickBot="1" x14ac:dyDescent="0.3">
      <c r="A466" s="1">
        <v>2015</v>
      </c>
      <c r="B466" s="1" t="s">
        <v>14</v>
      </c>
      <c r="C466" s="1" t="s">
        <v>15</v>
      </c>
      <c r="D466" s="1" t="s">
        <v>27</v>
      </c>
      <c r="E466" s="1">
        <v>84329475.730000004</v>
      </c>
      <c r="F466" s="1">
        <v>3392303.02</v>
      </c>
      <c r="G466" s="1">
        <v>2253647</v>
      </c>
      <c r="H466" s="1">
        <v>37.419114759999999</v>
      </c>
    </row>
    <row r="467" spans="1:8" ht="15.75" thickBot="1" x14ac:dyDescent="0.3">
      <c r="A467" s="1">
        <v>2015</v>
      </c>
      <c r="B467" s="1" t="s">
        <v>35</v>
      </c>
      <c r="C467" s="1" t="s">
        <v>33</v>
      </c>
      <c r="D467" s="1" t="s">
        <v>10</v>
      </c>
      <c r="E467" s="1">
        <v>260.67</v>
      </c>
      <c r="F467" s="1">
        <v>23.75</v>
      </c>
      <c r="G467" s="1">
        <v>87</v>
      </c>
      <c r="H467" s="1">
        <v>2.996206897</v>
      </c>
    </row>
    <row r="468" spans="1:8" ht="15.75" thickBot="1" x14ac:dyDescent="0.3">
      <c r="A468" s="1">
        <v>2016</v>
      </c>
      <c r="B468" s="1" t="s">
        <v>16</v>
      </c>
      <c r="C468" s="1" t="s">
        <v>28</v>
      </c>
      <c r="D468" s="1" t="s">
        <v>10</v>
      </c>
      <c r="E468" s="1">
        <v>14959308.73</v>
      </c>
      <c r="F468" s="1">
        <v>537018.13</v>
      </c>
      <c r="G468" s="1">
        <v>224652</v>
      </c>
      <c r="H468" s="1">
        <v>66.588807270000004</v>
      </c>
    </row>
    <row r="469" spans="1:8" ht="15.75" thickBot="1" x14ac:dyDescent="0.3">
      <c r="A469" s="1">
        <v>2015</v>
      </c>
      <c r="B469" s="1" t="s">
        <v>16</v>
      </c>
      <c r="C469" s="1" t="s">
        <v>9</v>
      </c>
      <c r="D469" s="1" t="s">
        <v>19</v>
      </c>
      <c r="E469" s="1">
        <v>201099.21</v>
      </c>
      <c r="F469" s="1">
        <v>3920.34</v>
      </c>
      <c r="G469" s="1">
        <v>5962</v>
      </c>
      <c r="H469" s="1">
        <v>33.73015934</v>
      </c>
    </row>
    <row r="470" spans="1:8" ht="15.75" thickBot="1" x14ac:dyDescent="0.3">
      <c r="A470" s="1">
        <v>2014</v>
      </c>
      <c r="B470" s="1" t="s">
        <v>8</v>
      </c>
      <c r="C470" s="1" t="s">
        <v>26</v>
      </c>
      <c r="D470" s="1" t="s">
        <v>27</v>
      </c>
      <c r="E470" s="1">
        <v>8508.24</v>
      </c>
      <c r="F470" s="1">
        <v>296.99</v>
      </c>
      <c r="G470" s="1">
        <v>157</v>
      </c>
      <c r="H470" s="1">
        <v>54.192611460000002</v>
      </c>
    </row>
    <row r="471" spans="1:8" ht="15.75" thickBot="1" x14ac:dyDescent="0.3">
      <c r="A471" s="1">
        <v>2017</v>
      </c>
      <c r="B471" s="1" t="s">
        <v>14</v>
      </c>
      <c r="C471" s="1" t="s">
        <v>33</v>
      </c>
      <c r="D471" s="1" t="s">
        <v>27</v>
      </c>
      <c r="E471" s="1">
        <v>164399050.09999999</v>
      </c>
      <c r="F471" s="1">
        <v>6999855.8399999999</v>
      </c>
      <c r="G471" s="1">
        <v>5494763</v>
      </c>
      <c r="H471" s="1">
        <v>29.919224920000001</v>
      </c>
    </row>
    <row r="472" spans="1:8" ht="15.75" thickBot="1" x14ac:dyDescent="0.3">
      <c r="A472" s="1">
        <v>2014</v>
      </c>
      <c r="B472" s="1" t="s">
        <v>16</v>
      </c>
      <c r="C472" s="1" t="s">
        <v>23</v>
      </c>
      <c r="D472" s="1" t="s">
        <v>22</v>
      </c>
      <c r="E472" s="1">
        <v>38468.959999999999</v>
      </c>
      <c r="F472" s="1">
        <v>1225.4000000000001</v>
      </c>
      <c r="G472" s="1">
        <v>2302</v>
      </c>
      <c r="H472" s="1">
        <v>16.711103390000002</v>
      </c>
    </row>
    <row r="473" spans="1:8" ht="15.75" thickBot="1" x14ac:dyDescent="0.3">
      <c r="A473" s="1">
        <v>2017</v>
      </c>
      <c r="B473" s="1" t="s">
        <v>16</v>
      </c>
      <c r="C473" s="1" t="s">
        <v>12</v>
      </c>
      <c r="D473" s="1" t="s">
        <v>19</v>
      </c>
      <c r="E473" s="1">
        <v>38186334.380000003</v>
      </c>
      <c r="F473" s="1">
        <v>1297957.31</v>
      </c>
      <c r="G473" s="1">
        <v>189250</v>
      </c>
      <c r="H473" s="1">
        <v>201.77719619999999</v>
      </c>
    </row>
    <row r="474" spans="1:8" ht="15.75" thickBot="1" x14ac:dyDescent="0.3">
      <c r="A474" s="1">
        <v>2014</v>
      </c>
      <c r="B474" s="1" t="s">
        <v>16</v>
      </c>
      <c r="C474" s="1" t="s">
        <v>15</v>
      </c>
      <c r="D474" s="1" t="s">
        <v>32</v>
      </c>
      <c r="E474" s="1">
        <v>72976400.120000005</v>
      </c>
      <c r="F474" s="1">
        <v>2688236.47</v>
      </c>
      <c r="G474" s="1">
        <v>1142663</v>
      </c>
      <c r="H474" s="1">
        <v>63.86519921</v>
      </c>
    </row>
    <row r="475" spans="1:8" ht="15.75" thickBot="1" x14ac:dyDescent="0.3">
      <c r="A475" s="1">
        <v>2015</v>
      </c>
      <c r="B475" s="1" t="s">
        <v>35</v>
      </c>
      <c r="C475" s="1" t="s">
        <v>12</v>
      </c>
      <c r="D475" s="1" t="s">
        <v>13</v>
      </c>
      <c r="E475" s="1">
        <v>130</v>
      </c>
      <c r="F475" s="1">
        <v>4.07</v>
      </c>
      <c r="G475" s="1">
        <v>8</v>
      </c>
      <c r="H475" s="1">
        <v>16.25</v>
      </c>
    </row>
    <row r="476" spans="1:8" ht="15.75" thickBot="1" x14ac:dyDescent="0.3">
      <c r="A476" s="1">
        <v>2015</v>
      </c>
      <c r="B476" s="1" t="s">
        <v>20</v>
      </c>
      <c r="C476" s="1" t="s">
        <v>33</v>
      </c>
      <c r="D476" s="1" t="s">
        <v>13</v>
      </c>
      <c r="E476" s="1">
        <v>29041.37</v>
      </c>
      <c r="F476" s="1">
        <v>946.8</v>
      </c>
      <c r="G476" s="1">
        <v>540</v>
      </c>
      <c r="H476" s="1">
        <v>53.78031481</v>
      </c>
    </row>
    <row r="477" spans="1:8" ht="15.75" thickBot="1" x14ac:dyDescent="0.3">
      <c r="A477" s="1">
        <v>2016</v>
      </c>
      <c r="B477" s="1" t="s">
        <v>20</v>
      </c>
      <c r="C477" s="1" t="s">
        <v>12</v>
      </c>
      <c r="D477" s="1" t="s">
        <v>32</v>
      </c>
      <c r="E477" s="1">
        <v>5380405.1900000004</v>
      </c>
      <c r="F477" s="1">
        <v>211068.38</v>
      </c>
      <c r="G477" s="1">
        <v>158940</v>
      </c>
      <c r="H477" s="1">
        <v>33.851800619999999</v>
      </c>
    </row>
    <row r="478" spans="1:8" ht="15.75" thickBot="1" x14ac:dyDescent="0.3">
      <c r="A478" s="1">
        <v>2015</v>
      </c>
      <c r="B478" s="1" t="s">
        <v>11</v>
      </c>
      <c r="C478" s="1" t="s">
        <v>33</v>
      </c>
      <c r="D478" s="1" t="s">
        <v>29</v>
      </c>
      <c r="E478" s="1">
        <v>2516729.39</v>
      </c>
      <c r="F478" s="1">
        <v>74855.55</v>
      </c>
      <c r="G478" s="1">
        <v>6176</v>
      </c>
      <c r="H478" s="1">
        <v>407.5015204</v>
      </c>
    </row>
    <row r="479" spans="1:8" ht="15.75" thickBot="1" x14ac:dyDescent="0.3">
      <c r="A479" s="1">
        <v>2016</v>
      </c>
      <c r="B479" s="1" t="s">
        <v>35</v>
      </c>
      <c r="C479" s="1" t="s">
        <v>9</v>
      </c>
      <c r="D479" s="1" t="s">
        <v>27</v>
      </c>
      <c r="E479" s="1">
        <v>3066.88</v>
      </c>
      <c r="F479" s="1">
        <v>99.6</v>
      </c>
      <c r="G479" s="1">
        <v>77</v>
      </c>
      <c r="H479" s="1">
        <v>39.829610389999999</v>
      </c>
    </row>
    <row r="480" spans="1:8" ht="15.75" thickBot="1" x14ac:dyDescent="0.3">
      <c r="A480" s="1">
        <v>2017</v>
      </c>
      <c r="B480" s="1" t="s">
        <v>16</v>
      </c>
      <c r="C480" s="1" t="s">
        <v>33</v>
      </c>
      <c r="D480" s="1" t="s">
        <v>10</v>
      </c>
      <c r="E480" s="1">
        <v>46029276.979999997</v>
      </c>
      <c r="F480" s="1">
        <v>1726291.78</v>
      </c>
      <c r="G480" s="1">
        <v>858109</v>
      </c>
      <c r="H480" s="1">
        <v>53.640361519999999</v>
      </c>
    </row>
    <row r="481" spans="1:8" ht="15.75" thickBot="1" x14ac:dyDescent="0.3">
      <c r="A481" s="1">
        <v>2017</v>
      </c>
      <c r="B481" s="1" t="s">
        <v>11</v>
      </c>
      <c r="C481" s="1" t="s">
        <v>28</v>
      </c>
      <c r="D481" s="1" t="s">
        <v>27</v>
      </c>
      <c r="E481" s="1">
        <v>328581425.19999999</v>
      </c>
      <c r="F481" s="1">
        <v>8229424.1600000001</v>
      </c>
      <c r="G481" s="1">
        <v>3424737</v>
      </c>
      <c r="H481" s="1">
        <v>95.943549880000006</v>
      </c>
    </row>
    <row r="482" spans="1:8" ht="15.75" thickBot="1" x14ac:dyDescent="0.3">
      <c r="A482" s="1">
        <v>2016</v>
      </c>
      <c r="B482" s="1" t="s">
        <v>35</v>
      </c>
      <c r="C482" s="1" t="s">
        <v>25</v>
      </c>
      <c r="D482" s="1" t="s">
        <v>19</v>
      </c>
      <c r="E482" s="1">
        <v>25567.61</v>
      </c>
      <c r="F482" s="1">
        <v>639.53</v>
      </c>
      <c r="G482" s="1">
        <v>438</v>
      </c>
      <c r="H482" s="1">
        <v>58.373538809999999</v>
      </c>
    </row>
    <row r="483" spans="1:8" ht="15.75" thickBot="1" x14ac:dyDescent="0.3">
      <c r="A483" s="1">
        <v>2017</v>
      </c>
      <c r="B483" s="1" t="s">
        <v>14</v>
      </c>
      <c r="C483" s="1" t="s">
        <v>9</v>
      </c>
      <c r="D483" s="1" t="s">
        <v>19</v>
      </c>
      <c r="E483" s="1">
        <v>165743.60999999999</v>
      </c>
      <c r="F483" s="1">
        <v>5227.1899999999996</v>
      </c>
      <c r="G483" s="1">
        <v>17858</v>
      </c>
      <c r="H483" s="1">
        <v>9.2811966629999993</v>
      </c>
    </row>
    <row r="484" spans="1:8" ht="15.75" thickBot="1" x14ac:dyDescent="0.3">
      <c r="A484" s="1">
        <v>2017</v>
      </c>
      <c r="B484" s="1" t="s">
        <v>40</v>
      </c>
      <c r="C484" s="1" t="s">
        <v>18</v>
      </c>
      <c r="D484" s="1" t="s">
        <v>13</v>
      </c>
      <c r="E484" s="1">
        <v>206.53</v>
      </c>
      <c r="F484" s="1">
        <v>1.17</v>
      </c>
      <c r="G484" s="1">
        <v>8</v>
      </c>
      <c r="H484" s="1">
        <v>25.81625</v>
      </c>
    </row>
    <row r="485" spans="1:8" ht="15.75" thickBot="1" x14ac:dyDescent="0.3">
      <c r="A485" s="1">
        <v>2015</v>
      </c>
      <c r="B485" s="1" t="s">
        <v>17</v>
      </c>
      <c r="C485" s="1" t="s">
        <v>25</v>
      </c>
      <c r="D485" s="1" t="s">
        <v>29</v>
      </c>
      <c r="E485" s="1">
        <v>15375751.59</v>
      </c>
      <c r="F485" s="1">
        <v>527196.61</v>
      </c>
      <c r="G485" s="1">
        <v>52518</v>
      </c>
      <c r="H485" s="1">
        <v>292.77108019999997</v>
      </c>
    </row>
    <row r="486" spans="1:8" ht="15.75" thickBot="1" x14ac:dyDescent="0.3">
      <c r="A486" s="1">
        <v>2016</v>
      </c>
      <c r="B486" s="1" t="s">
        <v>35</v>
      </c>
      <c r="C486" s="1" t="s">
        <v>28</v>
      </c>
      <c r="D486" s="1" t="s">
        <v>24</v>
      </c>
      <c r="E486" s="1">
        <v>28084.28</v>
      </c>
      <c r="F486" s="1">
        <v>411.54</v>
      </c>
      <c r="G486" s="1">
        <v>144</v>
      </c>
      <c r="H486" s="1">
        <v>195.02972220000001</v>
      </c>
    </row>
    <row r="487" spans="1:8" ht="15.75" thickBot="1" x14ac:dyDescent="0.3">
      <c r="A487" s="1">
        <v>2014</v>
      </c>
      <c r="B487" s="1" t="s">
        <v>16</v>
      </c>
      <c r="C487" s="1" t="s">
        <v>9</v>
      </c>
      <c r="D487" s="1" t="s">
        <v>24</v>
      </c>
      <c r="E487" s="1">
        <v>89139.520000000004</v>
      </c>
      <c r="F487" s="1">
        <v>1824.08</v>
      </c>
      <c r="G487" s="1">
        <v>1385</v>
      </c>
      <c r="H487" s="1">
        <v>64.360664259999993</v>
      </c>
    </row>
    <row r="488" spans="1:8" ht="15.75" thickBot="1" x14ac:dyDescent="0.3">
      <c r="A488" s="1">
        <v>2014</v>
      </c>
      <c r="B488" s="1" t="s">
        <v>16</v>
      </c>
      <c r="C488" s="1" t="s">
        <v>33</v>
      </c>
      <c r="D488" s="1" t="s">
        <v>31</v>
      </c>
      <c r="E488" s="1">
        <v>3538962.48</v>
      </c>
      <c r="F488" s="1">
        <v>133282.69</v>
      </c>
      <c r="G488" s="1">
        <v>71062</v>
      </c>
      <c r="H488" s="1">
        <v>49.80105373</v>
      </c>
    </row>
    <row r="489" spans="1:8" ht="15.75" thickBot="1" x14ac:dyDescent="0.3">
      <c r="A489" s="1">
        <v>2017</v>
      </c>
      <c r="B489" s="1" t="s">
        <v>8</v>
      </c>
      <c r="C489" s="1" t="s">
        <v>9</v>
      </c>
      <c r="D489" s="1" t="s">
        <v>32</v>
      </c>
      <c r="E489" s="1">
        <v>0</v>
      </c>
      <c r="F489" s="1">
        <v>0.3</v>
      </c>
      <c r="G489" s="1">
        <v>2</v>
      </c>
      <c r="H489" s="1">
        <v>0</v>
      </c>
    </row>
    <row r="490" spans="1:8" ht="15.75" thickBot="1" x14ac:dyDescent="0.3">
      <c r="A490" s="1">
        <v>2015</v>
      </c>
      <c r="B490" s="1" t="s">
        <v>35</v>
      </c>
      <c r="C490" s="1" t="s">
        <v>26</v>
      </c>
      <c r="D490" s="1" t="s">
        <v>10</v>
      </c>
      <c r="E490" s="1">
        <v>79.61</v>
      </c>
      <c r="F490" s="1">
        <v>3.21</v>
      </c>
      <c r="G490" s="1">
        <v>38</v>
      </c>
      <c r="H490" s="1">
        <v>2.0950000000000002</v>
      </c>
    </row>
    <row r="491" spans="1:8" ht="15.75" thickBot="1" x14ac:dyDescent="0.3">
      <c r="A491" s="1">
        <v>2015</v>
      </c>
      <c r="B491" s="1" t="s">
        <v>11</v>
      </c>
      <c r="C491" s="1" t="s">
        <v>15</v>
      </c>
      <c r="D491" s="1" t="s">
        <v>13</v>
      </c>
      <c r="E491" s="1">
        <v>56468.86</v>
      </c>
      <c r="F491" s="1">
        <v>1383.85</v>
      </c>
      <c r="G491" s="1">
        <v>987</v>
      </c>
      <c r="H491" s="1">
        <v>57.21262411</v>
      </c>
    </row>
    <row r="492" spans="1:8" ht="15.75" thickBot="1" x14ac:dyDescent="0.3">
      <c r="A492" s="1">
        <v>2016</v>
      </c>
      <c r="B492" s="1" t="s">
        <v>16</v>
      </c>
      <c r="C492" s="1" t="s">
        <v>28</v>
      </c>
      <c r="D492" s="1" t="s">
        <v>31</v>
      </c>
      <c r="E492" s="1">
        <v>4185293.58</v>
      </c>
      <c r="F492" s="1">
        <v>149786.85</v>
      </c>
      <c r="G492" s="1">
        <v>67951</v>
      </c>
      <c r="H492" s="1">
        <v>61.592818059999999</v>
      </c>
    </row>
    <row r="493" spans="1:8" ht="15.75" thickBot="1" x14ac:dyDescent="0.3">
      <c r="A493" s="1">
        <v>2015</v>
      </c>
      <c r="B493" s="1" t="s">
        <v>8</v>
      </c>
      <c r="C493" s="1" t="s">
        <v>15</v>
      </c>
      <c r="D493" s="1" t="s">
        <v>32</v>
      </c>
      <c r="E493" s="1">
        <v>217.83</v>
      </c>
      <c r="F493" s="1">
        <v>9.02</v>
      </c>
      <c r="G493" s="1">
        <v>9</v>
      </c>
      <c r="H493" s="1">
        <v>24.20333333</v>
      </c>
    </row>
    <row r="494" spans="1:8" ht="15.75" thickBot="1" x14ac:dyDescent="0.3">
      <c r="A494" s="1">
        <v>2015</v>
      </c>
      <c r="B494" s="1" t="s">
        <v>12</v>
      </c>
      <c r="C494" s="1" t="s">
        <v>33</v>
      </c>
      <c r="D494" s="1" t="s">
        <v>32</v>
      </c>
      <c r="E494" s="1">
        <v>15808336.800000001</v>
      </c>
      <c r="F494" s="1">
        <v>563562.88</v>
      </c>
      <c r="G494" s="1">
        <v>304929</v>
      </c>
      <c r="H494" s="1">
        <v>51.84268076</v>
      </c>
    </row>
    <row r="495" spans="1:8" ht="15.75" thickBot="1" x14ac:dyDescent="0.3">
      <c r="A495" s="1">
        <v>2016</v>
      </c>
      <c r="B495" s="1" t="s">
        <v>30</v>
      </c>
      <c r="C495" s="1" t="s">
        <v>9</v>
      </c>
      <c r="D495" s="1" t="s">
        <v>13</v>
      </c>
      <c r="E495" s="1">
        <v>11984.85</v>
      </c>
      <c r="F495" s="1">
        <v>291.35000000000002</v>
      </c>
      <c r="G495" s="1">
        <v>805</v>
      </c>
      <c r="H495" s="1">
        <v>14.888012420000001</v>
      </c>
    </row>
    <row r="496" spans="1:8" ht="15.75" thickBot="1" x14ac:dyDescent="0.3">
      <c r="A496" s="1">
        <v>2014</v>
      </c>
      <c r="B496" s="1" t="s">
        <v>16</v>
      </c>
      <c r="C496" s="1" t="s">
        <v>23</v>
      </c>
      <c r="D496" s="1" t="s">
        <v>10</v>
      </c>
      <c r="E496" s="1">
        <v>3040608.18</v>
      </c>
      <c r="F496" s="1">
        <v>106561.87</v>
      </c>
      <c r="G496" s="1">
        <v>52054</v>
      </c>
      <c r="H496" s="1">
        <v>58.412575019999998</v>
      </c>
    </row>
    <row r="497" spans="1:8" ht="15.75" thickBot="1" x14ac:dyDescent="0.3">
      <c r="A497" s="1">
        <v>2017</v>
      </c>
      <c r="B497" s="1" t="s">
        <v>11</v>
      </c>
      <c r="C497" s="1" t="s">
        <v>25</v>
      </c>
      <c r="D497" s="1" t="s">
        <v>22</v>
      </c>
      <c r="E497" s="1">
        <v>73349639.329999998</v>
      </c>
      <c r="F497" s="1">
        <v>2212601.73</v>
      </c>
      <c r="G497" s="1">
        <v>5576094</v>
      </c>
      <c r="H497" s="1">
        <v>13.15430467</v>
      </c>
    </row>
    <row r="498" spans="1:8" ht="15.75" thickBot="1" x14ac:dyDescent="0.3">
      <c r="A498" s="1">
        <v>2015</v>
      </c>
      <c r="B498" s="1" t="s">
        <v>14</v>
      </c>
      <c r="C498" s="1" t="s">
        <v>28</v>
      </c>
      <c r="D498" s="1" t="s">
        <v>24</v>
      </c>
      <c r="E498" s="1">
        <v>42034247.799999997</v>
      </c>
      <c r="F498" s="1">
        <v>1375936.37</v>
      </c>
      <c r="G498" s="1">
        <v>193116</v>
      </c>
      <c r="H498" s="1">
        <v>217.6632066</v>
      </c>
    </row>
    <row r="499" spans="1:8" ht="15.75" thickBot="1" x14ac:dyDescent="0.3">
      <c r="A499" s="1">
        <v>2017</v>
      </c>
      <c r="B499" s="1" t="s">
        <v>11</v>
      </c>
      <c r="C499" s="1" t="s">
        <v>18</v>
      </c>
      <c r="D499" s="1" t="s">
        <v>10</v>
      </c>
      <c r="E499" s="1">
        <v>41172814.880000003</v>
      </c>
      <c r="F499" s="1">
        <v>978884.9</v>
      </c>
      <c r="G499" s="1">
        <v>689935</v>
      </c>
      <c r="H499" s="1">
        <v>59.676367890000002</v>
      </c>
    </row>
    <row r="500" spans="1:8" ht="15.75" thickBot="1" x14ac:dyDescent="0.3">
      <c r="A500" s="1">
        <v>2017</v>
      </c>
      <c r="B500" s="1" t="s">
        <v>8</v>
      </c>
      <c r="C500" s="1" t="s">
        <v>28</v>
      </c>
      <c r="D500" s="1" t="s">
        <v>10</v>
      </c>
      <c r="E500" s="1">
        <v>357.75</v>
      </c>
      <c r="F500" s="1">
        <v>12.48</v>
      </c>
      <c r="G500" s="1">
        <v>7</v>
      </c>
      <c r="H500" s="1">
        <v>51.107142860000003</v>
      </c>
    </row>
    <row r="501" spans="1:8" ht="15.75" thickBot="1" x14ac:dyDescent="0.3">
      <c r="A501" s="1">
        <v>2014</v>
      </c>
      <c r="B501" s="1" t="s">
        <v>12</v>
      </c>
      <c r="C501" s="1" t="s">
        <v>23</v>
      </c>
      <c r="D501" s="1" t="s">
        <v>13</v>
      </c>
      <c r="E501" s="1">
        <v>1823.62</v>
      </c>
      <c r="F501" s="1">
        <v>63.65</v>
      </c>
      <c r="G501" s="1">
        <v>118</v>
      </c>
      <c r="H501" s="1">
        <v>15.454406779999999</v>
      </c>
    </row>
    <row r="502" spans="1:8" ht="15.75" thickBot="1" x14ac:dyDescent="0.3">
      <c r="A502" s="1">
        <v>2016</v>
      </c>
      <c r="B502" s="1" t="s">
        <v>11</v>
      </c>
      <c r="C502" s="1" t="s">
        <v>18</v>
      </c>
      <c r="D502" s="1" t="s">
        <v>13</v>
      </c>
      <c r="E502" s="1">
        <v>241422.62</v>
      </c>
      <c r="F502" s="1">
        <v>7895.15</v>
      </c>
      <c r="G502" s="1">
        <v>39303</v>
      </c>
      <c r="H502" s="1">
        <v>6.1426003099999997</v>
      </c>
    </row>
    <row r="503" spans="1:8" ht="15.75" thickBot="1" x14ac:dyDescent="0.3">
      <c r="A503" s="1">
        <v>2014</v>
      </c>
      <c r="B503" s="1" t="s">
        <v>35</v>
      </c>
      <c r="C503" s="1" t="s">
        <v>9</v>
      </c>
      <c r="D503" s="1" t="s">
        <v>32</v>
      </c>
      <c r="E503" s="1">
        <v>2962.92</v>
      </c>
      <c r="F503" s="1">
        <v>238.19</v>
      </c>
      <c r="G503" s="1">
        <v>875</v>
      </c>
      <c r="H503" s="1">
        <v>3.3861942859999998</v>
      </c>
    </row>
    <row r="504" spans="1:8" ht="15.75" thickBot="1" x14ac:dyDescent="0.3">
      <c r="A504" s="1">
        <v>2017</v>
      </c>
      <c r="B504" s="1" t="s">
        <v>16</v>
      </c>
      <c r="C504" s="1" t="s">
        <v>9</v>
      </c>
      <c r="D504" s="1" t="s">
        <v>34</v>
      </c>
      <c r="E504" s="1">
        <v>8498.41</v>
      </c>
      <c r="F504" s="1">
        <v>268.75</v>
      </c>
      <c r="G504" s="1">
        <v>136</v>
      </c>
      <c r="H504" s="1">
        <v>62.48830882</v>
      </c>
    </row>
    <row r="505" spans="1:8" ht="15.75" thickBot="1" x14ac:dyDescent="0.3">
      <c r="A505" s="1">
        <v>2017</v>
      </c>
      <c r="B505" s="1" t="s">
        <v>12</v>
      </c>
      <c r="C505" s="1" t="s">
        <v>18</v>
      </c>
      <c r="D505" s="1" t="s">
        <v>10</v>
      </c>
      <c r="E505" s="1">
        <v>910970.35</v>
      </c>
      <c r="F505" s="1">
        <v>29716.36</v>
      </c>
      <c r="G505" s="1">
        <v>16407</v>
      </c>
      <c r="H505" s="1">
        <v>55.523273600000003</v>
      </c>
    </row>
    <row r="506" spans="1:8" ht="15.75" thickBot="1" x14ac:dyDescent="0.3">
      <c r="A506" s="1">
        <v>2016</v>
      </c>
      <c r="B506" s="1" t="s">
        <v>35</v>
      </c>
      <c r="C506" s="1" t="s">
        <v>9</v>
      </c>
      <c r="D506" s="1" t="s">
        <v>13</v>
      </c>
      <c r="E506" s="1">
        <v>-1</v>
      </c>
      <c r="F506" s="1">
        <v>0</v>
      </c>
      <c r="G506" s="1">
        <v>6</v>
      </c>
      <c r="H506" s="1">
        <v>-0.16666666669999999</v>
      </c>
    </row>
    <row r="507" spans="1:8" ht="15.75" thickBot="1" x14ac:dyDescent="0.3">
      <c r="A507" s="1">
        <v>2014</v>
      </c>
      <c r="B507" s="1" t="s">
        <v>11</v>
      </c>
      <c r="C507" s="1" t="s">
        <v>26</v>
      </c>
      <c r="D507" s="1" t="s">
        <v>22</v>
      </c>
      <c r="E507" s="1">
        <v>17821364.25</v>
      </c>
      <c r="F507" s="1">
        <v>522750.54</v>
      </c>
      <c r="G507" s="1">
        <v>1321806</v>
      </c>
      <c r="H507" s="1">
        <v>13.48258689</v>
      </c>
    </row>
    <row r="508" spans="1:8" ht="15.75" thickBot="1" x14ac:dyDescent="0.3">
      <c r="A508" s="1">
        <v>2014</v>
      </c>
      <c r="B508" s="1" t="s">
        <v>20</v>
      </c>
      <c r="C508" s="1" t="s">
        <v>12</v>
      </c>
      <c r="D508" s="1" t="s">
        <v>27</v>
      </c>
      <c r="E508" s="1">
        <v>6118448.6299999999</v>
      </c>
      <c r="F508" s="1">
        <v>245560.79</v>
      </c>
      <c r="G508" s="1">
        <v>201159</v>
      </c>
      <c r="H508" s="1">
        <v>30.415982530000001</v>
      </c>
    </row>
    <row r="509" spans="1:8" ht="15.75" thickBot="1" x14ac:dyDescent="0.3">
      <c r="A509" s="1">
        <v>2014</v>
      </c>
      <c r="B509" s="1" t="s">
        <v>11</v>
      </c>
      <c r="C509" s="1" t="s">
        <v>33</v>
      </c>
      <c r="D509" s="1" t="s">
        <v>13</v>
      </c>
      <c r="E509" s="1">
        <v>12017.16</v>
      </c>
      <c r="F509" s="1">
        <v>306.39999999999998</v>
      </c>
      <c r="G509" s="1">
        <v>214</v>
      </c>
      <c r="H509" s="1">
        <v>56.15495327</v>
      </c>
    </row>
    <row r="510" spans="1:8" ht="15.75" thickBot="1" x14ac:dyDescent="0.3">
      <c r="A510" s="1">
        <v>2015</v>
      </c>
      <c r="B510" s="1" t="s">
        <v>16</v>
      </c>
      <c r="C510" s="1" t="s">
        <v>21</v>
      </c>
      <c r="D510" s="1" t="s">
        <v>22</v>
      </c>
      <c r="E510" s="1">
        <v>245633.41</v>
      </c>
      <c r="F510" s="1">
        <v>7334.25</v>
      </c>
      <c r="G510" s="1">
        <v>13819</v>
      </c>
      <c r="H510" s="1">
        <v>17.77504957</v>
      </c>
    </row>
    <row r="511" spans="1:8" ht="15.75" thickBot="1" x14ac:dyDescent="0.3">
      <c r="A511" s="1">
        <v>2015</v>
      </c>
      <c r="B511" s="1" t="s">
        <v>14</v>
      </c>
      <c r="C511" s="1" t="s">
        <v>28</v>
      </c>
      <c r="D511" s="1" t="s">
        <v>36</v>
      </c>
      <c r="E511" s="1">
        <v>42082132.950000003</v>
      </c>
      <c r="F511" s="1">
        <v>199841.27</v>
      </c>
      <c r="G511" s="1">
        <v>556047</v>
      </c>
      <c r="H511" s="1">
        <v>75.680891990000006</v>
      </c>
    </row>
    <row r="512" spans="1:8" ht="15.75" thickBot="1" x14ac:dyDescent="0.3">
      <c r="A512" s="1">
        <v>2016</v>
      </c>
      <c r="B512" s="1" t="s">
        <v>14</v>
      </c>
      <c r="C512" s="1" t="s">
        <v>9</v>
      </c>
      <c r="D512" s="1" t="s">
        <v>24</v>
      </c>
      <c r="E512" s="1">
        <v>31217165.510000002</v>
      </c>
      <c r="F512" s="1">
        <v>985393.9</v>
      </c>
      <c r="G512" s="1">
        <v>115848</v>
      </c>
      <c r="H512" s="1">
        <v>269.46658989999997</v>
      </c>
    </row>
    <row r="513" spans="1:8" ht="15.75" thickBot="1" x14ac:dyDescent="0.3">
      <c r="A513" s="1">
        <v>2015</v>
      </c>
      <c r="B513" s="1" t="s">
        <v>20</v>
      </c>
      <c r="C513" s="1" t="s">
        <v>25</v>
      </c>
      <c r="D513" s="1" t="s">
        <v>29</v>
      </c>
      <c r="E513" s="1">
        <v>480296.56</v>
      </c>
      <c r="F513" s="1">
        <v>17144.23</v>
      </c>
      <c r="G513" s="1">
        <v>5899</v>
      </c>
      <c r="H513" s="1">
        <v>81.419996609999998</v>
      </c>
    </row>
    <row r="514" spans="1:8" ht="15.75" thickBot="1" x14ac:dyDescent="0.3">
      <c r="A514" s="1">
        <v>2017</v>
      </c>
      <c r="B514" s="1" t="s">
        <v>20</v>
      </c>
      <c r="C514" s="1" t="s">
        <v>25</v>
      </c>
      <c r="D514" s="1" t="s">
        <v>29</v>
      </c>
      <c r="E514" s="1">
        <v>720177.97</v>
      </c>
      <c r="F514" s="1">
        <v>25901.32</v>
      </c>
      <c r="G514" s="1">
        <v>8884</v>
      </c>
      <c r="H514" s="1">
        <v>81.064607159999994</v>
      </c>
    </row>
    <row r="515" spans="1:8" ht="15.75" thickBot="1" x14ac:dyDescent="0.3">
      <c r="A515" s="1">
        <v>2016</v>
      </c>
      <c r="B515" s="1" t="s">
        <v>16</v>
      </c>
      <c r="C515" s="1" t="s">
        <v>9</v>
      </c>
      <c r="D515" s="1" t="s">
        <v>22</v>
      </c>
      <c r="E515" s="1">
        <v>19.989999999999998</v>
      </c>
      <c r="F515" s="1">
        <v>0.54</v>
      </c>
      <c r="G515" s="1">
        <v>1</v>
      </c>
      <c r="H515" s="1">
        <v>19.989999999999998</v>
      </c>
    </row>
    <row r="516" spans="1:8" ht="15.75" thickBot="1" x14ac:dyDescent="0.3">
      <c r="A516" s="1">
        <v>2016</v>
      </c>
      <c r="B516" s="1" t="s">
        <v>12</v>
      </c>
      <c r="C516" s="1" t="s">
        <v>25</v>
      </c>
      <c r="D516" s="1" t="s">
        <v>27</v>
      </c>
      <c r="E516" s="1">
        <v>23710955.68</v>
      </c>
      <c r="F516" s="1">
        <v>940490.79</v>
      </c>
      <c r="G516" s="1">
        <v>606619</v>
      </c>
      <c r="H516" s="1">
        <v>39.087064009999999</v>
      </c>
    </row>
    <row r="517" spans="1:8" ht="15.75" thickBot="1" x14ac:dyDescent="0.3">
      <c r="A517" s="1">
        <v>2016</v>
      </c>
      <c r="B517" s="1" t="s">
        <v>35</v>
      </c>
      <c r="C517" s="1" t="s">
        <v>28</v>
      </c>
      <c r="D517" s="1" t="s">
        <v>22</v>
      </c>
      <c r="E517" s="1">
        <v>0</v>
      </c>
      <c r="F517" s="1">
        <v>0</v>
      </c>
      <c r="G517" s="1">
        <v>1</v>
      </c>
      <c r="H517" s="1">
        <v>0</v>
      </c>
    </row>
    <row r="518" spans="1:8" ht="15.75" thickBot="1" x14ac:dyDescent="0.3">
      <c r="A518" s="1">
        <v>2015</v>
      </c>
      <c r="B518" s="1" t="s">
        <v>12</v>
      </c>
      <c r="C518" s="1" t="s">
        <v>15</v>
      </c>
      <c r="D518" s="1" t="s">
        <v>19</v>
      </c>
      <c r="E518" s="1">
        <v>5056688.79</v>
      </c>
      <c r="F518" s="1">
        <v>147517.79999999999</v>
      </c>
      <c r="G518" s="1">
        <v>20002</v>
      </c>
      <c r="H518" s="1">
        <v>252.80915859999999</v>
      </c>
    </row>
    <row r="519" spans="1:8" ht="15.75" thickBot="1" x14ac:dyDescent="0.3">
      <c r="A519" s="1">
        <v>2016</v>
      </c>
      <c r="B519" s="1" t="s">
        <v>8</v>
      </c>
      <c r="C519" s="1" t="s">
        <v>23</v>
      </c>
      <c r="D519" s="1" t="s">
        <v>13</v>
      </c>
      <c r="E519" s="1">
        <v>32.94</v>
      </c>
      <c r="F519" s="1">
        <v>1.86</v>
      </c>
      <c r="G519" s="1">
        <v>3</v>
      </c>
      <c r="H519" s="1">
        <v>10.98</v>
      </c>
    </row>
    <row r="520" spans="1:8" ht="15.75" thickBot="1" x14ac:dyDescent="0.3">
      <c r="A520" s="1">
        <v>2016</v>
      </c>
      <c r="B520" s="1" t="s">
        <v>16</v>
      </c>
      <c r="C520" s="1" t="s">
        <v>33</v>
      </c>
      <c r="D520" s="1" t="s">
        <v>29</v>
      </c>
      <c r="E520" s="1">
        <v>30519771.809999999</v>
      </c>
      <c r="F520" s="1">
        <v>1039270.03</v>
      </c>
      <c r="G520" s="1">
        <v>114718</v>
      </c>
      <c r="H520" s="1">
        <v>266.04170060000001</v>
      </c>
    </row>
    <row r="521" spans="1:8" ht="15.75" thickBot="1" x14ac:dyDescent="0.3">
      <c r="A521" s="1">
        <v>2014</v>
      </c>
      <c r="B521" s="1" t="s">
        <v>35</v>
      </c>
      <c r="C521" s="1" t="s">
        <v>28</v>
      </c>
      <c r="D521" s="1" t="s">
        <v>19</v>
      </c>
      <c r="E521" s="1">
        <v>88586.39</v>
      </c>
      <c r="F521" s="1">
        <v>2720.18</v>
      </c>
      <c r="G521" s="1">
        <v>1727</v>
      </c>
      <c r="H521" s="1">
        <v>51.294956569999997</v>
      </c>
    </row>
    <row r="522" spans="1:8" ht="15.75" thickBot="1" x14ac:dyDescent="0.3">
      <c r="A522" s="1">
        <v>2015</v>
      </c>
      <c r="B522" s="1" t="s">
        <v>35</v>
      </c>
      <c r="C522" s="1" t="s">
        <v>33</v>
      </c>
      <c r="D522" s="1" t="s">
        <v>13</v>
      </c>
      <c r="E522" s="1">
        <v>499.98</v>
      </c>
      <c r="F522" s="1">
        <v>14.8</v>
      </c>
      <c r="G522" s="1">
        <v>14</v>
      </c>
      <c r="H522" s="1">
        <v>35.712857139999997</v>
      </c>
    </row>
    <row r="523" spans="1:8" ht="15.75" thickBot="1" x14ac:dyDescent="0.3">
      <c r="A523" s="1">
        <v>2014</v>
      </c>
      <c r="B523" s="1" t="s">
        <v>20</v>
      </c>
      <c r="C523" s="1" t="s">
        <v>23</v>
      </c>
      <c r="D523" s="1" t="s">
        <v>32</v>
      </c>
      <c r="E523" s="1">
        <v>1057203.2</v>
      </c>
      <c r="F523" s="1">
        <v>47599.74</v>
      </c>
      <c r="G523" s="1">
        <v>54355</v>
      </c>
      <c r="H523" s="1">
        <v>19.449971479999999</v>
      </c>
    </row>
    <row r="524" spans="1:8" ht="15.75" thickBot="1" x14ac:dyDescent="0.3">
      <c r="A524" s="1">
        <v>2014</v>
      </c>
      <c r="B524" s="1" t="s">
        <v>14</v>
      </c>
      <c r="C524" s="1" t="s">
        <v>18</v>
      </c>
      <c r="D524" s="1" t="s">
        <v>32</v>
      </c>
      <c r="E524" s="1">
        <v>15869837.810000001</v>
      </c>
      <c r="F524" s="1">
        <v>577951.73</v>
      </c>
      <c r="G524" s="1">
        <v>288305</v>
      </c>
      <c r="H524" s="1">
        <v>55.045309000000003</v>
      </c>
    </row>
    <row r="525" spans="1:8" ht="15.75" thickBot="1" x14ac:dyDescent="0.3">
      <c r="A525" s="1">
        <v>2014</v>
      </c>
      <c r="B525" s="1" t="s">
        <v>11</v>
      </c>
      <c r="C525" s="1" t="s">
        <v>9</v>
      </c>
      <c r="D525" s="1" t="s">
        <v>24</v>
      </c>
      <c r="E525" s="1">
        <v>19839.97</v>
      </c>
      <c r="F525" s="1">
        <v>491.98</v>
      </c>
      <c r="G525" s="1">
        <v>151</v>
      </c>
      <c r="H525" s="1">
        <v>131.3905298</v>
      </c>
    </row>
    <row r="526" spans="1:8" ht="15.75" thickBot="1" x14ac:dyDescent="0.3">
      <c r="A526" s="1">
        <v>2016</v>
      </c>
      <c r="B526" s="1" t="s">
        <v>12</v>
      </c>
      <c r="C526" s="1" t="s">
        <v>18</v>
      </c>
      <c r="D526" s="1" t="s">
        <v>27</v>
      </c>
      <c r="E526" s="1">
        <v>2554473.7400000002</v>
      </c>
      <c r="F526" s="1">
        <v>90621.37</v>
      </c>
      <c r="G526" s="1">
        <v>37271</v>
      </c>
      <c r="H526" s="1">
        <v>68.537837460000006</v>
      </c>
    </row>
    <row r="527" spans="1:8" ht="15.75" thickBot="1" x14ac:dyDescent="0.3">
      <c r="A527" s="1">
        <v>2016</v>
      </c>
      <c r="B527" s="1" t="s">
        <v>17</v>
      </c>
      <c r="C527" s="1" t="s">
        <v>28</v>
      </c>
      <c r="D527" s="1" t="s">
        <v>29</v>
      </c>
      <c r="E527" s="1">
        <v>83254489.939999998</v>
      </c>
      <c r="F527" s="1">
        <v>2466331.7400000002</v>
      </c>
      <c r="G527" s="1">
        <v>103673</v>
      </c>
      <c r="H527" s="1">
        <v>803.04891280000004</v>
      </c>
    </row>
    <row r="528" spans="1:8" ht="15.75" thickBot="1" x14ac:dyDescent="0.3">
      <c r="A528" s="1">
        <v>2016</v>
      </c>
      <c r="B528" s="1" t="s">
        <v>30</v>
      </c>
      <c r="C528" s="1" t="s">
        <v>33</v>
      </c>
      <c r="D528" s="1" t="s">
        <v>32</v>
      </c>
      <c r="E528" s="1">
        <v>36087904.560000002</v>
      </c>
      <c r="F528" s="1">
        <v>1387467.06</v>
      </c>
      <c r="G528" s="1">
        <v>804250</v>
      </c>
      <c r="H528" s="1">
        <v>44.871500849999997</v>
      </c>
    </row>
    <row r="529" spans="1:8" ht="15.75" thickBot="1" x14ac:dyDescent="0.3">
      <c r="A529" s="1">
        <v>2015</v>
      </c>
      <c r="B529" s="1" t="s">
        <v>8</v>
      </c>
      <c r="C529" s="1" t="s">
        <v>9</v>
      </c>
      <c r="D529" s="1" t="s">
        <v>24</v>
      </c>
      <c r="E529" s="1">
        <v>3050</v>
      </c>
      <c r="F529" s="1">
        <v>88.75</v>
      </c>
      <c r="G529" s="1">
        <v>1</v>
      </c>
      <c r="H529" s="1">
        <v>3050</v>
      </c>
    </row>
    <row r="530" spans="1:8" ht="15.75" thickBot="1" x14ac:dyDescent="0.3">
      <c r="A530" s="1">
        <v>2015</v>
      </c>
      <c r="B530" s="1" t="s">
        <v>17</v>
      </c>
      <c r="C530" s="1" t="s">
        <v>26</v>
      </c>
      <c r="D530" s="1" t="s">
        <v>13</v>
      </c>
      <c r="E530" s="1">
        <v>306140.95</v>
      </c>
      <c r="F530" s="1">
        <v>9908.6299999999992</v>
      </c>
      <c r="G530" s="1">
        <v>6393</v>
      </c>
      <c r="H530" s="1">
        <v>47.886899730000003</v>
      </c>
    </row>
    <row r="531" spans="1:8" ht="15.75" thickBot="1" x14ac:dyDescent="0.3">
      <c r="A531" s="1">
        <v>2016</v>
      </c>
      <c r="B531" s="1" t="s">
        <v>40</v>
      </c>
      <c r="C531" s="1" t="s">
        <v>28</v>
      </c>
      <c r="D531" s="1" t="s">
        <v>13</v>
      </c>
      <c r="E531" s="1">
        <v>1661</v>
      </c>
      <c r="F531" s="1">
        <v>2.08</v>
      </c>
      <c r="G531" s="1">
        <v>15</v>
      </c>
      <c r="H531" s="1">
        <v>110.7333333</v>
      </c>
    </row>
    <row r="532" spans="1:8" ht="15.75" thickBot="1" x14ac:dyDescent="0.3">
      <c r="A532" s="1">
        <v>2014</v>
      </c>
      <c r="B532" s="1" t="s">
        <v>20</v>
      </c>
      <c r="C532" s="1" t="s">
        <v>15</v>
      </c>
      <c r="D532" s="1" t="s">
        <v>31</v>
      </c>
      <c r="E532" s="1">
        <v>18032.89</v>
      </c>
      <c r="F532" s="1">
        <v>735.26</v>
      </c>
      <c r="G532" s="1">
        <v>681</v>
      </c>
      <c r="H532" s="1">
        <v>26.48001468</v>
      </c>
    </row>
    <row r="533" spans="1:8" ht="15.75" thickBot="1" x14ac:dyDescent="0.3">
      <c r="A533" s="1">
        <v>2014</v>
      </c>
      <c r="B533" s="1" t="s">
        <v>40</v>
      </c>
      <c r="C533" s="1" t="s">
        <v>9</v>
      </c>
      <c r="D533" s="1" t="s">
        <v>19</v>
      </c>
      <c r="E533" s="1">
        <v>23135.62</v>
      </c>
      <c r="F533" s="1">
        <v>351.53</v>
      </c>
      <c r="G533" s="1">
        <v>98</v>
      </c>
      <c r="H533" s="1">
        <v>236.07775509999999</v>
      </c>
    </row>
    <row r="534" spans="1:8" ht="15.75" thickBot="1" x14ac:dyDescent="0.3">
      <c r="A534" s="1">
        <v>2017</v>
      </c>
      <c r="B534" s="1" t="s">
        <v>11</v>
      </c>
      <c r="C534" s="1" t="s">
        <v>25</v>
      </c>
      <c r="D534" s="1" t="s">
        <v>24</v>
      </c>
      <c r="E534" s="1">
        <v>11734400.460000001</v>
      </c>
      <c r="F534" s="1">
        <v>364185.86</v>
      </c>
      <c r="G534" s="1">
        <v>43235</v>
      </c>
      <c r="H534" s="1">
        <v>271.4097481</v>
      </c>
    </row>
    <row r="535" spans="1:8" ht="15.75" thickBot="1" x14ac:dyDescent="0.3">
      <c r="A535" s="1">
        <v>2014</v>
      </c>
      <c r="B535" s="1" t="s">
        <v>35</v>
      </c>
      <c r="C535" s="1" t="s">
        <v>12</v>
      </c>
      <c r="D535" s="1" t="s">
        <v>13</v>
      </c>
      <c r="E535" s="1">
        <v>0</v>
      </c>
      <c r="F535" s="1">
        <v>0</v>
      </c>
      <c r="G535" s="1">
        <v>5</v>
      </c>
      <c r="H535" s="1">
        <v>0</v>
      </c>
    </row>
    <row r="536" spans="1:8" ht="15.75" thickBot="1" x14ac:dyDescent="0.3">
      <c r="A536" s="1">
        <v>2017</v>
      </c>
      <c r="B536" s="1" t="s">
        <v>14</v>
      </c>
      <c r="C536" s="1" t="s">
        <v>25</v>
      </c>
      <c r="D536" s="1" t="s">
        <v>34</v>
      </c>
      <c r="E536" s="1">
        <v>573819.73</v>
      </c>
      <c r="F536" s="1">
        <v>24405.360000000001</v>
      </c>
      <c r="G536" s="1">
        <v>23513</v>
      </c>
      <c r="H536" s="1">
        <v>24.404360570000001</v>
      </c>
    </row>
    <row r="537" spans="1:8" ht="15.75" thickBot="1" x14ac:dyDescent="0.3">
      <c r="A537" s="1">
        <v>2017</v>
      </c>
      <c r="B537" s="1" t="s">
        <v>17</v>
      </c>
      <c r="C537" s="1" t="s">
        <v>12</v>
      </c>
      <c r="D537" s="1" t="s">
        <v>29</v>
      </c>
      <c r="E537" s="1">
        <v>9962347.0899999999</v>
      </c>
      <c r="F537" s="1">
        <v>359824.73</v>
      </c>
      <c r="G537" s="1">
        <v>27277</v>
      </c>
      <c r="H537" s="1">
        <v>365.2288408</v>
      </c>
    </row>
    <row r="538" spans="1:8" ht="15.75" thickBot="1" x14ac:dyDescent="0.3">
      <c r="A538" s="1">
        <v>2015</v>
      </c>
      <c r="B538" s="1" t="s">
        <v>14</v>
      </c>
      <c r="C538" s="1" t="s">
        <v>25</v>
      </c>
      <c r="D538" s="1" t="s">
        <v>24</v>
      </c>
      <c r="E538" s="1">
        <v>16138332.98</v>
      </c>
      <c r="F538" s="1">
        <v>581348.73</v>
      </c>
      <c r="G538" s="1">
        <v>140258</v>
      </c>
      <c r="H538" s="1">
        <v>115.0617646</v>
      </c>
    </row>
    <row r="539" spans="1:8" ht="15.75" thickBot="1" x14ac:dyDescent="0.3">
      <c r="A539" s="1">
        <v>2016</v>
      </c>
      <c r="B539" s="1" t="s">
        <v>16</v>
      </c>
      <c r="C539" s="1" t="s">
        <v>18</v>
      </c>
      <c r="D539" s="1" t="s">
        <v>10</v>
      </c>
      <c r="E539" s="1">
        <v>3491833.06</v>
      </c>
      <c r="F539" s="1">
        <v>130014.84</v>
      </c>
      <c r="G539" s="1">
        <v>57100</v>
      </c>
      <c r="H539" s="1">
        <v>61.152943260000001</v>
      </c>
    </row>
    <row r="540" spans="1:8" ht="15.75" thickBot="1" x14ac:dyDescent="0.3">
      <c r="A540" s="1">
        <v>2016</v>
      </c>
      <c r="B540" s="1" t="s">
        <v>11</v>
      </c>
      <c r="C540" s="1" t="s">
        <v>33</v>
      </c>
      <c r="D540" s="1" t="s">
        <v>19</v>
      </c>
      <c r="E540" s="1">
        <v>6886126.3700000001</v>
      </c>
      <c r="F540" s="1">
        <v>227719.57</v>
      </c>
      <c r="G540" s="1">
        <v>48698</v>
      </c>
      <c r="H540" s="1">
        <v>141.40470590000001</v>
      </c>
    </row>
    <row r="541" spans="1:8" ht="15.75" thickBot="1" x14ac:dyDescent="0.3">
      <c r="A541" s="1">
        <v>2015</v>
      </c>
      <c r="B541" s="1" t="s">
        <v>11</v>
      </c>
      <c r="C541" s="1" t="s">
        <v>9</v>
      </c>
      <c r="D541" s="1" t="s">
        <v>29</v>
      </c>
      <c r="E541" s="1">
        <v>1565228.27</v>
      </c>
      <c r="F541" s="1">
        <v>37643.79</v>
      </c>
      <c r="G541" s="1">
        <v>4284</v>
      </c>
      <c r="H541" s="1">
        <v>365.36607609999999</v>
      </c>
    </row>
    <row r="542" spans="1:8" ht="15.75" thickBot="1" x14ac:dyDescent="0.3">
      <c r="A542" s="1">
        <v>2017</v>
      </c>
      <c r="B542" s="1" t="s">
        <v>30</v>
      </c>
      <c r="C542" s="1" t="s">
        <v>33</v>
      </c>
      <c r="D542" s="1" t="s">
        <v>24</v>
      </c>
      <c r="E542" s="1">
        <v>61097620.369999997</v>
      </c>
      <c r="F542" s="1">
        <v>2050895.59</v>
      </c>
      <c r="G542" s="1">
        <v>284749</v>
      </c>
      <c r="H542" s="1">
        <v>214.5665845</v>
      </c>
    </row>
    <row r="543" spans="1:8" ht="15.75" thickBot="1" x14ac:dyDescent="0.3">
      <c r="A543" s="1">
        <v>2017</v>
      </c>
      <c r="B543" s="1" t="s">
        <v>12</v>
      </c>
      <c r="C543" s="1" t="s">
        <v>33</v>
      </c>
      <c r="D543" s="1" t="s">
        <v>22</v>
      </c>
      <c r="E543" s="1">
        <v>882.74</v>
      </c>
      <c r="F543" s="1">
        <v>58.64</v>
      </c>
      <c r="G543" s="1">
        <v>115</v>
      </c>
      <c r="H543" s="1">
        <v>7.6760000000000002</v>
      </c>
    </row>
    <row r="544" spans="1:8" ht="15.75" thickBot="1" x14ac:dyDescent="0.3">
      <c r="A544" s="1">
        <v>2014</v>
      </c>
      <c r="B544" s="1" t="s">
        <v>14</v>
      </c>
      <c r="C544" s="1" t="s">
        <v>28</v>
      </c>
      <c r="D544" s="1" t="s">
        <v>13</v>
      </c>
      <c r="E544" s="1">
        <v>143935.82999999999</v>
      </c>
      <c r="F544" s="1">
        <v>4602.6499999999996</v>
      </c>
      <c r="G544" s="1">
        <v>1493</v>
      </c>
      <c r="H544" s="1">
        <v>96.407119890000004</v>
      </c>
    </row>
    <row r="545" spans="1:8" ht="15.75" thickBot="1" x14ac:dyDescent="0.3">
      <c r="A545" s="1">
        <v>2016</v>
      </c>
      <c r="B545" s="1" t="s">
        <v>20</v>
      </c>
      <c r="C545" s="1" t="s">
        <v>21</v>
      </c>
      <c r="D545" s="1" t="s">
        <v>22</v>
      </c>
      <c r="E545" s="1">
        <v>505.76</v>
      </c>
      <c r="F545" s="1">
        <v>35.549999999999997</v>
      </c>
      <c r="G545" s="1">
        <v>53</v>
      </c>
      <c r="H545" s="1">
        <v>9.5426415089999992</v>
      </c>
    </row>
    <row r="546" spans="1:8" ht="15.75" thickBot="1" x14ac:dyDescent="0.3">
      <c r="A546" s="1">
        <v>2014</v>
      </c>
      <c r="B546" s="1" t="s">
        <v>11</v>
      </c>
      <c r="C546" s="1" t="s">
        <v>23</v>
      </c>
      <c r="D546" s="1" t="s">
        <v>22</v>
      </c>
      <c r="E546" s="1">
        <v>8446137.1699999999</v>
      </c>
      <c r="F546" s="1">
        <v>255605.87</v>
      </c>
      <c r="G546" s="1">
        <v>519775</v>
      </c>
      <c r="H546" s="1">
        <v>16.24960256</v>
      </c>
    </row>
    <row r="547" spans="1:8" ht="15.75" thickBot="1" x14ac:dyDescent="0.3">
      <c r="A547" s="1">
        <v>2014</v>
      </c>
      <c r="B547" s="1" t="s">
        <v>16</v>
      </c>
      <c r="C547" s="1" t="s">
        <v>9</v>
      </c>
      <c r="D547" s="1" t="s">
        <v>27</v>
      </c>
      <c r="E547" s="1">
        <v>969423.49</v>
      </c>
      <c r="F547" s="1">
        <v>36205.660000000003</v>
      </c>
      <c r="G547" s="1">
        <v>62232</v>
      </c>
      <c r="H547" s="1">
        <v>15.57757247</v>
      </c>
    </row>
    <row r="548" spans="1:8" ht="15.75" thickBot="1" x14ac:dyDescent="0.3">
      <c r="A548" s="1">
        <v>2016</v>
      </c>
      <c r="B548" s="1" t="s">
        <v>17</v>
      </c>
      <c r="C548" s="1" t="s">
        <v>18</v>
      </c>
      <c r="D548" s="1" t="s">
        <v>31</v>
      </c>
      <c r="E548" s="1">
        <v>2893186.01</v>
      </c>
      <c r="F548" s="1">
        <v>100000.47</v>
      </c>
      <c r="G548" s="1">
        <v>48806</v>
      </c>
      <c r="H548" s="1">
        <v>59.279310129999999</v>
      </c>
    </row>
    <row r="549" spans="1:8" ht="15.75" thickBot="1" x14ac:dyDescent="0.3">
      <c r="A549" s="1">
        <v>2016</v>
      </c>
      <c r="B549" s="1" t="s">
        <v>20</v>
      </c>
      <c r="C549" s="1" t="s">
        <v>28</v>
      </c>
      <c r="D549" s="1" t="s">
        <v>27</v>
      </c>
      <c r="E549" s="1">
        <v>7236788.1799999997</v>
      </c>
      <c r="F549" s="1">
        <v>251234</v>
      </c>
      <c r="G549" s="1">
        <v>199195</v>
      </c>
      <c r="H549" s="1">
        <v>36.330169830000003</v>
      </c>
    </row>
    <row r="550" spans="1:8" ht="15.75" thickBot="1" x14ac:dyDescent="0.3">
      <c r="A550" s="1">
        <v>2014</v>
      </c>
      <c r="B550" s="1" t="s">
        <v>30</v>
      </c>
      <c r="C550" s="1" t="s">
        <v>23</v>
      </c>
      <c r="D550" s="1" t="s">
        <v>32</v>
      </c>
      <c r="E550" s="1">
        <v>5047168.6399999997</v>
      </c>
      <c r="F550" s="1">
        <v>208049.26</v>
      </c>
      <c r="G550" s="1">
        <v>153129</v>
      </c>
      <c r="H550" s="1">
        <v>32.960240319999997</v>
      </c>
    </row>
    <row r="551" spans="1:8" ht="15.75" thickBot="1" x14ac:dyDescent="0.3">
      <c r="A551" s="1">
        <v>2016</v>
      </c>
      <c r="B551" s="1" t="s">
        <v>30</v>
      </c>
      <c r="C551" s="1" t="s">
        <v>15</v>
      </c>
      <c r="D551" s="1" t="s">
        <v>19</v>
      </c>
      <c r="E551" s="1">
        <v>157906103</v>
      </c>
      <c r="F551" s="1">
        <v>3928968.12</v>
      </c>
      <c r="G551" s="1">
        <v>970053</v>
      </c>
      <c r="H551" s="1">
        <v>162.78090270000001</v>
      </c>
    </row>
    <row r="552" spans="1:8" ht="15.75" thickBot="1" x14ac:dyDescent="0.3">
      <c r="A552" s="1">
        <v>2016</v>
      </c>
      <c r="B552" s="1" t="s">
        <v>14</v>
      </c>
      <c r="C552" s="1" t="s">
        <v>26</v>
      </c>
      <c r="D552" s="1" t="s">
        <v>10</v>
      </c>
      <c r="E552" s="1">
        <v>4572735.01</v>
      </c>
      <c r="F552" s="1">
        <v>172937.73</v>
      </c>
      <c r="G552" s="1">
        <v>95850</v>
      </c>
      <c r="H552" s="1">
        <v>47.707198849999997</v>
      </c>
    </row>
    <row r="553" spans="1:8" ht="15.75" thickBot="1" x14ac:dyDescent="0.3">
      <c r="A553" s="1">
        <v>2014</v>
      </c>
      <c r="B553" s="1" t="s">
        <v>40</v>
      </c>
      <c r="C553" s="1" t="s">
        <v>9</v>
      </c>
      <c r="D553" s="1" t="s">
        <v>13</v>
      </c>
      <c r="E553" s="1">
        <v>35</v>
      </c>
      <c r="F553" s="1">
        <v>0.88</v>
      </c>
      <c r="G553" s="1">
        <v>3</v>
      </c>
      <c r="H553" s="1">
        <v>11.66666667</v>
      </c>
    </row>
    <row r="554" spans="1:8" ht="15.75" thickBot="1" x14ac:dyDescent="0.3">
      <c r="A554" s="1">
        <v>2014</v>
      </c>
      <c r="B554" s="1" t="s">
        <v>12</v>
      </c>
      <c r="C554" s="1" t="s">
        <v>25</v>
      </c>
      <c r="D554" s="1" t="s">
        <v>19</v>
      </c>
      <c r="E554" s="1">
        <v>5278063.63</v>
      </c>
      <c r="F554" s="1">
        <v>161073.54999999999</v>
      </c>
      <c r="G554" s="1">
        <v>27741</v>
      </c>
      <c r="H554" s="1">
        <v>190.2621978</v>
      </c>
    </row>
    <row r="555" spans="1:8" ht="15.75" thickBot="1" x14ac:dyDescent="0.3">
      <c r="A555" s="1">
        <v>2015</v>
      </c>
      <c r="B555" s="1" t="s">
        <v>12</v>
      </c>
      <c r="C555" s="1" t="s">
        <v>28</v>
      </c>
      <c r="D555" s="1" t="s">
        <v>10</v>
      </c>
      <c r="E555" s="1">
        <v>3017933.56</v>
      </c>
      <c r="F555" s="1">
        <v>74222.600000000006</v>
      </c>
      <c r="G555" s="1">
        <v>32978</v>
      </c>
      <c r="H555" s="1">
        <v>91.513541149999995</v>
      </c>
    </row>
    <row r="556" spans="1:8" ht="15.75" thickBot="1" x14ac:dyDescent="0.3">
      <c r="A556" s="1">
        <v>2014</v>
      </c>
      <c r="B556" s="1" t="s">
        <v>17</v>
      </c>
      <c r="C556" s="1" t="s">
        <v>9</v>
      </c>
      <c r="D556" s="1" t="s">
        <v>19</v>
      </c>
      <c r="E556" s="1">
        <v>260.54000000000002</v>
      </c>
      <c r="F556" s="1">
        <v>11.16</v>
      </c>
      <c r="G556" s="1">
        <v>778</v>
      </c>
      <c r="H556" s="1">
        <v>0.33488431880000002</v>
      </c>
    </row>
    <row r="557" spans="1:8" ht="15.75" thickBot="1" x14ac:dyDescent="0.3">
      <c r="A557" s="1">
        <v>2014</v>
      </c>
      <c r="B557" s="1" t="s">
        <v>12</v>
      </c>
      <c r="C557" s="1" t="s">
        <v>18</v>
      </c>
      <c r="D557" s="1" t="s">
        <v>13</v>
      </c>
      <c r="E557" s="1">
        <v>322</v>
      </c>
      <c r="F557" s="1">
        <v>3.93</v>
      </c>
      <c r="G557" s="1">
        <v>10</v>
      </c>
      <c r="H557" s="1">
        <v>32.200000000000003</v>
      </c>
    </row>
    <row r="558" spans="1:8" ht="15.75" thickBot="1" x14ac:dyDescent="0.3">
      <c r="A558" s="1">
        <v>2015</v>
      </c>
      <c r="B558" s="1" t="s">
        <v>35</v>
      </c>
      <c r="C558" s="1" t="s">
        <v>9</v>
      </c>
      <c r="D558" s="1" t="s">
        <v>24</v>
      </c>
      <c r="E558" s="1">
        <v>1703.75</v>
      </c>
      <c r="F558" s="1">
        <v>64.92</v>
      </c>
      <c r="G558" s="1">
        <v>94</v>
      </c>
      <c r="H558" s="1">
        <v>18.125</v>
      </c>
    </row>
    <row r="559" spans="1:8" ht="15.75" thickBot="1" x14ac:dyDescent="0.3">
      <c r="A559" s="1">
        <v>2015</v>
      </c>
      <c r="B559" s="1" t="s">
        <v>14</v>
      </c>
      <c r="C559" s="1" t="s">
        <v>26</v>
      </c>
      <c r="D559" s="1" t="s">
        <v>29</v>
      </c>
      <c r="E559" s="1">
        <v>6245459.0300000003</v>
      </c>
      <c r="F559" s="1">
        <v>226439.67</v>
      </c>
      <c r="G559" s="1">
        <v>56216</v>
      </c>
      <c r="H559" s="1">
        <v>111.09753499999999</v>
      </c>
    </row>
    <row r="560" spans="1:8" ht="15.75" thickBot="1" x14ac:dyDescent="0.3">
      <c r="A560" s="1">
        <v>2017</v>
      </c>
      <c r="B560" s="1" t="s">
        <v>11</v>
      </c>
      <c r="C560" s="1" t="s">
        <v>28</v>
      </c>
      <c r="D560" s="1" t="s">
        <v>24</v>
      </c>
      <c r="E560" s="1">
        <v>43551591.43</v>
      </c>
      <c r="F560" s="1">
        <v>1190228.06</v>
      </c>
      <c r="G560" s="1">
        <v>44821</v>
      </c>
      <c r="H560" s="1">
        <v>971.67826309999998</v>
      </c>
    </row>
    <row r="561" spans="1:8" ht="15.75" thickBot="1" x14ac:dyDescent="0.3">
      <c r="A561" s="1">
        <v>2014</v>
      </c>
      <c r="B561" s="1" t="s">
        <v>11</v>
      </c>
      <c r="C561" s="1" t="s">
        <v>26</v>
      </c>
      <c r="D561" s="1" t="s">
        <v>19</v>
      </c>
      <c r="E561" s="1">
        <v>5330476.3600000003</v>
      </c>
      <c r="F561" s="1">
        <v>166439.18</v>
      </c>
      <c r="G561" s="1">
        <v>27379</v>
      </c>
      <c r="H561" s="1">
        <v>194.6921495</v>
      </c>
    </row>
    <row r="562" spans="1:8" ht="15.75" thickBot="1" x14ac:dyDescent="0.3">
      <c r="A562" s="1">
        <v>2017</v>
      </c>
      <c r="B562" s="1" t="s">
        <v>17</v>
      </c>
      <c r="C562" s="1" t="s">
        <v>9</v>
      </c>
      <c r="D562" s="1" t="s">
        <v>34</v>
      </c>
      <c r="E562" s="1">
        <v>4108.59</v>
      </c>
      <c r="F562" s="1">
        <v>230.34</v>
      </c>
      <c r="G562" s="1">
        <v>319</v>
      </c>
      <c r="H562" s="1">
        <v>12.879592479999999</v>
      </c>
    </row>
    <row r="563" spans="1:8" ht="15.75" thickBot="1" x14ac:dyDescent="0.3">
      <c r="A563" s="1">
        <v>2014</v>
      </c>
      <c r="B563" s="1" t="s">
        <v>16</v>
      </c>
      <c r="C563" s="1" t="s">
        <v>9</v>
      </c>
      <c r="D563" s="1" t="s">
        <v>37</v>
      </c>
      <c r="E563" s="1">
        <v>453647445.69999999</v>
      </c>
      <c r="F563" s="1">
        <v>13625513.119999999</v>
      </c>
      <c r="G563" s="1">
        <v>1411125</v>
      </c>
      <c r="H563" s="1">
        <v>321.47927770000001</v>
      </c>
    </row>
    <row r="564" spans="1:8" ht="15.75" thickBot="1" x14ac:dyDescent="0.3">
      <c r="A564" s="1">
        <v>2014</v>
      </c>
      <c r="B564" s="1" t="s">
        <v>30</v>
      </c>
      <c r="C564" s="1" t="s">
        <v>12</v>
      </c>
      <c r="D564" s="1" t="s">
        <v>24</v>
      </c>
      <c r="E564" s="1">
        <v>22516442.629999999</v>
      </c>
      <c r="F564" s="1">
        <v>770069.47</v>
      </c>
      <c r="G564" s="1">
        <v>115726</v>
      </c>
      <c r="H564" s="1">
        <v>194.56684440000001</v>
      </c>
    </row>
    <row r="565" spans="1:8" ht="15.75" thickBot="1" x14ac:dyDescent="0.3">
      <c r="A565" s="1">
        <v>2014</v>
      </c>
      <c r="B565" s="1" t="s">
        <v>11</v>
      </c>
      <c r="C565" s="1" t="s">
        <v>9</v>
      </c>
      <c r="D565" s="1" t="s">
        <v>10</v>
      </c>
      <c r="E565" s="1">
        <v>47236.01</v>
      </c>
      <c r="F565" s="1">
        <v>3394.67</v>
      </c>
      <c r="G565" s="1">
        <v>22652</v>
      </c>
      <c r="H565" s="1">
        <v>2.0852909240000002</v>
      </c>
    </row>
    <row r="566" spans="1:8" ht="15.75" thickBot="1" x14ac:dyDescent="0.3">
      <c r="A566" s="1">
        <v>2015</v>
      </c>
      <c r="B566" s="1" t="s">
        <v>30</v>
      </c>
      <c r="C566" s="1" t="s">
        <v>12</v>
      </c>
      <c r="D566" s="1" t="s">
        <v>13</v>
      </c>
      <c r="E566" s="1">
        <v>624793.31000000006</v>
      </c>
      <c r="F566" s="1">
        <v>18577.82</v>
      </c>
      <c r="G566" s="1">
        <v>10949</v>
      </c>
      <c r="H566" s="1">
        <v>57.063961089999999</v>
      </c>
    </row>
    <row r="567" spans="1:8" ht="15.75" thickBot="1" x14ac:dyDescent="0.3">
      <c r="A567" s="1">
        <v>2014</v>
      </c>
      <c r="B567" s="1" t="s">
        <v>14</v>
      </c>
      <c r="C567" s="1" t="s">
        <v>28</v>
      </c>
      <c r="D567" s="1" t="s">
        <v>22</v>
      </c>
      <c r="E567" s="1">
        <v>22900.27</v>
      </c>
      <c r="F567" s="1">
        <v>977.13</v>
      </c>
      <c r="G567" s="1">
        <v>27745</v>
      </c>
      <c r="H567" s="1">
        <v>0.82538367270000002</v>
      </c>
    </row>
    <row r="568" spans="1:8" ht="15.75" thickBot="1" x14ac:dyDescent="0.3">
      <c r="A568" s="1">
        <v>2017</v>
      </c>
      <c r="B568" s="1" t="s">
        <v>8</v>
      </c>
      <c r="C568" s="1" t="s">
        <v>15</v>
      </c>
      <c r="D568" s="1" t="s">
        <v>27</v>
      </c>
      <c r="E568" s="1">
        <v>3985.36</v>
      </c>
      <c r="F568" s="1">
        <v>140.75</v>
      </c>
      <c r="G568" s="1">
        <v>79</v>
      </c>
      <c r="H568" s="1">
        <v>50.447594940000002</v>
      </c>
    </row>
    <row r="569" spans="1:8" ht="15.75" thickBot="1" x14ac:dyDescent="0.3">
      <c r="A569" s="1">
        <v>2016</v>
      </c>
      <c r="B569" s="1" t="s">
        <v>20</v>
      </c>
      <c r="C569" s="1" t="s">
        <v>23</v>
      </c>
      <c r="D569" s="1" t="s">
        <v>22</v>
      </c>
      <c r="E569" s="1">
        <v>73.540000000000006</v>
      </c>
      <c r="F569" s="1">
        <v>4.4000000000000004</v>
      </c>
      <c r="G569" s="1">
        <v>162</v>
      </c>
      <c r="H569" s="1">
        <v>0.45395061730000003</v>
      </c>
    </row>
    <row r="570" spans="1:8" ht="15.75" thickBot="1" x14ac:dyDescent="0.3">
      <c r="A570" s="1">
        <v>2015</v>
      </c>
      <c r="B570" s="1" t="s">
        <v>14</v>
      </c>
      <c r="C570" s="1" t="s">
        <v>21</v>
      </c>
      <c r="D570" s="1" t="s">
        <v>31</v>
      </c>
      <c r="E570" s="1">
        <v>1362533.01</v>
      </c>
      <c r="F570" s="1">
        <v>53821.13</v>
      </c>
      <c r="G570" s="1">
        <v>35234</v>
      </c>
      <c r="H570" s="1">
        <v>38.6709715</v>
      </c>
    </row>
    <row r="571" spans="1:8" ht="15.75" thickBot="1" x14ac:dyDescent="0.3">
      <c r="A571" s="1">
        <v>2014</v>
      </c>
      <c r="B571" s="1" t="s">
        <v>8</v>
      </c>
      <c r="C571" s="1" t="s">
        <v>23</v>
      </c>
      <c r="D571" s="1" t="s">
        <v>27</v>
      </c>
      <c r="E571" s="1">
        <v>9169.82</v>
      </c>
      <c r="F571" s="1">
        <v>323.45</v>
      </c>
      <c r="G571" s="1">
        <v>188</v>
      </c>
      <c r="H571" s="1">
        <v>48.775638299999997</v>
      </c>
    </row>
    <row r="572" spans="1:8" ht="15.75" thickBot="1" x14ac:dyDescent="0.3">
      <c r="A572" s="1">
        <v>2015</v>
      </c>
      <c r="B572" s="1" t="s">
        <v>16</v>
      </c>
      <c r="C572" s="1" t="s">
        <v>33</v>
      </c>
      <c r="D572" s="1" t="s">
        <v>32</v>
      </c>
      <c r="E572" s="1">
        <v>174744313.69999999</v>
      </c>
      <c r="F572" s="1">
        <v>6537145.5300000003</v>
      </c>
      <c r="G572" s="1">
        <v>3035077</v>
      </c>
      <c r="H572" s="1">
        <v>57.57491941</v>
      </c>
    </row>
    <row r="573" spans="1:8" ht="15.75" thickBot="1" x14ac:dyDescent="0.3">
      <c r="A573" s="1">
        <v>2017</v>
      </c>
      <c r="B573" s="1" t="s">
        <v>16</v>
      </c>
      <c r="C573" s="1" t="s">
        <v>26</v>
      </c>
      <c r="D573" s="1" t="s">
        <v>31</v>
      </c>
      <c r="E573" s="1">
        <v>7080906.1299999999</v>
      </c>
      <c r="F573" s="1">
        <v>260750.02</v>
      </c>
      <c r="G573" s="1">
        <v>150901</v>
      </c>
      <c r="H573" s="1">
        <v>46.924182940000001</v>
      </c>
    </row>
    <row r="574" spans="1:8" ht="15.75" thickBot="1" x14ac:dyDescent="0.3">
      <c r="A574" s="1">
        <v>2015</v>
      </c>
      <c r="B574" s="1" t="s">
        <v>20</v>
      </c>
      <c r="C574" s="1" t="s">
        <v>25</v>
      </c>
      <c r="D574" s="1" t="s">
        <v>13</v>
      </c>
      <c r="E574" s="1">
        <v>21763.62</v>
      </c>
      <c r="F574" s="1">
        <v>816.35</v>
      </c>
      <c r="G574" s="1">
        <v>523</v>
      </c>
      <c r="H574" s="1">
        <v>41.613040150000003</v>
      </c>
    </row>
    <row r="575" spans="1:8" ht="15.75" thickBot="1" x14ac:dyDescent="0.3">
      <c r="A575" s="1">
        <v>2014</v>
      </c>
      <c r="B575" s="1" t="s">
        <v>11</v>
      </c>
      <c r="C575" s="1" t="s">
        <v>15</v>
      </c>
      <c r="D575" s="1" t="s">
        <v>29</v>
      </c>
      <c r="E575" s="1">
        <v>525066.31000000006</v>
      </c>
      <c r="F575" s="1">
        <v>15016.19</v>
      </c>
      <c r="G575" s="1">
        <v>1048</v>
      </c>
      <c r="H575" s="1">
        <v>501.01747139999998</v>
      </c>
    </row>
    <row r="576" spans="1:8" ht="15.75" thickBot="1" x14ac:dyDescent="0.3">
      <c r="A576" s="1">
        <v>2017</v>
      </c>
      <c r="B576" s="1" t="s">
        <v>8</v>
      </c>
      <c r="C576" s="1" t="s">
        <v>26</v>
      </c>
      <c r="D576" s="1" t="s">
        <v>24</v>
      </c>
      <c r="E576" s="1">
        <v>104</v>
      </c>
      <c r="F576" s="1">
        <v>3.92</v>
      </c>
      <c r="G576" s="1">
        <v>3</v>
      </c>
      <c r="H576" s="1">
        <v>34.666666669999998</v>
      </c>
    </row>
    <row r="577" spans="1:8" ht="15.75" thickBot="1" x14ac:dyDescent="0.3">
      <c r="A577" s="1">
        <v>2017</v>
      </c>
      <c r="B577" s="1" t="s">
        <v>20</v>
      </c>
      <c r="C577" s="1" t="s">
        <v>23</v>
      </c>
      <c r="D577" s="1" t="s">
        <v>31</v>
      </c>
      <c r="E577" s="1">
        <v>22395.03</v>
      </c>
      <c r="F577" s="1">
        <v>991.3</v>
      </c>
      <c r="G577" s="1">
        <v>890</v>
      </c>
      <c r="H577" s="1">
        <v>25.162955060000002</v>
      </c>
    </row>
    <row r="578" spans="1:8" ht="15.75" thickBot="1" x14ac:dyDescent="0.3">
      <c r="A578" s="1">
        <v>2015</v>
      </c>
      <c r="B578" s="1" t="s">
        <v>35</v>
      </c>
      <c r="C578" s="1" t="s">
        <v>9</v>
      </c>
      <c r="D578" s="1" t="s">
        <v>37</v>
      </c>
      <c r="E578" s="1">
        <v>3497.1</v>
      </c>
      <c r="F578" s="1">
        <v>111.43</v>
      </c>
      <c r="G578" s="1">
        <v>110</v>
      </c>
      <c r="H578" s="1">
        <v>31.79181818</v>
      </c>
    </row>
    <row r="579" spans="1:8" ht="15.75" thickBot="1" x14ac:dyDescent="0.3">
      <c r="A579" s="1">
        <v>2014</v>
      </c>
      <c r="B579" s="1" t="s">
        <v>20</v>
      </c>
      <c r="C579" s="1" t="s">
        <v>25</v>
      </c>
      <c r="D579" s="1" t="s">
        <v>32</v>
      </c>
      <c r="E579" s="1">
        <v>3018320.05</v>
      </c>
      <c r="F579" s="1">
        <v>129686.8</v>
      </c>
      <c r="G579" s="1">
        <v>121803</v>
      </c>
      <c r="H579" s="1">
        <v>24.780342439999998</v>
      </c>
    </row>
    <row r="580" spans="1:8" ht="15.75" thickBot="1" x14ac:dyDescent="0.3">
      <c r="A580" s="1">
        <v>2015</v>
      </c>
      <c r="B580" s="1" t="s">
        <v>8</v>
      </c>
      <c r="C580" s="1" t="s">
        <v>28</v>
      </c>
      <c r="D580" s="1" t="s">
        <v>29</v>
      </c>
      <c r="E580" s="1">
        <v>180</v>
      </c>
      <c r="F580" s="1">
        <v>5.82</v>
      </c>
      <c r="G580" s="1">
        <v>2</v>
      </c>
      <c r="H580" s="1">
        <v>90</v>
      </c>
    </row>
    <row r="581" spans="1:8" ht="15.75" thickBot="1" x14ac:dyDescent="0.3">
      <c r="A581" s="1">
        <v>2014</v>
      </c>
      <c r="B581" s="1" t="s">
        <v>40</v>
      </c>
      <c r="C581" s="1" t="s">
        <v>26</v>
      </c>
      <c r="D581" s="1" t="s">
        <v>27</v>
      </c>
      <c r="E581" s="1">
        <v>83321.66</v>
      </c>
      <c r="F581" s="1">
        <v>2318.4299999999998</v>
      </c>
      <c r="G581" s="1">
        <v>1267</v>
      </c>
      <c r="H581" s="1">
        <v>65.762951849999993</v>
      </c>
    </row>
    <row r="582" spans="1:8" ht="15.75" thickBot="1" x14ac:dyDescent="0.3">
      <c r="A582" s="1">
        <v>2016</v>
      </c>
      <c r="B582" s="1" t="s">
        <v>12</v>
      </c>
      <c r="C582" s="1" t="s">
        <v>28</v>
      </c>
      <c r="D582" s="1" t="s">
        <v>24</v>
      </c>
      <c r="E582" s="1">
        <v>7956501.9699999997</v>
      </c>
      <c r="F582" s="1">
        <v>235692.43</v>
      </c>
      <c r="G582" s="1">
        <v>12714</v>
      </c>
      <c r="H582" s="1">
        <v>625.80635280000001</v>
      </c>
    </row>
    <row r="583" spans="1:8" ht="15.75" thickBot="1" x14ac:dyDescent="0.3">
      <c r="A583" s="1">
        <v>2016</v>
      </c>
      <c r="B583" s="1" t="s">
        <v>11</v>
      </c>
      <c r="C583" s="1" t="s">
        <v>9</v>
      </c>
      <c r="D583" s="1" t="s">
        <v>31</v>
      </c>
      <c r="E583" s="1">
        <v>29757.93</v>
      </c>
      <c r="F583" s="1">
        <v>781.83</v>
      </c>
      <c r="G583" s="1">
        <v>10030</v>
      </c>
      <c r="H583" s="1">
        <v>2.9668923230000002</v>
      </c>
    </row>
    <row r="584" spans="1:8" ht="15.75" thickBot="1" x14ac:dyDescent="0.3">
      <c r="A584" s="1">
        <v>2016</v>
      </c>
      <c r="B584" s="1" t="s">
        <v>20</v>
      </c>
      <c r="C584" s="1" t="s">
        <v>26</v>
      </c>
      <c r="D584" s="1" t="s">
        <v>22</v>
      </c>
      <c r="E584" s="1">
        <v>195.27</v>
      </c>
      <c r="F584" s="1">
        <v>12.72</v>
      </c>
      <c r="G584" s="1">
        <v>18</v>
      </c>
      <c r="H584" s="1">
        <v>10.848333330000001</v>
      </c>
    </row>
    <row r="585" spans="1:8" ht="15.75" thickBot="1" x14ac:dyDescent="0.3">
      <c r="A585" s="1">
        <v>2015</v>
      </c>
      <c r="B585" s="1" t="s">
        <v>30</v>
      </c>
      <c r="C585" s="1" t="s">
        <v>9</v>
      </c>
      <c r="D585" s="1" t="s">
        <v>31</v>
      </c>
      <c r="E585" s="1">
        <v>24.94</v>
      </c>
      <c r="F585" s="1">
        <v>1.32</v>
      </c>
      <c r="G585" s="1">
        <v>2</v>
      </c>
      <c r="H585" s="1">
        <v>12.47</v>
      </c>
    </row>
    <row r="586" spans="1:8" ht="15.75" thickBot="1" x14ac:dyDescent="0.3">
      <c r="A586" s="1">
        <v>2014</v>
      </c>
      <c r="B586" s="1" t="s">
        <v>14</v>
      </c>
      <c r="C586" s="1" t="s">
        <v>25</v>
      </c>
      <c r="D586" s="1" t="s">
        <v>24</v>
      </c>
      <c r="E586" s="1">
        <v>13777099.67</v>
      </c>
      <c r="F586" s="1">
        <v>493259.13</v>
      </c>
      <c r="G586" s="1">
        <v>131210</v>
      </c>
      <c r="H586" s="1">
        <v>105.0003786</v>
      </c>
    </row>
    <row r="587" spans="1:8" ht="15.75" thickBot="1" x14ac:dyDescent="0.3">
      <c r="A587" s="1">
        <v>2014</v>
      </c>
      <c r="B587" s="1" t="s">
        <v>17</v>
      </c>
      <c r="C587" s="1" t="s">
        <v>33</v>
      </c>
      <c r="D587" s="1" t="s">
        <v>32</v>
      </c>
      <c r="E587" s="1">
        <v>140732074.59999999</v>
      </c>
      <c r="F587" s="1">
        <v>5084075.62</v>
      </c>
      <c r="G587" s="1">
        <v>2754848</v>
      </c>
      <c r="H587" s="1">
        <v>51.08524121</v>
      </c>
    </row>
    <row r="588" spans="1:8" ht="15.75" thickBot="1" x14ac:dyDescent="0.3">
      <c r="A588" s="1">
        <v>2017</v>
      </c>
      <c r="B588" s="1" t="s">
        <v>11</v>
      </c>
      <c r="C588" s="1" t="s">
        <v>18</v>
      </c>
      <c r="D588" s="1" t="s">
        <v>13</v>
      </c>
      <c r="E588" s="1">
        <v>474107.36</v>
      </c>
      <c r="F588" s="1">
        <v>14990.22</v>
      </c>
      <c r="G588" s="1">
        <v>70460</v>
      </c>
      <c r="H588" s="1">
        <v>6.7287448200000002</v>
      </c>
    </row>
    <row r="589" spans="1:8" ht="15.75" thickBot="1" x14ac:dyDescent="0.3">
      <c r="A589" s="1">
        <v>2016</v>
      </c>
      <c r="B589" s="1" t="s">
        <v>16</v>
      </c>
      <c r="C589" s="1" t="s">
        <v>23</v>
      </c>
      <c r="D589" s="1" t="s">
        <v>32</v>
      </c>
      <c r="E589" s="1">
        <v>50179293.5</v>
      </c>
      <c r="F589" s="1">
        <v>2068352.52</v>
      </c>
      <c r="G589" s="1">
        <v>1225858</v>
      </c>
      <c r="H589" s="1">
        <v>40.934018049999999</v>
      </c>
    </row>
    <row r="590" spans="1:8" ht="15.75" thickBot="1" x14ac:dyDescent="0.3">
      <c r="A590" s="1">
        <v>2016</v>
      </c>
      <c r="B590" s="1" t="s">
        <v>16</v>
      </c>
      <c r="C590" s="1" t="s">
        <v>15</v>
      </c>
      <c r="D590" s="1" t="s">
        <v>24</v>
      </c>
      <c r="E590" s="1">
        <v>30951173.75</v>
      </c>
      <c r="F590" s="1">
        <v>1051908.7</v>
      </c>
      <c r="G590" s="1">
        <v>105635</v>
      </c>
      <c r="H590" s="1">
        <v>293.00112419999999</v>
      </c>
    </row>
    <row r="591" spans="1:8" ht="15.75" thickBot="1" x14ac:dyDescent="0.3">
      <c r="A591" s="1">
        <v>2017</v>
      </c>
      <c r="B591" s="1" t="s">
        <v>11</v>
      </c>
      <c r="C591" s="1" t="s">
        <v>23</v>
      </c>
      <c r="D591" s="1" t="s">
        <v>10</v>
      </c>
      <c r="E591" s="1">
        <v>330810964.80000001</v>
      </c>
      <c r="F591" s="1">
        <v>8421272.1400000006</v>
      </c>
      <c r="G591" s="1">
        <v>8387209</v>
      </c>
      <c r="H591" s="1">
        <v>39.442318030000003</v>
      </c>
    </row>
    <row r="592" spans="1:8" ht="15.75" thickBot="1" x14ac:dyDescent="0.3">
      <c r="A592" s="1">
        <v>2017</v>
      </c>
      <c r="B592" s="1" t="s">
        <v>8</v>
      </c>
      <c r="C592" s="1" t="s">
        <v>26</v>
      </c>
      <c r="D592" s="1" t="s">
        <v>13</v>
      </c>
      <c r="E592" s="1">
        <v>187.52</v>
      </c>
      <c r="F592" s="1">
        <v>5.98</v>
      </c>
      <c r="G592" s="1">
        <v>12</v>
      </c>
      <c r="H592" s="1">
        <v>15.626666670000001</v>
      </c>
    </row>
    <row r="593" spans="1:8" ht="15.75" thickBot="1" x14ac:dyDescent="0.3">
      <c r="A593" s="1">
        <v>2016</v>
      </c>
      <c r="B593" s="1" t="s">
        <v>12</v>
      </c>
      <c r="C593" s="1" t="s">
        <v>9</v>
      </c>
      <c r="D593" s="1" t="s">
        <v>19</v>
      </c>
      <c r="E593" s="1">
        <v>10085.57</v>
      </c>
      <c r="F593" s="1">
        <v>299.24</v>
      </c>
      <c r="G593" s="1">
        <v>1310</v>
      </c>
      <c r="H593" s="1">
        <v>7.6989083970000003</v>
      </c>
    </row>
    <row r="594" spans="1:8" ht="15.75" thickBot="1" x14ac:dyDescent="0.3">
      <c r="A594" s="1">
        <v>2015</v>
      </c>
      <c r="B594" s="1" t="s">
        <v>35</v>
      </c>
      <c r="C594" s="1" t="s">
        <v>26</v>
      </c>
      <c r="D594" s="1" t="s">
        <v>32</v>
      </c>
      <c r="E594" s="1">
        <v>3954.94</v>
      </c>
      <c r="F594" s="1">
        <v>185.84</v>
      </c>
      <c r="G594" s="1">
        <v>306</v>
      </c>
      <c r="H594" s="1">
        <v>12.924640520000001</v>
      </c>
    </row>
    <row r="595" spans="1:8" ht="15.75" thickBot="1" x14ac:dyDescent="0.3">
      <c r="A595" s="1">
        <v>2017</v>
      </c>
      <c r="B595" s="1" t="s">
        <v>11</v>
      </c>
      <c r="C595" s="1" t="s">
        <v>26</v>
      </c>
      <c r="D595" s="1" t="s">
        <v>34</v>
      </c>
      <c r="E595" s="1">
        <v>1243027.22</v>
      </c>
      <c r="F595" s="1">
        <v>30882.41</v>
      </c>
      <c r="G595" s="1">
        <v>30391</v>
      </c>
      <c r="H595" s="1">
        <v>40.901162190000001</v>
      </c>
    </row>
    <row r="596" spans="1:8" ht="15.75" thickBot="1" x14ac:dyDescent="0.3">
      <c r="A596" s="1">
        <v>2016</v>
      </c>
      <c r="B596" s="1" t="s">
        <v>8</v>
      </c>
      <c r="C596" s="1" t="s">
        <v>18</v>
      </c>
      <c r="D596" s="1" t="s">
        <v>24</v>
      </c>
      <c r="E596" s="1">
        <v>638</v>
      </c>
      <c r="F596" s="1">
        <v>19.36</v>
      </c>
      <c r="G596" s="1">
        <v>4</v>
      </c>
      <c r="H596" s="1">
        <v>159.5</v>
      </c>
    </row>
    <row r="597" spans="1:8" ht="15.75" thickBot="1" x14ac:dyDescent="0.3">
      <c r="A597" s="1">
        <v>2014</v>
      </c>
      <c r="B597" s="1" t="s">
        <v>11</v>
      </c>
      <c r="C597" s="1" t="s">
        <v>25</v>
      </c>
      <c r="D597" s="1" t="s">
        <v>27</v>
      </c>
      <c r="E597" s="1">
        <v>271681385</v>
      </c>
      <c r="F597" s="1">
        <v>7546566.0899999999</v>
      </c>
      <c r="G597" s="1">
        <v>3632355</v>
      </c>
      <c r="H597" s="1">
        <v>74.794832830000004</v>
      </c>
    </row>
    <row r="598" spans="1:8" ht="15.75" thickBot="1" x14ac:dyDescent="0.3">
      <c r="A598" s="1">
        <v>2016</v>
      </c>
      <c r="B598" s="1" t="s">
        <v>11</v>
      </c>
      <c r="C598" s="1" t="s">
        <v>18</v>
      </c>
      <c r="D598" s="1" t="s">
        <v>29</v>
      </c>
      <c r="E598" s="1">
        <v>689850.15</v>
      </c>
      <c r="F598" s="1">
        <v>17876.32</v>
      </c>
      <c r="G598" s="1">
        <v>1771</v>
      </c>
      <c r="H598" s="1">
        <v>389.52577639999998</v>
      </c>
    </row>
    <row r="599" spans="1:8" ht="15.75" thickBot="1" x14ac:dyDescent="0.3">
      <c r="A599" s="1">
        <v>2015</v>
      </c>
      <c r="B599" s="1" t="s">
        <v>14</v>
      </c>
      <c r="C599" s="1" t="s">
        <v>26</v>
      </c>
      <c r="D599" s="1" t="s">
        <v>27</v>
      </c>
      <c r="E599" s="1">
        <v>289279902.39999998</v>
      </c>
      <c r="F599" s="1">
        <v>12970959.84</v>
      </c>
      <c r="G599" s="1">
        <v>10950317</v>
      </c>
      <c r="H599" s="1">
        <v>26.41749115</v>
      </c>
    </row>
    <row r="600" spans="1:8" ht="15.75" thickBot="1" x14ac:dyDescent="0.3">
      <c r="A600" s="1">
        <v>2016</v>
      </c>
      <c r="B600" s="1" t="s">
        <v>17</v>
      </c>
      <c r="C600" s="1" t="s">
        <v>9</v>
      </c>
      <c r="D600" s="1" t="s">
        <v>22</v>
      </c>
      <c r="E600" s="1">
        <v>224.57</v>
      </c>
      <c r="F600" s="1">
        <v>5.74</v>
      </c>
      <c r="G600" s="1">
        <v>8</v>
      </c>
      <c r="H600" s="1">
        <v>28.071249999999999</v>
      </c>
    </row>
    <row r="601" spans="1:8" ht="15.75" thickBot="1" x14ac:dyDescent="0.3">
      <c r="A601" s="1">
        <v>2017</v>
      </c>
      <c r="B601" s="1" t="s">
        <v>8</v>
      </c>
      <c r="C601" s="1" t="s">
        <v>23</v>
      </c>
      <c r="D601" s="1" t="s">
        <v>27</v>
      </c>
      <c r="E601" s="1">
        <v>15885.4</v>
      </c>
      <c r="F601" s="1">
        <v>717.87</v>
      </c>
      <c r="G601" s="1">
        <v>764</v>
      </c>
      <c r="H601" s="1">
        <v>20.792408380000001</v>
      </c>
    </row>
    <row r="602" spans="1:8" ht="15.75" thickBot="1" x14ac:dyDescent="0.3">
      <c r="A602" s="1">
        <v>2014</v>
      </c>
      <c r="B602" s="1" t="s">
        <v>17</v>
      </c>
      <c r="C602" s="1" t="s">
        <v>28</v>
      </c>
      <c r="D602" s="1" t="s">
        <v>13</v>
      </c>
      <c r="E602" s="1">
        <v>57775.199999999997</v>
      </c>
      <c r="F602" s="1">
        <v>1704.25</v>
      </c>
      <c r="G602" s="1">
        <v>516</v>
      </c>
      <c r="H602" s="1">
        <v>111.9674419</v>
      </c>
    </row>
    <row r="603" spans="1:8" ht="15.75" thickBot="1" x14ac:dyDescent="0.3">
      <c r="A603" s="1">
        <v>2015</v>
      </c>
      <c r="B603" s="1" t="s">
        <v>12</v>
      </c>
      <c r="C603" s="1" t="s">
        <v>21</v>
      </c>
      <c r="D603" s="1" t="s">
        <v>22</v>
      </c>
      <c r="E603" s="1">
        <v>2001.25</v>
      </c>
      <c r="F603" s="1">
        <v>44.63</v>
      </c>
      <c r="G603" s="1">
        <v>110</v>
      </c>
      <c r="H603" s="1">
        <v>18.19318182</v>
      </c>
    </row>
    <row r="604" spans="1:8" ht="15.75" thickBot="1" x14ac:dyDescent="0.3">
      <c r="A604" s="1">
        <v>2014</v>
      </c>
      <c r="B604" s="1" t="s">
        <v>30</v>
      </c>
      <c r="C604" s="1" t="s">
        <v>25</v>
      </c>
      <c r="D604" s="1" t="s">
        <v>32</v>
      </c>
      <c r="E604" s="1">
        <v>10727852.07</v>
      </c>
      <c r="F604" s="1">
        <v>425866.12</v>
      </c>
      <c r="G604" s="1">
        <v>278072</v>
      </c>
      <c r="H604" s="1">
        <v>38.579404150000002</v>
      </c>
    </row>
    <row r="605" spans="1:8" ht="15.75" thickBot="1" x14ac:dyDescent="0.3">
      <c r="A605" s="1">
        <v>2017</v>
      </c>
      <c r="B605" s="1" t="s">
        <v>20</v>
      </c>
      <c r="C605" s="1" t="s">
        <v>9</v>
      </c>
      <c r="D605" s="1" t="s">
        <v>37</v>
      </c>
      <c r="E605" s="1">
        <v>3140443.32</v>
      </c>
      <c r="F605" s="1">
        <v>111129.23</v>
      </c>
      <c r="G605" s="1">
        <v>46078</v>
      </c>
      <c r="H605" s="1">
        <v>68.154939880000001</v>
      </c>
    </row>
    <row r="606" spans="1:8" ht="15.75" thickBot="1" x14ac:dyDescent="0.3">
      <c r="A606" s="1">
        <v>2017</v>
      </c>
      <c r="B606" s="1" t="s">
        <v>14</v>
      </c>
      <c r="C606" s="1" t="s">
        <v>9</v>
      </c>
      <c r="D606" s="1" t="s">
        <v>29</v>
      </c>
      <c r="E606" s="1">
        <v>49496300.380000003</v>
      </c>
      <c r="F606" s="1">
        <v>1556804.18</v>
      </c>
      <c r="G606" s="1">
        <v>177748</v>
      </c>
      <c r="H606" s="1">
        <v>278.46333220000002</v>
      </c>
    </row>
    <row r="607" spans="1:8" ht="15.75" thickBot="1" x14ac:dyDescent="0.3">
      <c r="A607" s="1">
        <v>2016</v>
      </c>
      <c r="B607" s="1" t="s">
        <v>16</v>
      </c>
      <c r="C607" s="1" t="s">
        <v>25</v>
      </c>
      <c r="D607" s="1" t="s">
        <v>32</v>
      </c>
      <c r="E607" s="1">
        <v>141067034</v>
      </c>
      <c r="F607" s="1">
        <v>5451773.6500000004</v>
      </c>
      <c r="G607" s="1">
        <v>2820144</v>
      </c>
      <c r="H607" s="1">
        <v>50.021216639999999</v>
      </c>
    </row>
    <row r="608" spans="1:8" ht="15.75" thickBot="1" x14ac:dyDescent="0.3">
      <c r="A608" s="1">
        <v>2017</v>
      </c>
      <c r="B608" s="1" t="s">
        <v>11</v>
      </c>
      <c r="C608" s="1" t="s">
        <v>12</v>
      </c>
      <c r="D608" s="1" t="s">
        <v>31</v>
      </c>
      <c r="E608" s="1">
        <v>24336825.260000002</v>
      </c>
      <c r="F608" s="1">
        <v>778301.46</v>
      </c>
      <c r="G608" s="1">
        <v>496253</v>
      </c>
      <c r="H608" s="1">
        <v>49.04116501</v>
      </c>
    </row>
    <row r="609" spans="1:8" ht="15.75" thickBot="1" x14ac:dyDescent="0.3">
      <c r="A609" s="1">
        <v>2017</v>
      </c>
      <c r="B609" s="1" t="s">
        <v>12</v>
      </c>
      <c r="C609" s="1" t="s">
        <v>23</v>
      </c>
      <c r="D609" s="1" t="s">
        <v>19</v>
      </c>
      <c r="E609" s="1">
        <v>1872397.05</v>
      </c>
      <c r="F609" s="1">
        <v>55077.11</v>
      </c>
      <c r="G609" s="1">
        <v>23849</v>
      </c>
      <c r="H609" s="1">
        <v>78.510505679999994</v>
      </c>
    </row>
    <row r="610" spans="1:8" ht="15.75" thickBot="1" x14ac:dyDescent="0.3">
      <c r="A610" s="1">
        <v>2017</v>
      </c>
      <c r="B610" s="1" t="s">
        <v>16</v>
      </c>
      <c r="C610" s="1" t="s">
        <v>18</v>
      </c>
      <c r="D610" s="1" t="s">
        <v>34</v>
      </c>
      <c r="E610" s="1">
        <v>44279.33</v>
      </c>
      <c r="F610" s="1">
        <v>1472.91</v>
      </c>
      <c r="G610" s="1">
        <v>837</v>
      </c>
      <c r="H610" s="1">
        <v>52.90242533</v>
      </c>
    </row>
    <row r="611" spans="1:8" ht="15.75" thickBot="1" x14ac:dyDescent="0.3">
      <c r="A611" s="1">
        <v>2017</v>
      </c>
      <c r="B611" s="1" t="s">
        <v>8</v>
      </c>
      <c r="C611" s="1" t="s">
        <v>23</v>
      </c>
      <c r="D611" s="1" t="s">
        <v>24</v>
      </c>
      <c r="E611" s="1">
        <v>48</v>
      </c>
      <c r="F611" s="1">
        <v>1.99</v>
      </c>
      <c r="G611" s="1">
        <v>2</v>
      </c>
      <c r="H611" s="1">
        <v>24</v>
      </c>
    </row>
    <row r="612" spans="1:8" ht="15.75" thickBot="1" x14ac:dyDescent="0.3">
      <c r="A612" s="1">
        <v>2014</v>
      </c>
      <c r="B612" s="1" t="s">
        <v>30</v>
      </c>
      <c r="C612" s="1" t="s">
        <v>18</v>
      </c>
      <c r="D612" s="1" t="s">
        <v>32</v>
      </c>
      <c r="E612" s="1">
        <v>3263515.06</v>
      </c>
      <c r="F612" s="1">
        <v>121330.84</v>
      </c>
      <c r="G612" s="1">
        <v>61805</v>
      </c>
      <c r="H612" s="1">
        <v>52.803414930000002</v>
      </c>
    </row>
    <row r="613" spans="1:8" ht="15.75" thickBot="1" x14ac:dyDescent="0.3">
      <c r="A613" s="1">
        <v>2017</v>
      </c>
      <c r="B613" s="1" t="s">
        <v>14</v>
      </c>
      <c r="C613" s="1" t="s">
        <v>26</v>
      </c>
      <c r="D613" s="1" t="s">
        <v>10</v>
      </c>
      <c r="E613" s="1">
        <v>9864539.8200000003</v>
      </c>
      <c r="F613" s="1">
        <v>401735.98</v>
      </c>
      <c r="G613" s="1">
        <v>268616</v>
      </c>
      <c r="H613" s="1">
        <v>36.723574990000003</v>
      </c>
    </row>
    <row r="614" spans="1:8" ht="15.75" thickBot="1" x14ac:dyDescent="0.3">
      <c r="A614" s="1">
        <v>2015</v>
      </c>
      <c r="B614" s="1" t="s">
        <v>11</v>
      </c>
      <c r="C614" s="1" t="s">
        <v>23</v>
      </c>
      <c r="D614" s="1" t="s">
        <v>24</v>
      </c>
      <c r="E614" s="1">
        <v>3115467.93</v>
      </c>
      <c r="F614" s="1">
        <v>91489.85</v>
      </c>
      <c r="G614" s="1">
        <v>9717</v>
      </c>
      <c r="H614" s="1">
        <v>320.62034890000001</v>
      </c>
    </row>
    <row r="615" spans="1:8" ht="15.75" thickBot="1" x14ac:dyDescent="0.3">
      <c r="A615" s="1">
        <v>2015</v>
      </c>
      <c r="B615" s="1" t="s">
        <v>11</v>
      </c>
      <c r="C615" s="1" t="s">
        <v>25</v>
      </c>
      <c r="D615" s="1" t="s">
        <v>13</v>
      </c>
      <c r="E615" s="1">
        <v>199612.98</v>
      </c>
      <c r="F615" s="1">
        <v>5131.0200000000004</v>
      </c>
      <c r="G615" s="1">
        <v>3556</v>
      </c>
      <c r="H615" s="1">
        <v>56.134133859999999</v>
      </c>
    </row>
    <row r="616" spans="1:8" ht="15.75" thickBot="1" x14ac:dyDescent="0.3">
      <c r="A616" s="1">
        <v>2015</v>
      </c>
      <c r="B616" s="1" t="s">
        <v>35</v>
      </c>
      <c r="C616" s="1" t="s">
        <v>15</v>
      </c>
      <c r="D616" s="1" t="s">
        <v>27</v>
      </c>
      <c r="E616" s="1">
        <v>26564.38</v>
      </c>
      <c r="F616" s="1">
        <v>525.64</v>
      </c>
      <c r="G616" s="1">
        <v>311</v>
      </c>
      <c r="H616" s="1">
        <v>85.416012859999995</v>
      </c>
    </row>
    <row r="617" spans="1:8" ht="15.75" thickBot="1" x14ac:dyDescent="0.3">
      <c r="A617" s="1">
        <v>2015</v>
      </c>
      <c r="B617" s="1" t="s">
        <v>35</v>
      </c>
      <c r="C617" s="1" t="s">
        <v>28</v>
      </c>
      <c r="D617" s="1" t="s">
        <v>32</v>
      </c>
      <c r="E617" s="1">
        <v>7525.26</v>
      </c>
      <c r="F617" s="1">
        <v>237.27</v>
      </c>
      <c r="G617" s="1">
        <v>1594</v>
      </c>
      <c r="H617" s="1">
        <v>4.7209912169999999</v>
      </c>
    </row>
    <row r="618" spans="1:8" ht="15.75" thickBot="1" x14ac:dyDescent="0.3">
      <c r="A618" s="1">
        <v>2014</v>
      </c>
      <c r="B618" s="1" t="s">
        <v>30</v>
      </c>
      <c r="C618" s="1" t="s">
        <v>25</v>
      </c>
      <c r="D618" s="1" t="s">
        <v>29</v>
      </c>
      <c r="E618" s="1">
        <v>7576854.2199999997</v>
      </c>
      <c r="F618" s="1">
        <v>241626.4</v>
      </c>
      <c r="G618" s="1">
        <v>43443</v>
      </c>
      <c r="H618" s="1">
        <v>174.4090928</v>
      </c>
    </row>
    <row r="619" spans="1:8" ht="15.75" thickBot="1" x14ac:dyDescent="0.3">
      <c r="A619" s="1">
        <v>2016</v>
      </c>
      <c r="B619" s="1" t="s">
        <v>8</v>
      </c>
      <c r="C619" s="1" t="s">
        <v>15</v>
      </c>
      <c r="D619" s="1" t="s">
        <v>13</v>
      </c>
      <c r="E619" s="1">
        <v>26.46</v>
      </c>
      <c r="F619" s="1">
        <v>1.37</v>
      </c>
      <c r="G619" s="1">
        <v>2</v>
      </c>
      <c r="H619" s="1">
        <v>13.23</v>
      </c>
    </row>
    <row r="620" spans="1:8" ht="15.75" thickBot="1" x14ac:dyDescent="0.3">
      <c r="A620" s="1">
        <v>2015</v>
      </c>
      <c r="B620" s="1" t="s">
        <v>35</v>
      </c>
      <c r="C620" s="1" t="s">
        <v>25</v>
      </c>
      <c r="D620" s="1" t="s">
        <v>10</v>
      </c>
      <c r="E620" s="1">
        <v>667.7</v>
      </c>
      <c r="F620" s="1">
        <v>21.35</v>
      </c>
      <c r="G620" s="1">
        <v>50</v>
      </c>
      <c r="H620" s="1">
        <v>13.353999999999999</v>
      </c>
    </row>
    <row r="621" spans="1:8" ht="15.75" thickBot="1" x14ac:dyDescent="0.3">
      <c r="A621" s="1">
        <v>2017</v>
      </c>
      <c r="B621" s="1" t="s">
        <v>16</v>
      </c>
      <c r="C621" s="1" t="s">
        <v>21</v>
      </c>
      <c r="D621" s="1" t="s">
        <v>31</v>
      </c>
      <c r="E621" s="1">
        <v>12173243.34</v>
      </c>
      <c r="F621" s="1">
        <v>443765.75</v>
      </c>
      <c r="G621" s="1">
        <v>251704</v>
      </c>
      <c r="H621" s="1">
        <v>48.36332891</v>
      </c>
    </row>
    <row r="622" spans="1:8" ht="15.75" thickBot="1" x14ac:dyDescent="0.3">
      <c r="A622" s="1">
        <v>2016</v>
      </c>
      <c r="B622" s="1" t="s">
        <v>14</v>
      </c>
      <c r="C622" s="1" t="s">
        <v>33</v>
      </c>
      <c r="D622" s="1" t="s">
        <v>22</v>
      </c>
      <c r="E622" s="1">
        <v>30849.09</v>
      </c>
      <c r="F622" s="1">
        <v>1328.51</v>
      </c>
      <c r="G622" s="1">
        <v>2059</v>
      </c>
      <c r="H622" s="1">
        <v>14.98255949</v>
      </c>
    </row>
    <row r="623" spans="1:8" ht="15.75" thickBot="1" x14ac:dyDescent="0.3">
      <c r="A623" s="1">
        <v>2015</v>
      </c>
      <c r="B623" s="1" t="s">
        <v>12</v>
      </c>
      <c r="C623" s="1" t="s">
        <v>33</v>
      </c>
      <c r="D623" s="1" t="s">
        <v>27</v>
      </c>
      <c r="E623" s="1">
        <v>27853514.370000001</v>
      </c>
      <c r="F623" s="1">
        <v>1076026.56</v>
      </c>
      <c r="G623" s="1">
        <v>536752</v>
      </c>
      <c r="H623" s="1">
        <v>51.892707190000003</v>
      </c>
    </row>
    <row r="624" spans="1:8" ht="15.75" thickBot="1" x14ac:dyDescent="0.3">
      <c r="A624" s="1">
        <v>2015</v>
      </c>
      <c r="B624" s="1" t="s">
        <v>17</v>
      </c>
      <c r="C624" s="1" t="s">
        <v>15</v>
      </c>
      <c r="D624" s="1" t="s">
        <v>27</v>
      </c>
      <c r="E624" s="1">
        <v>315712780.89999998</v>
      </c>
      <c r="F624" s="1">
        <v>10535731.09</v>
      </c>
      <c r="G624" s="1">
        <v>3815389</v>
      </c>
      <c r="H624" s="1">
        <v>82.747206349999999</v>
      </c>
    </row>
    <row r="625" spans="1:8" ht="15.75" thickBot="1" x14ac:dyDescent="0.3">
      <c r="A625" s="1">
        <v>2016</v>
      </c>
      <c r="B625" s="1" t="s">
        <v>40</v>
      </c>
      <c r="C625" s="1" t="s">
        <v>9</v>
      </c>
      <c r="D625" s="1" t="s">
        <v>13</v>
      </c>
      <c r="E625" s="1">
        <v>92.26</v>
      </c>
      <c r="F625" s="1">
        <v>2.84</v>
      </c>
      <c r="G625" s="1">
        <v>5</v>
      </c>
      <c r="H625" s="1">
        <v>18.452000000000002</v>
      </c>
    </row>
    <row r="626" spans="1:8" ht="15.75" thickBot="1" x14ac:dyDescent="0.3">
      <c r="A626" s="1">
        <v>2015</v>
      </c>
      <c r="B626" s="1" t="s">
        <v>11</v>
      </c>
      <c r="C626" s="1" t="s">
        <v>9</v>
      </c>
      <c r="D626" s="1" t="s">
        <v>31</v>
      </c>
      <c r="E626" s="1">
        <v>25598.09</v>
      </c>
      <c r="F626" s="1">
        <v>739.07</v>
      </c>
      <c r="G626" s="1">
        <v>9786</v>
      </c>
      <c r="H626" s="1">
        <v>2.615786838</v>
      </c>
    </row>
    <row r="627" spans="1:8" ht="15.75" thickBot="1" x14ac:dyDescent="0.3">
      <c r="A627" s="1">
        <v>2016</v>
      </c>
      <c r="B627" s="1" t="s">
        <v>16</v>
      </c>
      <c r="C627" s="1" t="s">
        <v>15</v>
      </c>
      <c r="D627" s="1" t="s">
        <v>29</v>
      </c>
      <c r="E627" s="1">
        <v>19672377.16</v>
      </c>
      <c r="F627" s="1">
        <v>658780.06999999995</v>
      </c>
      <c r="G627" s="1">
        <v>62604</v>
      </c>
      <c r="H627" s="1">
        <v>314.23514729999999</v>
      </c>
    </row>
    <row r="628" spans="1:8" ht="15.75" thickBot="1" x14ac:dyDescent="0.3">
      <c r="A628" s="1">
        <v>2015</v>
      </c>
      <c r="B628" s="1" t="s">
        <v>8</v>
      </c>
      <c r="C628" s="1" t="s">
        <v>9</v>
      </c>
      <c r="D628" s="1" t="s">
        <v>27</v>
      </c>
      <c r="E628" s="1">
        <v>554.37</v>
      </c>
      <c r="F628" s="1">
        <v>35.19</v>
      </c>
      <c r="G628" s="1">
        <v>4</v>
      </c>
      <c r="H628" s="1">
        <v>138.5925</v>
      </c>
    </row>
    <row r="629" spans="1:8" ht="15.75" thickBot="1" x14ac:dyDescent="0.3">
      <c r="A629" s="1">
        <v>2017</v>
      </c>
      <c r="B629" s="1" t="s">
        <v>20</v>
      </c>
      <c r="C629" s="1" t="s">
        <v>25</v>
      </c>
      <c r="D629" s="1" t="s">
        <v>31</v>
      </c>
      <c r="E629" s="1">
        <v>67081.149999999994</v>
      </c>
      <c r="F629" s="1">
        <v>2772.27</v>
      </c>
      <c r="G629" s="1">
        <v>2833</v>
      </c>
      <c r="H629" s="1">
        <v>23.6784857</v>
      </c>
    </row>
    <row r="630" spans="1:8" ht="15.75" thickBot="1" x14ac:dyDescent="0.3">
      <c r="A630" s="1">
        <v>2014</v>
      </c>
      <c r="B630" s="1" t="s">
        <v>35</v>
      </c>
      <c r="C630" s="1" t="s">
        <v>21</v>
      </c>
      <c r="D630" s="1" t="s">
        <v>13</v>
      </c>
      <c r="E630" s="1">
        <v>0</v>
      </c>
      <c r="F630" s="1">
        <v>0</v>
      </c>
      <c r="G630" s="1">
        <v>1</v>
      </c>
      <c r="H630" s="1">
        <v>0</v>
      </c>
    </row>
    <row r="631" spans="1:8" ht="15.75" thickBot="1" x14ac:dyDescent="0.3">
      <c r="A631" s="1">
        <v>2017</v>
      </c>
      <c r="B631" s="1" t="s">
        <v>16</v>
      </c>
      <c r="C631" s="1" t="s">
        <v>9</v>
      </c>
      <c r="D631" s="1" t="s">
        <v>37</v>
      </c>
      <c r="E631" s="1">
        <v>777232316.79999995</v>
      </c>
      <c r="F631" s="1">
        <v>23648828.27</v>
      </c>
      <c r="G631" s="1">
        <v>2674753</v>
      </c>
      <c r="H631" s="1">
        <v>290.58096829999999</v>
      </c>
    </row>
    <row r="632" spans="1:8" ht="15.75" thickBot="1" x14ac:dyDescent="0.3">
      <c r="A632" s="1">
        <v>2015</v>
      </c>
      <c r="B632" s="1" t="s">
        <v>11</v>
      </c>
      <c r="C632" s="1" t="s">
        <v>23</v>
      </c>
      <c r="D632" s="1" t="s">
        <v>22</v>
      </c>
      <c r="E632" s="1">
        <v>15531858.380000001</v>
      </c>
      <c r="F632" s="1">
        <v>508037.22</v>
      </c>
      <c r="G632" s="1">
        <v>944438</v>
      </c>
      <c r="H632" s="1">
        <v>16.44560933</v>
      </c>
    </row>
    <row r="633" spans="1:8" ht="15.75" thickBot="1" x14ac:dyDescent="0.3">
      <c r="A633" s="1">
        <v>2014</v>
      </c>
      <c r="B633" s="1" t="s">
        <v>12</v>
      </c>
      <c r="C633" s="1" t="s">
        <v>26</v>
      </c>
      <c r="D633" s="1" t="s">
        <v>31</v>
      </c>
      <c r="E633" s="1">
        <v>149482.6</v>
      </c>
      <c r="F633" s="1">
        <v>4886.72</v>
      </c>
      <c r="G633" s="1">
        <v>2707</v>
      </c>
      <c r="H633" s="1">
        <v>55.220760990000002</v>
      </c>
    </row>
    <row r="634" spans="1:8" ht="15.75" thickBot="1" x14ac:dyDescent="0.3">
      <c r="A634" s="1">
        <v>2014</v>
      </c>
      <c r="B634" s="1" t="s">
        <v>35</v>
      </c>
      <c r="C634" s="1" t="s">
        <v>33</v>
      </c>
      <c r="D634" s="1" t="s">
        <v>32</v>
      </c>
      <c r="E634" s="1">
        <v>9752.58</v>
      </c>
      <c r="F634" s="1">
        <v>401.79</v>
      </c>
      <c r="G634" s="1">
        <v>867</v>
      </c>
      <c r="H634" s="1">
        <v>11.24865052</v>
      </c>
    </row>
    <row r="635" spans="1:8" ht="15.75" thickBot="1" x14ac:dyDescent="0.3">
      <c r="A635" s="1">
        <v>2015</v>
      </c>
      <c r="B635" s="1" t="s">
        <v>17</v>
      </c>
      <c r="C635" s="1" t="s">
        <v>12</v>
      </c>
      <c r="D635" s="1" t="s">
        <v>22</v>
      </c>
      <c r="E635" s="1">
        <v>320726.11</v>
      </c>
      <c r="F635" s="1">
        <v>13129.11</v>
      </c>
      <c r="G635" s="1">
        <v>37476</v>
      </c>
      <c r="H635" s="1">
        <v>8.5581734980000004</v>
      </c>
    </row>
    <row r="636" spans="1:8" ht="15.75" thickBot="1" x14ac:dyDescent="0.3">
      <c r="A636" s="1">
        <v>2017</v>
      </c>
      <c r="B636" s="1" t="s">
        <v>8</v>
      </c>
      <c r="C636" s="1" t="s">
        <v>12</v>
      </c>
      <c r="D636" s="1" t="s">
        <v>13</v>
      </c>
      <c r="E636" s="1">
        <v>25.46</v>
      </c>
      <c r="F636" s="1">
        <v>1.34</v>
      </c>
      <c r="G636" s="1">
        <v>2</v>
      </c>
      <c r="H636" s="1">
        <v>12.73</v>
      </c>
    </row>
    <row r="637" spans="1:8" ht="15.75" thickBot="1" x14ac:dyDescent="0.3">
      <c r="A637" s="1">
        <v>2017</v>
      </c>
      <c r="B637" s="1" t="s">
        <v>17</v>
      </c>
      <c r="C637" s="1" t="s">
        <v>26</v>
      </c>
      <c r="D637" s="1" t="s">
        <v>24</v>
      </c>
      <c r="E637" s="1">
        <v>33295297.91</v>
      </c>
      <c r="F637" s="1">
        <v>1163417.8</v>
      </c>
      <c r="G637" s="1">
        <v>149291</v>
      </c>
      <c r="H637" s="1">
        <v>223.02280719999999</v>
      </c>
    </row>
    <row r="638" spans="1:8" ht="15.75" thickBot="1" x14ac:dyDescent="0.3">
      <c r="A638" s="1">
        <v>2014</v>
      </c>
      <c r="B638" s="1" t="s">
        <v>14</v>
      </c>
      <c r="C638" s="1" t="s">
        <v>23</v>
      </c>
      <c r="D638" s="1" t="s">
        <v>19</v>
      </c>
      <c r="E638" s="1">
        <v>21692519.43</v>
      </c>
      <c r="F638" s="1">
        <v>809619.19</v>
      </c>
      <c r="G638" s="1">
        <v>350793</v>
      </c>
      <c r="H638" s="1">
        <v>61.838518530000002</v>
      </c>
    </row>
    <row r="639" spans="1:8" ht="15.75" thickBot="1" x14ac:dyDescent="0.3">
      <c r="A639" s="1">
        <v>2017</v>
      </c>
      <c r="B639" s="1" t="s">
        <v>20</v>
      </c>
      <c r="C639" s="1" t="s">
        <v>15</v>
      </c>
      <c r="D639" s="1" t="s">
        <v>10</v>
      </c>
      <c r="E639" s="1">
        <v>1047142.11</v>
      </c>
      <c r="F639" s="1">
        <v>44592.51</v>
      </c>
      <c r="G639" s="1">
        <v>43370</v>
      </c>
      <c r="H639" s="1">
        <v>24.144388060000001</v>
      </c>
    </row>
    <row r="640" spans="1:8" ht="15.75" thickBot="1" x14ac:dyDescent="0.3">
      <c r="A640" s="1">
        <v>2017</v>
      </c>
      <c r="B640" s="1" t="s">
        <v>40</v>
      </c>
      <c r="C640" s="1" t="s">
        <v>33</v>
      </c>
      <c r="D640" s="1" t="s">
        <v>32</v>
      </c>
      <c r="E640" s="1">
        <v>6848.26</v>
      </c>
      <c r="F640" s="1">
        <v>334.39</v>
      </c>
      <c r="G640" s="1">
        <v>230</v>
      </c>
      <c r="H640" s="1">
        <v>29.775043480000001</v>
      </c>
    </row>
    <row r="641" spans="1:8" ht="15.75" thickBot="1" x14ac:dyDescent="0.3">
      <c r="A641" s="1">
        <v>2016</v>
      </c>
      <c r="B641" s="1" t="s">
        <v>17</v>
      </c>
      <c r="C641" s="1" t="s">
        <v>28</v>
      </c>
      <c r="D641" s="1" t="s">
        <v>31</v>
      </c>
      <c r="E641" s="1">
        <v>17631689.289999999</v>
      </c>
      <c r="F641" s="1">
        <v>567680.36</v>
      </c>
      <c r="G641" s="1">
        <v>258008</v>
      </c>
      <c r="H641" s="1">
        <v>68.337761970000003</v>
      </c>
    </row>
    <row r="642" spans="1:8" ht="15.75" thickBot="1" x14ac:dyDescent="0.3">
      <c r="A642" s="1">
        <v>2017</v>
      </c>
      <c r="B642" s="1" t="s">
        <v>16</v>
      </c>
      <c r="C642" s="1" t="s">
        <v>18</v>
      </c>
      <c r="D642" s="1" t="s">
        <v>31</v>
      </c>
      <c r="E642" s="1">
        <v>1031745.21</v>
      </c>
      <c r="F642" s="1">
        <v>38458.26</v>
      </c>
      <c r="G642" s="1">
        <v>19630</v>
      </c>
      <c r="H642" s="1">
        <v>52.559613349999999</v>
      </c>
    </row>
    <row r="643" spans="1:8" ht="15.75" thickBot="1" x14ac:dyDescent="0.3">
      <c r="A643" s="1">
        <v>2015</v>
      </c>
      <c r="B643" s="1" t="s">
        <v>17</v>
      </c>
      <c r="C643" s="1" t="s">
        <v>12</v>
      </c>
      <c r="D643" s="1" t="s">
        <v>31</v>
      </c>
      <c r="E643" s="1">
        <v>8275109.5</v>
      </c>
      <c r="F643" s="1">
        <v>287824.71999999997</v>
      </c>
      <c r="G643" s="1">
        <v>132224</v>
      </c>
      <c r="H643" s="1">
        <v>62.584020299999999</v>
      </c>
    </row>
    <row r="644" spans="1:8" ht="15.75" thickBot="1" x14ac:dyDescent="0.3">
      <c r="A644" s="1">
        <v>2016</v>
      </c>
      <c r="B644" s="1" t="s">
        <v>12</v>
      </c>
      <c r="C644" s="1" t="s">
        <v>33</v>
      </c>
      <c r="D644" s="1" t="s">
        <v>19</v>
      </c>
      <c r="E644" s="1">
        <v>9789771.5899999999</v>
      </c>
      <c r="F644" s="1">
        <v>258180.94</v>
      </c>
      <c r="G644" s="1">
        <v>32712</v>
      </c>
      <c r="H644" s="1">
        <v>299.27156980000001</v>
      </c>
    </row>
    <row r="645" spans="1:8" ht="15.75" thickBot="1" x14ac:dyDescent="0.3">
      <c r="A645" s="1">
        <v>2017</v>
      </c>
      <c r="B645" s="1" t="s">
        <v>17</v>
      </c>
      <c r="C645" s="1" t="s">
        <v>12</v>
      </c>
      <c r="D645" s="1" t="s">
        <v>27</v>
      </c>
      <c r="E645" s="1">
        <v>252303397.80000001</v>
      </c>
      <c r="F645" s="1">
        <v>9463319.4499999993</v>
      </c>
      <c r="G645" s="1">
        <v>4264412</v>
      </c>
      <c r="H645" s="1">
        <v>59.164873800000002</v>
      </c>
    </row>
    <row r="646" spans="1:8" ht="15.75" thickBot="1" x14ac:dyDescent="0.3">
      <c r="A646" s="1">
        <v>2017</v>
      </c>
      <c r="B646" s="1" t="s">
        <v>30</v>
      </c>
      <c r="C646" s="1" t="s">
        <v>28</v>
      </c>
      <c r="D646" s="1" t="s">
        <v>19</v>
      </c>
      <c r="E646" s="1">
        <v>613867270.79999995</v>
      </c>
      <c r="F646" s="1">
        <v>12033032.24</v>
      </c>
      <c r="G646" s="1">
        <v>3799249</v>
      </c>
      <c r="H646" s="1">
        <v>161.5759511</v>
      </c>
    </row>
    <row r="647" spans="1:8" ht="15.75" thickBot="1" x14ac:dyDescent="0.3">
      <c r="A647" s="1">
        <v>2017</v>
      </c>
      <c r="B647" s="1" t="s">
        <v>12</v>
      </c>
      <c r="C647" s="1" t="s">
        <v>18</v>
      </c>
      <c r="D647" s="1" t="s">
        <v>13</v>
      </c>
      <c r="E647" s="1">
        <v>28078.55</v>
      </c>
      <c r="F647" s="1">
        <v>790.49</v>
      </c>
      <c r="G647" s="1">
        <v>450</v>
      </c>
      <c r="H647" s="1">
        <v>62.396777780000001</v>
      </c>
    </row>
    <row r="648" spans="1:8" ht="15.75" thickBot="1" x14ac:dyDescent="0.3">
      <c r="A648" s="1">
        <v>2014</v>
      </c>
      <c r="B648" s="1" t="s">
        <v>17</v>
      </c>
      <c r="C648" s="1" t="s">
        <v>28</v>
      </c>
      <c r="D648" s="1" t="s">
        <v>36</v>
      </c>
      <c r="E648" s="1">
        <v>180262637.69999999</v>
      </c>
      <c r="F648" s="1">
        <v>46905.09</v>
      </c>
      <c r="G648" s="1">
        <v>540119</v>
      </c>
      <c r="H648" s="1">
        <v>333.74615160000002</v>
      </c>
    </row>
    <row r="649" spans="1:8" ht="15.75" thickBot="1" x14ac:dyDescent="0.3">
      <c r="A649" s="1">
        <v>2015</v>
      </c>
      <c r="B649" s="1" t="s">
        <v>12</v>
      </c>
      <c r="C649" s="1" t="s">
        <v>26</v>
      </c>
      <c r="D649" s="1" t="s">
        <v>32</v>
      </c>
      <c r="E649" s="1">
        <v>3943562.51</v>
      </c>
      <c r="F649" s="1">
        <v>151522.82</v>
      </c>
      <c r="G649" s="1">
        <v>95197</v>
      </c>
      <c r="H649" s="1">
        <v>41.42528136</v>
      </c>
    </row>
    <row r="650" spans="1:8" ht="15.75" thickBot="1" x14ac:dyDescent="0.3">
      <c r="A650" s="1">
        <v>2017</v>
      </c>
      <c r="B650" s="1" t="s">
        <v>35</v>
      </c>
      <c r="C650" s="1" t="s">
        <v>9</v>
      </c>
      <c r="D650" s="1" t="s">
        <v>31</v>
      </c>
      <c r="E650" s="1">
        <v>11.9</v>
      </c>
      <c r="F650" s="1">
        <v>2.99</v>
      </c>
      <c r="G650" s="1">
        <v>1508</v>
      </c>
      <c r="H650" s="1">
        <v>7.8912466840000001E-3</v>
      </c>
    </row>
    <row r="651" spans="1:8" ht="15.75" thickBot="1" x14ac:dyDescent="0.3">
      <c r="A651" s="1">
        <v>2016</v>
      </c>
      <c r="B651" s="1" t="s">
        <v>35</v>
      </c>
      <c r="C651" s="1" t="s">
        <v>25</v>
      </c>
      <c r="D651" s="1" t="s">
        <v>13</v>
      </c>
      <c r="E651" s="1">
        <v>380.02</v>
      </c>
      <c r="F651" s="1">
        <v>12.16</v>
      </c>
      <c r="G651" s="1">
        <v>12</v>
      </c>
      <c r="H651" s="1">
        <v>31.668333329999999</v>
      </c>
    </row>
    <row r="652" spans="1:8" ht="15.75" thickBot="1" x14ac:dyDescent="0.3">
      <c r="A652" s="1">
        <v>2016</v>
      </c>
      <c r="B652" s="1" t="s">
        <v>20</v>
      </c>
      <c r="C652" s="1" t="s">
        <v>15</v>
      </c>
      <c r="D652" s="1" t="s">
        <v>13</v>
      </c>
      <c r="E652" s="1">
        <v>42116.639999999999</v>
      </c>
      <c r="F652" s="1">
        <v>1124.48</v>
      </c>
      <c r="G652" s="1">
        <v>786</v>
      </c>
      <c r="H652" s="1">
        <v>53.583511450000003</v>
      </c>
    </row>
    <row r="653" spans="1:8" ht="15.75" thickBot="1" x14ac:dyDescent="0.3">
      <c r="A653" s="1">
        <v>2015</v>
      </c>
      <c r="B653" s="1" t="s">
        <v>17</v>
      </c>
      <c r="C653" s="1" t="s">
        <v>15</v>
      </c>
      <c r="D653" s="1" t="s">
        <v>19</v>
      </c>
      <c r="E653" s="1">
        <v>16728945.6</v>
      </c>
      <c r="F653" s="1">
        <v>583956.32999999996</v>
      </c>
      <c r="G653" s="1">
        <v>87470</v>
      </c>
      <c r="H653" s="1">
        <v>191.25352240000001</v>
      </c>
    </row>
    <row r="654" spans="1:8" ht="15.75" thickBot="1" x14ac:dyDescent="0.3">
      <c r="A654" s="1">
        <v>2017</v>
      </c>
      <c r="B654" s="1" t="s">
        <v>14</v>
      </c>
      <c r="C654" s="1" t="s">
        <v>21</v>
      </c>
      <c r="D654" s="1" t="s">
        <v>31</v>
      </c>
      <c r="E654" s="1">
        <v>2531189.29</v>
      </c>
      <c r="F654" s="1">
        <v>98396.54</v>
      </c>
      <c r="G654" s="1">
        <v>60211</v>
      </c>
      <c r="H654" s="1">
        <v>42.038652239999998</v>
      </c>
    </row>
    <row r="655" spans="1:8" ht="15.75" thickBot="1" x14ac:dyDescent="0.3">
      <c r="A655" s="1">
        <v>2015</v>
      </c>
      <c r="B655" s="1" t="s">
        <v>17</v>
      </c>
      <c r="C655" s="1" t="s">
        <v>12</v>
      </c>
      <c r="D655" s="1" t="s">
        <v>10</v>
      </c>
      <c r="E655" s="1">
        <v>26183419.899999999</v>
      </c>
      <c r="F655" s="1">
        <v>899164.39</v>
      </c>
      <c r="G655" s="1">
        <v>502156</v>
      </c>
      <c r="H655" s="1">
        <v>52.14200348</v>
      </c>
    </row>
    <row r="656" spans="1:8" ht="15.75" thickBot="1" x14ac:dyDescent="0.3">
      <c r="A656" s="1">
        <v>2017</v>
      </c>
      <c r="B656" s="1" t="s">
        <v>11</v>
      </c>
      <c r="C656" s="1" t="s">
        <v>23</v>
      </c>
      <c r="D656" s="1" t="s">
        <v>29</v>
      </c>
      <c r="E656" s="1">
        <v>2946599.59</v>
      </c>
      <c r="F656" s="1">
        <v>87609.61</v>
      </c>
      <c r="G656" s="1">
        <v>7573</v>
      </c>
      <c r="H656" s="1">
        <v>389.0927757</v>
      </c>
    </row>
    <row r="657" spans="1:8" ht="15.75" thickBot="1" x14ac:dyDescent="0.3">
      <c r="A657" s="1">
        <v>2017</v>
      </c>
      <c r="B657" s="1" t="s">
        <v>11</v>
      </c>
      <c r="C657" s="1" t="s">
        <v>12</v>
      </c>
      <c r="D657" s="1" t="s">
        <v>19</v>
      </c>
      <c r="E657" s="1">
        <v>3440935.32</v>
      </c>
      <c r="F657" s="1">
        <v>127423.4</v>
      </c>
      <c r="G657" s="1">
        <v>26870</v>
      </c>
      <c r="H657" s="1">
        <v>128.0586275</v>
      </c>
    </row>
    <row r="658" spans="1:8" ht="15.75" thickBot="1" x14ac:dyDescent="0.3">
      <c r="A658" s="1">
        <v>2015</v>
      </c>
      <c r="B658" s="1" t="s">
        <v>16</v>
      </c>
      <c r="C658" s="1" t="s">
        <v>15</v>
      </c>
      <c r="D658" s="1" t="s">
        <v>31</v>
      </c>
      <c r="E658" s="1">
        <v>2823883.4</v>
      </c>
      <c r="F658" s="1">
        <v>106999.24</v>
      </c>
      <c r="G658" s="1">
        <v>55956</v>
      </c>
      <c r="H658" s="1">
        <v>50.46614125</v>
      </c>
    </row>
    <row r="659" spans="1:8" ht="15.75" thickBot="1" x14ac:dyDescent="0.3">
      <c r="A659" s="1">
        <v>2016</v>
      </c>
      <c r="B659" s="1" t="s">
        <v>14</v>
      </c>
      <c r="C659" s="1" t="s">
        <v>9</v>
      </c>
      <c r="D659" s="1" t="s">
        <v>32</v>
      </c>
      <c r="E659" s="1">
        <v>450908111.80000001</v>
      </c>
      <c r="F659" s="1">
        <v>15022887.119999999</v>
      </c>
      <c r="G659" s="1">
        <v>5841056</v>
      </c>
      <c r="H659" s="1">
        <v>77.196334320000005</v>
      </c>
    </row>
    <row r="660" spans="1:8" ht="15.75" thickBot="1" x14ac:dyDescent="0.3">
      <c r="A660" s="1">
        <v>2016</v>
      </c>
      <c r="B660" s="1" t="s">
        <v>17</v>
      </c>
      <c r="C660" s="1" t="s">
        <v>9</v>
      </c>
      <c r="D660" s="1" t="s">
        <v>32</v>
      </c>
      <c r="E660" s="1">
        <v>394797726.5</v>
      </c>
      <c r="F660" s="1">
        <v>12503008.949999999</v>
      </c>
      <c r="G660" s="1">
        <v>4466473</v>
      </c>
      <c r="H660" s="1">
        <v>88.391383200000007</v>
      </c>
    </row>
    <row r="661" spans="1:8" ht="15.75" thickBot="1" x14ac:dyDescent="0.3">
      <c r="A661" s="1">
        <v>2014</v>
      </c>
      <c r="B661" s="1" t="s">
        <v>20</v>
      </c>
      <c r="C661" s="1" t="s">
        <v>15</v>
      </c>
      <c r="D661" s="1" t="s">
        <v>13</v>
      </c>
      <c r="E661" s="1">
        <v>4902.78</v>
      </c>
      <c r="F661" s="1">
        <v>180.73</v>
      </c>
      <c r="G661" s="1">
        <v>145</v>
      </c>
      <c r="H661" s="1">
        <v>33.81227586</v>
      </c>
    </row>
    <row r="662" spans="1:8" ht="15.75" thickBot="1" x14ac:dyDescent="0.3">
      <c r="A662" s="1">
        <v>2014</v>
      </c>
      <c r="B662" s="1" t="s">
        <v>11</v>
      </c>
      <c r="C662" s="1" t="s">
        <v>9</v>
      </c>
      <c r="D662" s="1" t="s">
        <v>24</v>
      </c>
      <c r="E662" s="1">
        <v>290394.17</v>
      </c>
      <c r="F662" s="1">
        <v>7973.48</v>
      </c>
      <c r="G662" s="1">
        <v>1541</v>
      </c>
      <c r="H662" s="1">
        <v>188.44527579999999</v>
      </c>
    </row>
    <row r="663" spans="1:8" ht="15.75" thickBot="1" x14ac:dyDescent="0.3">
      <c r="A663" s="1">
        <v>2015</v>
      </c>
      <c r="B663" s="1" t="s">
        <v>11</v>
      </c>
      <c r="C663" s="1" t="s">
        <v>18</v>
      </c>
      <c r="D663" s="1" t="s">
        <v>24</v>
      </c>
      <c r="E663" s="1">
        <v>1047417.1</v>
      </c>
      <c r="F663" s="1">
        <v>30004.6</v>
      </c>
      <c r="G663" s="1">
        <v>2412</v>
      </c>
      <c r="H663" s="1">
        <v>434.25252899999998</v>
      </c>
    </row>
    <row r="664" spans="1:8" ht="15.75" thickBot="1" x14ac:dyDescent="0.3">
      <c r="A664" s="1">
        <v>2017</v>
      </c>
      <c r="B664" s="1" t="s">
        <v>17</v>
      </c>
      <c r="C664" s="1" t="s">
        <v>9</v>
      </c>
      <c r="D664" s="1" t="s">
        <v>34</v>
      </c>
      <c r="E664" s="1">
        <v>52.08</v>
      </c>
      <c r="F664" s="1">
        <v>4.22</v>
      </c>
      <c r="G664" s="1">
        <v>184</v>
      </c>
      <c r="H664" s="1">
        <v>0.28304347829999998</v>
      </c>
    </row>
    <row r="665" spans="1:8" ht="15.75" thickBot="1" x14ac:dyDescent="0.3">
      <c r="A665" s="1">
        <v>2016</v>
      </c>
      <c r="B665" s="1" t="s">
        <v>20</v>
      </c>
      <c r="C665" s="1" t="s">
        <v>21</v>
      </c>
      <c r="D665" s="1" t="s">
        <v>19</v>
      </c>
      <c r="E665" s="1">
        <v>4681057.8099999996</v>
      </c>
      <c r="F665" s="1">
        <v>141377.04999999999</v>
      </c>
      <c r="G665" s="1">
        <v>63891</v>
      </c>
      <c r="H665" s="1">
        <v>73.266309969999995</v>
      </c>
    </row>
    <row r="666" spans="1:8" ht="15.75" thickBot="1" x14ac:dyDescent="0.3">
      <c r="A666" s="1">
        <v>2015</v>
      </c>
      <c r="B666" s="1" t="s">
        <v>14</v>
      </c>
      <c r="C666" s="1" t="s">
        <v>25</v>
      </c>
      <c r="D666" s="1" t="s">
        <v>27</v>
      </c>
      <c r="E666" s="1">
        <v>313858562.69999999</v>
      </c>
      <c r="F666" s="1">
        <v>13824976.630000001</v>
      </c>
      <c r="G666" s="1">
        <v>11355188</v>
      </c>
      <c r="H666" s="1">
        <v>27.640102720000002</v>
      </c>
    </row>
    <row r="667" spans="1:8" ht="15.75" thickBot="1" x14ac:dyDescent="0.3">
      <c r="A667" s="1">
        <v>2016</v>
      </c>
      <c r="B667" s="1" t="s">
        <v>16</v>
      </c>
      <c r="C667" s="1" t="s">
        <v>28</v>
      </c>
      <c r="D667" s="1" t="s">
        <v>36</v>
      </c>
      <c r="E667" s="1">
        <v>201164952</v>
      </c>
      <c r="F667" s="1">
        <v>178075.49</v>
      </c>
      <c r="G667" s="1">
        <v>644847</v>
      </c>
      <c r="H667" s="1">
        <v>311.95764580000002</v>
      </c>
    </row>
    <row r="668" spans="1:8" ht="15.75" thickBot="1" x14ac:dyDescent="0.3">
      <c r="A668" s="1">
        <v>2015</v>
      </c>
      <c r="B668" s="1" t="s">
        <v>30</v>
      </c>
      <c r="C668" s="1" t="s">
        <v>9</v>
      </c>
      <c r="D668" s="1" t="s">
        <v>32</v>
      </c>
      <c r="E668" s="1">
        <v>73103.05</v>
      </c>
      <c r="F668" s="1">
        <v>4678.18</v>
      </c>
      <c r="G668" s="1">
        <v>11501</v>
      </c>
      <c r="H668" s="1">
        <v>6.3562342410000001</v>
      </c>
    </row>
    <row r="669" spans="1:8" ht="15.75" thickBot="1" x14ac:dyDescent="0.3">
      <c r="A669" s="1">
        <v>2015</v>
      </c>
      <c r="B669" s="1" t="s">
        <v>12</v>
      </c>
      <c r="C669" s="1" t="s">
        <v>26</v>
      </c>
      <c r="D669" s="1" t="s">
        <v>31</v>
      </c>
      <c r="E669" s="1">
        <v>181813.26</v>
      </c>
      <c r="F669" s="1">
        <v>6522.36</v>
      </c>
      <c r="G669" s="1">
        <v>3484</v>
      </c>
      <c r="H669" s="1">
        <v>52.185206659999999</v>
      </c>
    </row>
    <row r="670" spans="1:8" ht="15.75" thickBot="1" x14ac:dyDescent="0.3">
      <c r="A670" s="1">
        <v>2016</v>
      </c>
      <c r="B670" s="1" t="s">
        <v>11</v>
      </c>
      <c r="C670" s="1" t="s">
        <v>9</v>
      </c>
      <c r="D670" s="1" t="s">
        <v>19</v>
      </c>
      <c r="E670" s="1">
        <v>3711.21</v>
      </c>
      <c r="F670" s="1">
        <v>326.93</v>
      </c>
      <c r="G670" s="1">
        <v>1480</v>
      </c>
      <c r="H670" s="1">
        <v>2.5075743240000001</v>
      </c>
    </row>
    <row r="671" spans="1:8" ht="15.75" thickBot="1" x14ac:dyDescent="0.3">
      <c r="A671" s="1">
        <v>2016</v>
      </c>
      <c r="B671" s="1" t="s">
        <v>12</v>
      </c>
      <c r="C671" s="1" t="s">
        <v>28</v>
      </c>
      <c r="D671" s="1" t="s">
        <v>27</v>
      </c>
      <c r="E671" s="1">
        <v>19468047.510000002</v>
      </c>
      <c r="F671" s="1">
        <v>690657.29</v>
      </c>
      <c r="G671" s="1">
        <v>311088</v>
      </c>
      <c r="H671" s="1">
        <v>62.580515830000003</v>
      </c>
    </row>
    <row r="672" spans="1:8" ht="15.75" thickBot="1" x14ac:dyDescent="0.3">
      <c r="A672" s="1">
        <v>2016</v>
      </c>
      <c r="B672" s="1" t="s">
        <v>8</v>
      </c>
      <c r="C672" s="1" t="s">
        <v>12</v>
      </c>
      <c r="D672" s="1" t="s">
        <v>32</v>
      </c>
      <c r="E672" s="1">
        <v>171.36</v>
      </c>
      <c r="F672" s="1">
        <v>7.8</v>
      </c>
      <c r="G672" s="1">
        <v>7</v>
      </c>
      <c r="H672" s="1">
        <v>24.48</v>
      </c>
    </row>
    <row r="673" spans="1:8" ht="15.75" thickBot="1" x14ac:dyDescent="0.3">
      <c r="A673" s="1">
        <v>2016</v>
      </c>
      <c r="B673" s="1" t="s">
        <v>17</v>
      </c>
      <c r="C673" s="1" t="s">
        <v>12</v>
      </c>
      <c r="D673" s="1" t="s">
        <v>24</v>
      </c>
      <c r="E673" s="1">
        <v>11638593.630000001</v>
      </c>
      <c r="F673" s="1">
        <v>413325.35</v>
      </c>
      <c r="G673" s="1">
        <v>52265</v>
      </c>
      <c r="H673" s="1">
        <v>222.68427489999999</v>
      </c>
    </row>
    <row r="674" spans="1:8" ht="15.75" thickBot="1" x14ac:dyDescent="0.3">
      <c r="A674" s="1">
        <v>2016</v>
      </c>
      <c r="B674" s="1" t="s">
        <v>14</v>
      </c>
      <c r="C674" s="1" t="s">
        <v>12</v>
      </c>
      <c r="D674" s="1" t="s">
        <v>10</v>
      </c>
      <c r="E674" s="1">
        <v>4511807.07</v>
      </c>
      <c r="F674" s="1">
        <v>173299.32</v>
      </c>
      <c r="G674" s="1">
        <v>88869</v>
      </c>
      <c r="H674" s="1">
        <v>50.769189140000002</v>
      </c>
    </row>
    <row r="675" spans="1:8" ht="15.75" thickBot="1" x14ac:dyDescent="0.3">
      <c r="A675" s="1">
        <v>2017</v>
      </c>
      <c r="B675" s="1" t="s">
        <v>8</v>
      </c>
      <c r="C675" s="1" t="s">
        <v>26</v>
      </c>
      <c r="D675" s="1" t="s">
        <v>27</v>
      </c>
      <c r="E675" s="1">
        <v>15581.86</v>
      </c>
      <c r="F675" s="1">
        <v>731.13</v>
      </c>
      <c r="G675" s="1">
        <v>818</v>
      </c>
      <c r="H675" s="1">
        <v>19.048728610000001</v>
      </c>
    </row>
    <row r="676" spans="1:8" ht="15.75" thickBot="1" x14ac:dyDescent="0.3">
      <c r="A676" s="1">
        <v>2015</v>
      </c>
      <c r="B676" s="1" t="s">
        <v>20</v>
      </c>
      <c r="C676" s="1" t="s">
        <v>28</v>
      </c>
      <c r="D676" s="1" t="s">
        <v>24</v>
      </c>
      <c r="E676" s="1">
        <v>2099003.5499999998</v>
      </c>
      <c r="F676" s="1">
        <v>69315.69</v>
      </c>
      <c r="G676" s="1">
        <v>18789</v>
      </c>
      <c r="H676" s="1">
        <v>111.7144899</v>
      </c>
    </row>
    <row r="677" spans="1:8" ht="15.75" thickBot="1" x14ac:dyDescent="0.3">
      <c r="A677" s="1">
        <v>2017</v>
      </c>
      <c r="B677" s="1" t="s">
        <v>11</v>
      </c>
      <c r="C677" s="1" t="s">
        <v>21</v>
      </c>
      <c r="D677" s="1" t="s">
        <v>10</v>
      </c>
      <c r="E677" s="1">
        <v>1062988025</v>
      </c>
      <c r="F677" s="1">
        <v>23666019.530000001</v>
      </c>
      <c r="G677" s="1">
        <v>18626091</v>
      </c>
      <c r="H677" s="1">
        <v>57.069839549999998</v>
      </c>
    </row>
    <row r="678" spans="1:8" ht="15.75" thickBot="1" x14ac:dyDescent="0.3">
      <c r="A678" s="1">
        <v>2014</v>
      </c>
      <c r="B678" s="1" t="s">
        <v>12</v>
      </c>
      <c r="C678" s="1" t="s">
        <v>9</v>
      </c>
      <c r="D678" s="1" t="s">
        <v>29</v>
      </c>
      <c r="E678" s="1">
        <v>10209.43</v>
      </c>
      <c r="F678" s="1">
        <v>125.25</v>
      </c>
      <c r="G678" s="1">
        <v>197</v>
      </c>
      <c r="H678" s="1">
        <v>51.82451777</v>
      </c>
    </row>
    <row r="679" spans="1:8" ht="15.75" thickBot="1" x14ac:dyDescent="0.3">
      <c r="A679" s="1">
        <v>2015</v>
      </c>
      <c r="B679" s="1" t="s">
        <v>12</v>
      </c>
      <c r="C679" s="1" t="s">
        <v>9</v>
      </c>
      <c r="D679" s="1" t="s">
        <v>22</v>
      </c>
      <c r="E679" s="1">
        <v>0</v>
      </c>
      <c r="F679" s="1">
        <v>0</v>
      </c>
      <c r="G679" s="1">
        <v>2</v>
      </c>
      <c r="H679" s="1">
        <v>0</v>
      </c>
    </row>
    <row r="680" spans="1:8" ht="15.75" thickBot="1" x14ac:dyDescent="0.3">
      <c r="A680" s="1">
        <v>2016</v>
      </c>
      <c r="B680" s="1" t="s">
        <v>17</v>
      </c>
      <c r="C680" s="1" t="s">
        <v>28</v>
      </c>
      <c r="D680" s="1" t="s">
        <v>24</v>
      </c>
      <c r="E680" s="1">
        <v>113266369.3</v>
      </c>
      <c r="F680" s="1">
        <v>3381737.47</v>
      </c>
      <c r="G680" s="1">
        <v>169959</v>
      </c>
      <c r="H680" s="1">
        <v>666.4334887</v>
      </c>
    </row>
    <row r="681" spans="1:8" ht="15.75" thickBot="1" x14ac:dyDescent="0.3">
      <c r="A681" s="1">
        <v>2015</v>
      </c>
      <c r="B681" s="1" t="s">
        <v>40</v>
      </c>
      <c r="C681" s="1" t="s">
        <v>33</v>
      </c>
      <c r="D681" s="1" t="s">
        <v>27</v>
      </c>
      <c r="E681" s="1">
        <v>69354.33</v>
      </c>
      <c r="F681" s="1">
        <v>2488.86</v>
      </c>
      <c r="G681" s="1">
        <v>913</v>
      </c>
      <c r="H681" s="1">
        <v>75.963121580000006</v>
      </c>
    </row>
    <row r="682" spans="1:8" ht="15.75" thickBot="1" x14ac:dyDescent="0.3">
      <c r="A682" s="1">
        <v>2017</v>
      </c>
      <c r="B682" s="1" t="s">
        <v>35</v>
      </c>
      <c r="C682" s="1" t="s">
        <v>33</v>
      </c>
      <c r="D682" s="1" t="s">
        <v>27</v>
      </c>
      <c r="E682" s="1">
        <v>17359.810000000001</v>
      </c>
      <c r="F682" s="1">
        <v>991.07</v>
      </c>
      <c r="G682" s="1">
        <v>548</v>
      </c>
      <c r="H682" s="1">
        <v>31.6784854</v>
      </c>
    </row>
    <row r="683" spans="1:8" ht="15.75" thickBot="1" x14ac:dyDescent="0.3">
      <c r="A683" s="1">
        <v>2017</v>
      </c>
      <c r="B683" s="1" t="s">
        <v>17</v>
      </c>
      <c r="C683" s="1" t="s">
        <v>28</v>
      </c>
      <c r="D683" s="1" t="s">
        <v>10</v>
      </c>
      <c r="E683" s="1">
        <v>68892868.109999999</v>
      </c>
      <c r="F683" s="1">
        <v>2268453.5099999998</v>
      </c>
      <c r="G683" s="1">
        <v>1076395</v>
      </c>
      <c r="H683" s="1">
        <v>64.00333345</v>
      </c>
    </row>
    <row r="684" spans="1:8" ht="15.75" thickBot="1" x14ac:dyDescent="0.3">
      <c r="A684" s="1">
        <v>2014</v>
      </c>
      <c r="B684" s="1" t="s">
        <v>20</v>
      </c>
      <c r="C684" s="1" t="s">
        <v>33</v>
      </c>
      <c r="D684" s="1" t="s">
        <v>10</v>
      </c>
      <c r="E684" s="1">
        <v>231156.19</v>
      </c>
      <c r="F684" s="1">
        <v>8807.2800000000007</v>
      </c>
      <c r="G684" s="1">
        <v>6292</v>
      </c>
      <c r="H684" s="1">
        <v>36.738110300000002</v>
      </c>
    </row>
    <row r="685" spans="1:8" ht="15.75" thickBot="1" x14ac:dyDescent="0.3">
      <c r="A685" s="1">
        <v>2016</v>
      </c>
      <c r="B685" s="1" t="s">
        <v>30</v>
      </c>
      <c r="C685" s="1" t="s">
        <v>33</v>
      </c>
      <c r="D685" s="1" t="s">
        <v>24</v>
      </c>
      <c r="E685" s="1">
        <v>54212631.200000003</v>
      </c>
      <c r="F685" s="1">
        <v>1751322.49</v>
      </c>
      <c r="G685" s="1">
        <v>271091</v>
      </c>
      <c r="H685" s="1">
        <v>199.97945780000001</v>
      </c>
    </row>
    <row r="686" spans="1:8" ht="15.75" thickBot="1" x14ac:dyDescent="0.3">
      <c r="A686" s="1">
        <v>2017</v>
      </c>
      <c r="B686" s="1" t="s">
        <v>30</v>
      </c>
      <c r="C686" s="1" t="s">
        <v>25</v>
      </c>
      <c r="D686" s="1" t="s">
        <v>24</v>
      </c>
      <c r="E686" s="1">
        <v>49642817.619999997</v>
      </c>
      <c r="F686" s="1">
        <v>1723274.77</v>
      </c>
      <c r="G686" s="1">
        <v>275249</v>
      </c>
      <c r="H686" s="1">
        <v>180.35603259999999</v>
      </c>
    </row>
    <row r="687" spans="1:8" ht="15.75" thickBot="1" x14ac:dyDescent="0.3">
      <c r="A687" s="1">
        <v>2015</v>
      </c>
      <c r="B687" s="1" t="s">
        <v>11</v>
      </c>
      <c r="C687" s="1" t="s">
        <v>12</v>
      </c>
      <c r="D687" s="1" t="s">
        <v>32</v>
      </c>
      <c r="E687" s="1">
        <v>60727693.130000003</v>
      </c>
      <c r="F687" s="1">
        <v>2161039.64</v>
      </c>
      <c r="G687" s="1">
        <v>1184274</v>
      </c>
      <c r="H687" s="1">
        <v>51.278414560000002</v>
      </c>
    </row>
    <row r="688" spans="1:8" ht="15.75" thickBot="1" x14ac:dyDescent="0.3">
      <c r="A688" s="1">
        <v>2015</v>
      </c>
      <c r="B688" s="1" t="s">
        <v>35</v>
      </c>
      <c r="C688" s="1" t="s">
        <v>23</v>
      </c>
      <c r="D688" s="1" t="s">
        <v>27</v>
      </c>
      <c r="E688" s="1">
        <v>15813.25</v>
      </c>
      <c r="F688" s="1">
        <v>558.32000000000005</v>
      </c>
      <c r="G688" s="1">
        <v>432</v>
      </c>
      <c r="H688" s="1">
        <v>36.604745370000003</v>
      </c>
    </row>
    <row r="689" spans="1:8" ht="15.75" thickBot="1" x14ac:dyDescent="0.3">
      <c r="A689" s="1">
        <v>2017</v>
      </c>
      <c r="B689" s="1" t="s">
        <v>14</v>
      </c>
      <c r="C689" s="1" t="s">
        <v>12</v>
      </c>
      <c r="D689" s="1" t="s">
        <v>24</v>
      </c>
      <c r="E689" s="1">
        <v>21638336.510000002</v>
      </c>
      <c r="F689" s="1">
        <v>737243.97</v>
      </c>
      <c r="G689" s="1">
        <v>95038</v>
      </c>
      <c r="H689" s="1">
        <v>227.68089090000001</v>
      </c>
    </row>
    <row r="690" spans="1:8" ht="15.75" thickBot="1" x14ac:dyDescent="0.3">
      <c r="A690" s="1">
        <v>2017</v>
      </c>
      <c r="B690" s="1" t="s">
        <v>20</v>
      </c>
      <c r="C690" s="1" t="s">
        <v>9</v>
      </c>
      <c r="D690" s="1" t="s">
        <v>24</v>
      </c>
      <c r="E690" s="1">
        <v>11760.72</v>
      </c>
      <c r="F690" s="1">
        <v>160.37</v>
      </c>
      <c r="G690" s="1">
        <v>137</v>
      </c>
      <c r="H690" s="1">
        <v>85.844671529999999</v>
      </c>
    </row>
    <row r="691" spans="1:8" ht="15.75" thickBot="1" x14ac:dyDescent="0.3">
      <c r="A691" s="1">
        <v>2016</v>
      </c>
      <c r="B691" s="1" t="s">
        <v>35</v>
      </c>
      <c r="C691" s="1" t="s">
        <v>23</v>
      </c>
      <c r="D691" s="1" t="s">
        <v>19</v>
      </c>
      <c r="E691" s="1">
        <v>1294.83</v>
      </c>
      <c r="F691" s="1">
        <v>58.81</v>
      </c>
      <c r="G691" s="1">
        <v>118</v>
      </c>
      <c r="H691" s="1">
        <v>10.97313559</v>
      </c>
    </row>
    <row r="692" spans="1:8" ht="15.75" thickBot="1" x14ac:dyDescent="0.3">
      <c r="A692" s="1">
        <v>2016</v>
      </c>
      <c r="B692" s="1" t="s">
        <v>16</v>
      </c>
      <c r="C692" s="1" t="s">
        <v>12</v>
      </c>
      <c r="D692" s="1" t="s">
        <v>29</v>
      </c>
      <c r="E692" s="1">
        <v>13444810.24</v>
      </c>
      <c r="F692" s="1">
        <v>456369.99</v>
      </c>
      <c r="G692" s="1">
        <v>48272</v>
      </c>
      <c r="H692" s="1">
        <v>278.52192239999999</v>
      </c>
    </row>
    <row r="693" spans="1:8" ht="15.75" thickBot="1" x14ac:dyDescent="0.3">
      <c r="A693" s="1">
        <v>2015</v>
      </c>
      <c r="B693" s="1" t="s">
        <v>30</v>
      </c>
      <c r="C693" s="1" t="s">
        <v>12</v>
      </c>
      <c r="D693" s="1" t="s">
        <v>32</v>
      </c>
      <c r="E693" s="1">
        <v>16147257.84</v>
      </c>
      <c r="F693" s="1">
        <v>649404.49</v>
      </c>
      <c r="G693" s="1">
        <v>353509</v>
      </c>
      <c r="H693" s="1">
        <v>45.677077079999997</v>
      </c>
    </row>
    <row r="694" spans="1:8" ht="15.75" thickBot="1" x14ac:dyDescent="0.3">
      <c r="A694" s="1">
        <v>2016</v>
      </c>
      <c r="B694" s="1" t="s">
        <v>11</v>
      </c>
      <c r="C694" s="1" t="s">
        <v>26</v>
      </c>
      <c r="D694" s="1" t="s">
        <v>22</v>
      </c>
      <c r="E694" s="1">
        <v>46252609.420000002</v>
      </c>
      <c r="F694" s="1">
        <v>1383819.14</v>
      </c>
      <c r="G694" s="1">
        <v>3480482</v>
      </c>
      <c r="H694" s="1">
        <v>13.2891391</v>
      </c>
    </row>
    <row r="695" spans="1:8" ht="15.75" thickBot="1" x14ac:dyDescent="0.3">
      <c r="A695" s="1">
        <v>2017</v>
      </c>
      <c r="B695" s="1" t="s">
        <v>14</v>
      </c>
      <c r="C695" s="1" t="s">
        <v>23</v>
      </c>
      <c r="D695" s="1" t="s">
        <v>13</v>
      </c>
      <c r="E695" s="1">
        <v>6160092.1799999997</v>
      </c>
      <c r="F695" s="1">
        <v>250079.89</v>
      </c>
      <c r="G695" s="1">
        <v>283042</v>
      </c>
      <c r="H695" s="1">
        <v>21.763880199999999</v>
      </c>
    </row>
    <row r="696" spans="1:8" ht="15.75" thickBot="1" x14ac:dyDescent="0.3">
      <c r="A696" s="1">
        <v>2015</v>
      </c>
      <c r="B696" s="1" t="s">
        <v>17</v>
      </c>
      <c r="C696" s="1" t="s">
        <v>9</v>
      </c>
      <c r="D696" s="1" t="s">
        <v>32</v>
      </c>
      <c r="E696" s="1">
        <v>369134.15</v>
      </c>
      <c r="F696" s="1">
        <v>11482.33</v>
      </c>
      <c r="G696" s="1">
        <v>66629</v>
      </c>
      <c r="H696" s="1">
        <v>5.5401424300000004</v>
      </c>
    </row>
    <row r="697" spans="1:8" ht="15.75" thickBot="1" x14ac:dyDescent="0.3">
      <c r="A697" s="1">
        <v>2016</v>
      </c>
      <c r="B697" s="1" t="s">
        <v>17</v>
      </c>
      <c r="C697" s="1" t="s">
        <v>9</v>
      </c>
      <c r="D697" s="1" t="s">
        <v>29</v>
      </c>
      <c r="E697" s="1">
        <v>5975793.8399999999</v>
      </c>
      <c r="F697" s="1">
        <v>179833.41</v>
      </c>
      <c r="G697" s="1">
        <v>16878</v>
      </c>
      <c r="H697" s="1">
        <v>354.05817280000002</v>
      </c>
    </row>
    <row r="698" spans="1:8" ht="15.75" thickBot="1" x14ac:dyDescent="0.3">
      <c r="A698" s="1">
        <v>2015</v>
      </c>
      <c r="B698" s="1" t="s">
        <v>11</v>
      </c>
      <c r="C698" s="1" t="s">
        <v>15</v>
      </c>
      <c r="D698" s="1" t="s">
        <v>31</v>
      </c>
      <c r="E698" s="1">
        <v>14750729.25</v>
      </c>
      <c r="F698" s="1">
        <v>401648.41</v>
      </c>
      <c r="G698" s="1">
        <v>235592</v>
      </c>
      <c r="H698" s="1">
        <v>62.611333360000003</v>
      </c>
    </row>
    <row r="699" spans="1:8" ht="15.75" thickBot="1" x14ac:dyDescent="0.3">
      <c r="A699" s="1">
        <v>2017</v>
      </c>
      <c r="B699" s="1" t="s">
        <v>17</v>
      </c>
      <c r="C699" s="1" t="s">
        <v>9</v>
      </c>
      <c r="D699" s="1" t="s">
        <v>19</v>
      </c>
      <c r="E699" s="1">
        <v>42993.440000000002</v>
      </c>
      <c r="F699" s="1">
        <v>1524.46</v>
      </c>
      <c r="G699" s="1">
        <v>4443</v>
      </c>
      <c r="H699" s="1">
        <v>9.6766689170000006</v>
      </c>
    </row>
    <row r="700" spans="1:8" ht="15.75" thickBot="1" x14ac:dyDescent="0.3">
      <c r="A700" s="1">
        <v>2017</v>
      </c>
      <c r="B700" s="1" t="s">
        <v>12</v>
      </c>
      <c r="C700" s="1" t="s">
        <v>21</v>
      </c>
      <c r="D700" s="1" t="s">
        <v>22</v>
      </c>
      <c r="E700" s="1">
        <v>2098.0100000000002</v>
      </c>
      <c r="F700" s="1">
        <v>149.56</v>
      </c>
      <c r="G700" s="1">
        <v>260</v>
      </c>
      <c r="H700" s="1">
        <v>8.0692692309999998</v>
      </c>
    </row>
    <row r="701" spans="1:8" ht="15.75" thickBot="1" x14ac:dyDescent="0.3">
      <c r="A701" s="1">
        <v>2016</v>
      </c>
      <c r="B701" s="1" t="s">
        <v>17</v>
      </c>
      <c r="C701" s="1" t="s">
        <v>9</v>
      </c>
      <c r="D701" s="1" t="s">
        <v>31</v>
      </c>
      <c r="E701" s="1">
        <v>30196.77</v>
      </c>
      <c r="F701" s="1">
        <v>769.19</v>
      </c>
      <c r="G701" s="1">
        <v>5955</v>
      </c>
      <c r="H701" s="1">
        <v>5.0708261959999996</v>
      </c>
    </row>
    <row r="702" spans="1:8" ht="15.75" thickBot="1" x14ac:dyDescent="0.3">
      <c r="A702" s="1">
        <v>2014</v>
      </c>
      <c r="B702" s="1" t="s">
        <v>12</v>
      </c>
      <c r="C702" s="1" t="s">
        <v>15</v>
      </c>
      <c r="D702" s="1" t="s">
        <v>27</v>
      </c>
      <c r="E702" s="1">
        <v>10525604.460000001</v>
      </c>
      <c r="F702" s="1">
        <v>384933.06</v>
      </c>
      <c r="G702" s="1">
        <v>157906</v>
      </c>
      <c r="H702" s="1">
        <v>66.657406679999994</v>
      </c>
    </row>
    <row r="703" spans="1:8" ht="15.75" thickBot="1" x14ac:dyDescent="0.3">
      <c r="A703" s="1">
        <v>2014</v>
      </c>
      <c r="B703" s="1" t="s">
        <v>35</v>
      </c>
      <c r="C703" s="1" t="s">
        <v>33</v>
      </c>
      <c r="D703" s="1" t="s">
        <v>24</v>
      </c>
      <c r="E703" s="1">
        <v>-1672.57</v>
      </c>
      <c r="F703" s="1">
        <v>136.35</v>
      </c>
      <c r="G703" s="1">
        <v>51</v>
      </c>
      <c r="H703" s="1">
        <v>-32.795490200000003</v>
      </c>
    </row>
    <row r="704" spans="1:8" ht="15.75" thickBot="1" x14ac:dyDescent="0.3">
      <c r="A704" s="1">
        <v>2016</v>
      </c>
      <c r="B704" s="1" t="s">
        <v>16</v>
      </c>
      <c r="C704" s="1" t="s">
        <v>21</v>
      </c>
      <c r="D704" s="1" t="s">
        <v>31</v>
      </c>
      <c r="E704" s="1">
        <v>8802363.3399999999</v>
      </c>
      <c r="F704" s="1">
        <v>325430.67</v>
      </c>
      <c r="G704" s="1">
        <v>180924</v>
      </c>
      <c r="H704" s="1">
        <v>48.65227024</v>
      </c>
    </row>
    <row r="705" spans="1:8" ht="15.75" thickBot="1" x14ac:dyDescent="0.3">
      <c r="A705" s="1">
        <v>2015</v>
      </c>
      <c r="B705" s="1" t="s">
        <v>14</v>
      </c>
      <c r="C705" s="1" t="s">
        <v>25</v>
      </c>
      <c r="D705" s="1" t="s">
        <v>31</v>
      </c>
      <c r="E705" s="1">
        <v>1129160.03</v>
      </c>
      <c r="F705" s="1">
        <v>45057.06</v>
      </c>
      <c r="G705" s="1">
        <v>29243</v>
      </c>
      <c r="H705" s="1">
        <v>38.613002430000002</v>
      </c>
    </row>
    <row r="706" spans="1:8" ht="15.75" thickBot="1" x14ac:dyDescent="0.3">
      <c r="A706" s="1">
        <v>2016</v>
      </c>
      <c r="B706" s="1" t="s">
        <v>12</v>
      </c>
      <c r="C706" s="1" t="s">
        <v>18</v>
      </c>
      <c r="D706" s="1" t="s">
        <v>19</v>
      </c>
      <c r="E706" s="1">
        <v>1750380.77</v>
      </c>
      <c r="F706" s="1">
        <v>47225.55</v>
      </c>
      <c r="G706" s="1">
        <v>8465</v>
      </c>
      <c r="H706" s="1">
        <v>206.7785907</v>
      </c>
    </row>
    <row r="707" spans="1:8" ht="15.75" thickBot="1" x14ac:dyDescent="0.3">
      <c r="A707" s="1">
        <v>2017</v>
      </c>
      <c r="B707" s="1" t="s">
        <v>16</v>
      </c>
      <c r="C707" s="1" t="s">
        <v>28</v>
      </c>
      <c r="D707" s="1" t="s">
        <v>22</v>
      </c>
      <c r="E707" s="1">
        <v>98497.91</v>
      </c>
      <c r="F707" s="1">
        <v>3304.39</v>
      </c>
      <c r="G707" s="1">
        <v>3850</v>
      </c>
      <c r="H707" s="1">
        <v>25.58387273</v>
      </c>
    </row>
    <row r="708" spans="1:8" ht="15.75" thickBot="1" x14ac:dyDescent="0.3">
      <c r="A708" s="1">
        <v>2017</v>
      </c>
      <c r="B708" s="1" t="s">
        <v>17</v>
      </c>
      <c r="C708" s="1" t="s">
        <v>33</v>
      </c>
      <c r="D708" s="1" t="s">
        <v>32</v>
      </c>
      <c r="E708" s="1">
        <v>250999945.90000001</v>
      </c>
      <c r="F708" s="1">
        <v>8936945.7899999991</v>
      </c>
      <c r="G708" s="1">
        <v>4144468</v>
      </c>
      <c r="H708" s="1">
        <v>60.562645410000002</v>
      </c>
    </row>
    <row r="709" spans="1:8" ht="15.75" thickBot="1" x14ac:dyDescent="0.3">
      <c r="A709" s="1">
        <v>2015</v>
      </c>
      <c r="B709" s="1" t="s">
        <v>11</v>
      </c>
      <c r="C709" s="1" t="s">
        <v>21</v>
      </c>
      <c r="D709" s="1" t="s">
        <v>19</v>
      </c>
      <c r="E709" s="1">
        <v>8237190.5499999998</v>
      </c>
      <c r="F709" s="1">
        <v>274105.18</v>
      </c>
      <c r="G709" s="1">
        <v>48975</v>
      </c>
      <c r="H709" s="1">
        <v>168.19174169999999</v>
      </c>
    </row>
    <row r="710" spans="1:8" ht="15.75" thickBot="1" x14ac:dyDescent="0.3">
      <c r="A710" s="1">
        <v>2016</v>
      </c>
      <c r="B710" s="1" t="s">
        <v>14</v>
      </c>
      <c r="C710" s="1" t="s">
        <v>15</v>
      </c>
      <c r="D710" s="1" t="s">
        <v>27</v>
      </c>
      <c r="E710" s="1">
        <v>74244295.579999998</v>
      </c>
      <c r="F710" s="1">
        <v>3011431.87</v>
      </c>
      <c r="G710" s="1">
        <v>2116187</v>
      </c>
      <c r="H710" s="1">
        <v>35.083995690000002</v>
      </c>
    </row>
    <row r="711" spans="1:8" ht="15.75" thickBot="1" x14ac:dyDescent="0.3">
      <c r="A711" s="1">
        <v>2016</v>
      </c>
      <c r="B711" s="1" t="s">
        <v>35</v>
      </c>
      <c r="C711" s="1" t="s">
        <v>9</v>
      </c>
      <c r="D711" s="1" t="s">
        <v>19</v>
      </c>
      <c r="E711" s="1">
        <v>19439.09</v>
      </c>
      <c r="F711" s="1">
        <v>409.55</v>
      </c>
      <c r="G711" s="1">
        <v>675</v>
      </c>
      <c r="H711" s="1">
        <v>28.798651849999999</v>
      </c>
    </row>
    <row r="712" spans="1:8" ht="15.75" thickBot="1" x14ac:dyDescent="0.3">
      <c r="A712" s="1">
        <v>2015</v>
      </c>
      <c r="B712" s="1" t="s">
        <v>20</v>
      </c>
      <c r="C712" s="1" t="s">
        <v>23</v>
      </c>
      <c r="D712" s="1" t="s">
        <v>29</v>
      </c>
      <c r="E712" s="1">
        <v>161828.63</v>
      </c>
      <c r="F712" s="1">
        <v>6107.94</v>
      </c>
      <c r="G712" s="1">
        <v>2681</v>
      </c>
      <c r="H712" s="1">
        <v>60.361294289999996</v>
      </c>
    </row>
    <row r="713" spans="1:8" ht="15.75" thickBot="1" x14ac:dyDescent="0.3">
      <c r="A713" s="1">
        <v>2016</v>
      </c>
      <c r="B713" s="1" t="s">
        <v>35</v>
      </c>
      <c r="C713" s="1" t="s">
        <v>18</v>
      </c>
      <c r="D713" s="1" t="s">
        <v>10</v>
      </c>
      <c r="E713" s="1">
        <v>-1</v>
      </c>
      <c r="F713" s="1">
        <v>0</v>
      </c>
      <c r="G713" s="1">
        <v>30</v>
      </c>
      <c r="H713" s="1">
        <v>-3.3333333329999999E-2</v>
      </c>
    </row>
    <row r="714" spans="1:8" ht="15.75" thickBot="1" x14ac:dyDescent="0.3">
      <c r="A714" s="1">
        <v>2017</v>
      </c>
      <c r="B714" s="1" t="s">
        <v>17</v>
      </c>
      <c r="C714" s="1" t="s">
        <v>9</v>
      </c>
      <c r="D714" s="1" t="s">
        <v>31</v>
      </c>
      <c r="E714" s="1">
        <v>1691997514</v>
      </c>
      <c r="F714" s="1">
        <v>46071277.32</v>
      </c>
      <c r="G714" s="1">
        <v>18519747</v>
      </c>
      <c r="H714" s="1">
        <v>91.361805000000004</v>
      </c>
    </row>
    <row r="715" spans="1:8" ht="15.75" thickBot="1" x14ac:dyDescent="0.3">
      <c r="A715" s="1">
        <v>2017</v>
      </c>
      <c r="B715" s="1" t="s">
        <v>35</v>
      </c>
      <c r="C715" s="1" t="s">
        <v>18</v>
      </c>
      <c r="D715" s="1" t="s">
        <v>19</v>
      </c>
      <c r="E715" s="1">
        <v>14866.17</v>
      </c>
      <c r="F715" s="1">
        <v>271.24</v>
      </c>
      <c r="G715" s="1">
        <v>333</v>
      </c>
      <c r="H715" s="1">
        <v>44.643153150000003</v>
      </c>
    </row>
    <row r="716" spans="1:8" ht="15.75" thickBot="1" x14ac:dyDescent="0.3">
      <c r="A716" s="1">
        <v>2017</v>
      </c>
      <c r="B716" s="1" t="s">
        <v>12</v>
      </c>
      <c r="C716" s="1" t="s">
        <v>12</v>
      </c>
      <c r="D716" s="1" t="s">
        <v>19</v>
      </c>
      <c r="E716" s="1">
        <v>5376556.9299999997</v>
      </c>
      <c r="F716" s="1">
        <v>150260.76</v>
      </c>
      <c r="G716" s="1">
        <v>41417</v>
      </c>
      <c r="H716" s="1">
        <v>129.81521910000001</v>
      </c>
    </row>
    <row r="717" spans="1:8" ht="15.75" thickBot="1" x14ac:dyDescent="0.3">
      <c r="A717" s="1">
        <v>2017</v>
      </c>
      <c r="B717" s="1" t="s">
        <v>16</v>
      </c>
      <c r="C717" s="1" t="s">
        <v>15</v>
      </c>
      <c r="D717" s="1" t="s">
        <v>27</v>
      </c>
      <c r="E717" s="1">
        <v>200435752.69999999</v>
      </c>
      <c r="F717" s="1">
        <v>7649790.21</v>
      </c>
      <c r="G717" s="1">
        <v>3491326</v>
      </c>
      <c r="H717" s="1">
        <v>57.409635389999998</v>
      </c>
    </row>
    <row r="718" spans="1:8" ht="15.75" thickBot="1" x14ac:dyDescent="0.3">
      <c r="A718" s="1">
        <v>2015</v>
      </c>
      <c r="B718" s="1" t="s">
        <v>35</v>
      </c>
      <c r="C718" s="1" t="s">
        <v>12</v>
      </c>
      <c r="D718" s="1" t="s">
        <v>19</v>
      </c>
      <c r="E718" s="1">
        <v>22948.28</v>
      </c>
      <c r="F718" s="1">
        <v>566.48</v>
      </c>
      <c r="G718" s="1">
        <v>923</v>
      </c>
      <c r="H718" s="1">
        <v>24.862708560000002</v>
      </c>
    </row>
    <row r="719" spans="1:8" ht="15.75" thickBot="1" x14ac:dyDescent="0.3">
      <c r="A719" s="1">
        <v>2016</v>
      </c>
      <c r="B719" s="1" t="s">
        <v>12</v>
      </c>
      <c r="C719" s="1" t="s">
        <v>28</v>
      </c>
      <c r="D719" s="1" t="s">
        <v>32</v>
      </c>
      <c r="E719" s="1">
        <v>10216697.699999999</v>
      </c>
      <c r="F719" s="1">
        <v>291471.76</v>
      </c>
      <c r="G719" s="1">
        <v>132146</v>
      </c>
      <c r="H719" s="1">
        <v>77.313711350000005</v>
      </c>
    </row>
    <row r="720" spans="1:8" ht="15.75" thickBot="1" x14ac:dyDescent="0.3">
      <c r="A720" s="1">
        <v>2015</v>
      </c>
      <c r="B720" s="1" t="s">
        <v>30</v>
      </c>
      <c r="C720" s="1" t="s">
        <v>23</v>
      </c>
      <c r="D720" s="1" t="s">
        <v>29</v>
      </c>
      <c r="E720" s="1">
        <v>5390753.6200000001</v>
      </c>
      <c r="F720" s="1">
        <v>185275.73</v>
      </c>
      <c r="G720" s="1">
        <v>41880</v>
      </c>
      <c r="H720" s="1">
        <v>128.7190454</v>
      </c>
    </row>
    <row r="721" spans="1:8" ht="15.75" thickBot="1" x14ac:dyDescent="0.3">
      <c r="A721" s="1">
        <v>2015</v>
      </c>
      <c r="B721" s="1" t="s">
        <v>11</v>
      </c>
      <c r="C721" s="1" t="s">
        <v>28</v>
      </c>
      <c r="D721" s="1" t="s">
        <v>24</v>
      </c>
      <c r="E721" s="1">
        <v>39187232.899999999</v>
      </c>
      <c r="F721" s="1">
        <v>1083549.45</v>
      </c>
      <c r="G721" s="1">
        <v>35667</v>
      </c>
      <c r="H721" s="1">
        <v>1098.6971960000001</v>
      </c>
    </row>
    <row r="722" spans="1:8" ht="15.75" thickBot="1" x14ac:dyDescent="0.3">
      <c r="A722" s="1">
        <v>2016</v>
      </c>
      <c r="B722" s="1" t="s">
        <v>20</v>
      </c>
      <c r="C722" s="1" t="s">
        <v>33</v>
      </c>
      <c r="D722" s="1" t="s">
        <v>19</v>
      </c>
      <c r="E722" s="1">
        <v>5545216.7000000002</v>
      </c>
      <c r="F722" s="1">
        <v>165215.67999999999</v>
      </c>
      <c r="G722" s="1">
        <v>70640</v>
      </c>
      <c r="H722" s="1">
        <v>78.499670159999994</v>
      </c>
    </row>
    <row r="723" spans="1:8" ht="15.75" thickBot="1" x14ac:dyDescent="0.3">
      <c r="A723" s="1">
        <v>2017</v>
      </c>
      <c r="B723" s="1" t="s">
        <v>11</v>
      </c>
      <c r="C723" s="1" t="s">
        <v>23</v>
      </c>
      <c r="D723" s="1" t="s">
        <v>31</v>
      </c>
      <c r="E723" s="1">
        <v>27024813.75</v>
      </c>
      <c r="F723" s="1">
        <v>803042.65</v>
      </c>
      <c r="G723" s="1">
        <v>538856</v>
      </c>
      <c r="H723" s="1">
        <v>50.152199750000001</v>
      </c>
    </row>
    <row r="724" spans="1:8" ht="15.75" thickBot="1" x14ac:dyDescent="0.3">
      <c r="A724" s="1">
        <v>2017</v>
      </c>
      <c r="B724" s="1" t="s">
        <v>11</v>
      </c>
      <c r="C724" s="1" t="s">
        <v>12</v>
      </c>
      <c r="D724" s="1" t="s">
        <v>32</v>
      </c>
      <c r="E724" s="1">
        <v>68404829.780000001</v>
      </c>
      <c r="F724" s="1">
        <v>2607949.09</v>
      </c>
      <c r="G724" s="1">
        <v>1561417</v>
      </c>
      <c r="H724" s="1">
        <v>43.809456269999998</v>
      </c>
    </row>
    <row r="725" spans="1:8" ht="15.75" thickBot="1" x14ac:dyDescent="0.3">
      <c r="A725" s="1">
        <v>2017</v>
      </c>
      <c r="B725" s="1" t="s">
        <v>12</v>
      </c>
      <c r="C725" s="1" t="s">
        <v>23</v>
      </c>
      <c r="D725" s="1" t="s">
        <v>10</v>
      </c>
      <c r="E725" s="1">
        <v>2559272.5299999998</v>
      </c>
      <c r="F725" s="1">
        <v>83682.09</v>
      </c>
      <c r="G725" s="1">
        <v>98074</v>
      </c>
      <c r="H725" s="1">
        <v>26.09532119</v>
      </c>
    </row>
    <row r="726" spans="1:8" ht="15.75" thickBot="1" x14ac:dyDescent="0.3">
      <c r="A726" s="1">
        <v>2017</v>
      </c>
      <c r="B726" s="1" t="s">
        <v>14</v>
      </c>
      <c r="C726" s="1" t="s">
        <v>25</v>
      </c>
      <c r="D726" s="1" t="s">
        <v>22</v>
      </c>
      <c r="E726" s="1">
        <v>16889.53</v>
      </c>
      <c r="F726" s="1">
        <v>630.51</v>
      </c>
      <c r="G726" s="1">
        <v>1231</v>
      </c>
      <c r="H726" s="1">
        <v>13.72017059</v>
      </c>
    </row>
    <row r="727" spans="1:8" ht="15.75" thickBot="1" x14ac:dyDescent="0.3">
      <c r="A727" s="1">
        <v>2016</v>
      </c>
      <c r="B727" s="1" t="s">
        <v>35</v>
      </c>
      <c r="C727" s="1" t="s">
        <v>18</v>
      </c>
      <c r="D727" s="1" t="s">
        <v>31</v>
      </c>
      <c r="E727" s="1">
        <v>0</v>
      </c>
      <c r="F727" s="1">
        <v>0</v>
      </c>
      <c r="G727" s="1">
        <v>11</v>
      </c>
      <c r="H727" s="1">
        <v>0</v>
      </c>
    </row>
    <row r="728" spans="1:8" ht="15.75" thickBot="1" x14ac:dyDescent="0.3">
      <c r="A728" s="1">
        <v>2016</v>
      </c>
      <c r="B728" s="1" t="s">
        <v>12</v>
      </c>
      <c r="C728" s="1" t="s">
        <v>23</v>
      </c>
      <c r="D728" s="1" t="s">
        <v>32</v>
      </c>
      <c r="E728" s="1">
        <v>2463515.5299999998</v>
      </c>
      <c r="F728" s="1">
        <v>97330</v>
      </c>
      <c r="G728" s="1">
        <v>56641</v>
      </c>
      <c r="H728" s="1">
        <v>43.49350347</v>
      </c>
    </row>
    <row r="729" spans="1:8" ht="15.75" thickBot="1" x14ac:dyDescent="0.3">
      <c r="A729" s="1">
        <v>2017</v>
      </c>
      <c r="B729" s="1" t="s">
        <v>30</v>
      </c>
      <c r="C729" s="1" t="s">
        <v>33</v>
      </c>
      <c r="D729" s="1" t="s">
        <v>29</v>
      </c>
      <c r="E729" s="1">
        <v>19660173.57</v>
      </c>
      <c r="F729" s="1">
        <v>652758.99</v>
      </c>
      <c r="G729" s="1">
        <v>90502</v>
      </c>
      <c r="H729" s="1">
        <v>217.2346862</v>
      </c>
    </row>
    <row r="730" spans="1:8" ht="15.75" thickBot="1" x14ac:dyDescent="0.3">
      <c r="A730" s="1">
        <v>2016</v>
      </c>
      <c r="B730" s="1" t="s">
        <v>16</v>
      </c>
      <c r="C730" s="1" t="s">
        <v>33</v>
      </c>
      <c r="D730" s="1" t="s">
        <v>10</v>
      </c>
      <c r="E730" s="1">
        <v>33965749.899999999</v>
      </c>
      <c r="F730" s="1">
        <v>1238567.92</v>
      </c>
      <c r="G730" s="1">
        <v>606949</v>
      </c>
      <c r="H730" s="1">
        <v>55.961456230000003</v>
      </c>
    </row>
    <row r="731" spans="1:8" ht="15.75" thickBot="1" x14ac:dyDescent="0.3">
      <c r="A731" s="1">
        <v>2014</v>
      </c>
      <c r="B731" s="1" t="s">
        <v>11</v>
      </c>
      <c r="C731" s="1" t="s">
        <v>18</v>
      </c>
      <c r="D731" s="1" t="s">
        <v>13</v>
      </c>
      <c r="E731" s="1">
        <v>1314.75</v>
      </c>
      <c r="F731" s="1">
        <v>25.47</v>
      </c>
      <c r="G731" s="1">
        <v>12</v>
      </c>
      <c r="H731" s="1">
        <v>109.5625</v>
      </c>
    </row>
    <row r="732" spans="1:8" ht="15.75" thickBot="1" x14ac:dyDescent="0.3">
      <c r="A732" s="1">
        <v>2017</v>
      </c>
      <c r="B732" s="1" t="s">
        <v>12</v>
      </c>
      <c r="C732" s="1" t="s">
        <v>18</v>
      </c>
      <c r="D732" s="1" t="s">
        <v>19</v>
      </c>
      <c r="E732" s="1">
        <v>1842690.13</v>
      </c>
      <c r="F732" s="1">
        <v>48481.16</v>
      </c>
      <c r="G732" s="1">
        <v>9192</v>
      </c>
      <c r="H732" s="1">
        <v>200.46672430000001</v>
      </c>
    </row>
    <row r="733" spans="1:8" ht="15.75" thickBot="1" x14ac:dyDescent="0.3">
      <c r="A733" s="1">
        <v>2015</v>
      </c>
      <c r="B733" s="1" t="s">
        <v>35</v>
      </c>
      <c r="C733" s="1" t="s">
        <v>26</v>
      </c>
      <c r="D733" s="1" t="s">
        <v>24</v>
      </c>
      <c r="E733" s="1">
        <v>581.80999999999995</v>
      </c>
      <c r="F733" s="1">
        <v>121.05</v>
      </c>
      <c r="G733" s="1">
        <v>21</v>
      </c>
      <c r="H733" s="1">
        <v>27.705238099999999</v>
      </c>
    </row>
    <row r="734" spans="1:8" ht="15.75" thickBot="1" x14ac:dyDescent="0.3">
      <c r="A734" s="1">
        <v>2015</v>
      </c>
      <c r="B734" s="1" t="s">
        <v>16</v>
      </c>
      <c r="C734" s="1" t="s">
        <v>26</v>
      </c>
      <c r="D734" s="1" t="s">
        <v>19</v>
      </c>
      <c r="E734" s="1">
        <v>69322308.140000001</v>
      </c>
      <c r="F734" s="1">
        <v>2431845.31</v>
      </c>
      <c r="G734" s="1">
        <v>414406</v>
      </c>
      <c r="H734" s="1">
        <v>167.28114009999999</v>
      </c>
    </row>
    <row r="735" spans="1:8" ht="15.75" thickBot="1" x14ac:dyDescent="0.3">
      <c r="A735" s="1">
        <v>2017</v>
      </c>
      <c r="B735" s="1" t="s">
        <v>40</v>
      </c>
      <c r="C735" s="1" t="s">
        <v>28</v>
      </c>
      <c r="D735" s="1" t="s">
        <v>19</v>
      </c>
      <c r="E735" s="1">
        <v>438605.59</v>
      </c>
      <c r="F735" s="1">
        <v>9200.8700000000008</v>
      </c>
      <c r="G735" s="1">
        <v>3850</v>
      </c>
      <c r="H735" s="1">
        <v>113.92352990000001</v>
      </c>
    </row>
    <row r="736" spans="1:8" ht="15.75" thickBot="1" x14ac:dyDescent="0.3">
      <c r="A736" s="1">
        <v>2014</v>
      </c>
      <c r="B736" s="1" t="s">
        <v>14</v>
      </c>
      <c r="C736" s="1" t="s">
        <v>9</v>
      </c>
      <c r="D736" s="1" t="s">
        <v>31</v>
      </c>
      <c r="E736" s="1">
        <v>40561410.43</v>
      </c>
      <c r="F736" s="1">
        <v>1370859.5</v>
      </c>
      <c r="G736" s="1">
        <v>667892</v>
      </c>
      <c r="H736" s="1">
        <v>60.730493000000003</v>
      </c>
    </row>
    <row r="737" spans="1:8" ht="15.75" thickBot="1" x14ac:dyDescent="0.3">
      <c r="A737" s="1">
        <v>2016</v>
      </c>
      <c r="B737" s="1" t="s">
        <v>17</v>
      </c>
      <c r="C737" s="1" t="s">
        <v>21</v>
      </c>
      <c r="D737" s="1" t="s">
        <v>19</v>
      </c>
      <c r="E737" s="1">
        <v>37398916.579999998</v>
      </c>
      <c r="F737" s="1">
        <v>1283663.3899999999</v>
      </c>
      <c r="G737" s="1">
        <v>201256</v>
      </c>
      <c r="H737" s="1">
        <v>185.82758569999999</v>
      </c>
    </row>
    <row r="738" spans="1:8" ht="15.75" thickBot="1" x14ac:dyDescent="0.3">
      <c r="A738" s="1">
        <v>2016</v>
      </c>
      <c r="B738" s="1" t="s">
        <v>20</v>
      </c>
      <c r="C738" s="1" t="s">
        <v>26</v>
      </c>
      <c r="D738" s="1" t="s">
        <v>31</v>
      </c>
      <c r="E738" s="1">
        <v>28987.599999999999</v>
      </c>
      <c r="F738" s="1">
        <v>1188.0999999999999</v>
      </c>
      <c r="G738" s="1">
        <v>1046</v>
      </c>
      <c r="H738" s="1">
        <v>27.712810709999999</v>
      </c>
    </row>
    <row r="739" spans="1:8" ht="15.75" thickBot="1" x14ac:dyDescent="0.3">
      <c r="A739" s="1">
        <v>2015</v>
      </c>
      <c r="B739" s="1" t="s">
        <v>20</v>
      </c>
      <c r="C739" s="1" t="s">
        <v>18</v>
      </c>
      <c r="D739" s="1" t="s">
        <v>19</v>
      </c>
      <c r="E739" s="1">
        <v>1216407.3400000001</v>
      </c>
      <c r="F739" s="1">
        <v>41249.5</v>
      </c>
      <c r="G739" s="1">
        <v>13202</v>
      </c>
      <c r="H739" s="1">
        <v>92.138110889999993</v>
      </c>
    </row>
    <row r="740" spans="1:8" ht="15.75" thickBot="1" x14ac:dyDescent="0.3">
      <c r="A740" s="1">
        <v>2015</v>
      </c>
      <c r="B740" s="1" t="s">
        <v>17</v>
      </c>
      <c r="C740" s="1" t="s">
        <v>33</v>
      </c>
      <c r="D740" s="1" t="s">
        <v>31</v>
      </c>
      <c r="E740" s="1">
        <v>22861896.34</v>
      </c>
      <c r="F740" s="1">
        <v>745919.31</v>
      </c>
      <c r="G740" s="1">
        <v>387386</v>
      </c>
      <c r="H740" s="1">
        <v>59.015804240000001</v>
      </c>
    </row>
    <row r="741" spans="1:8" ht="15.75" thickBot="1" x14ac:dyDescent="0.3">
      <c r="A741" s="1">
        <v>2017</v>
      </c>
      <c r="B741" s="1" t="s">
        <v>20</v>
      </c>
      <c r="C741" s="1" t="s">
        <v>26</v>
      </c>
      <c r="D741" s="1" t="s">
        <v>29</v>
      </c>
      <c r="E741" s="1">
        <v>418501.61</v>
      </c>
      <c r="F741" s="1">
        <v>15314.64</v>
      </c>
      <c r="G741" s="1">
        <v>5859</v>
      </c>
      <c r="H741" s="1">
        <v>71.428846219999997</v>
      </c>
    </row>
    <row r="742" spans="1:8" ht="15.75" thickBot="1" x14ac:dyDescent="0.3">
      <c r="A742" s="1">
        <v>2016</v>
      </c>
      <c r="B742" s="1" t="s">
        <v>17</v>
      </c>
      <c r="C742" s="1" t="s">
        <v>23</v>
      </c>
      <c r="D742" s="1" t="s">
        <v>19</v>
      </c>
      <c r="E742" s="1">
        <v>20237290.68</v>
      </c>
      <c r="F742" s="1">
        <v>719134.44</v>
      </c>
      <c r="G742" s="1">
        <v>144290</v>
      </c>
      <c r="H742" s="1">
        <v>140.25428429999999</v>
      </c>
    </row>
    <row r="743" spans="1:8" ht="15.75" thickBot="1" x14ac:dyDescent="0.3">
      <c r="A743" s="1">
        <v>2014</v>
      </c>
      <c r="B743" s="1" t="s">
        <v>17</v>
      </c>
      <c r="C743" s="1" t="s">
        <v>12</v>
      </c>
      <c r="D743" s="1" t="s">
        <v>32</v>
      </c>
      <c r="E743" s="1">
        <v>81205451.489999995</v>
      </c>
      <c r="F743" s="1">
        <v>3098817.85</v>
      </c>
      <c r="G743" s="1">
        <v>1529712</v>
      </c>
      <c r="H743" s="1">
        <v>53.085451050000003</v>
      </c>
    </row>
    <row r="744" spans="1:8" ht="15.75" thickBot="1" x14ac:dyDescent="0.3">
      <c r="A744" s="1">
        <v>2015</v>
      </c>
      <c r="B744" s="1" t="s">
        <v>35</v>
      </c>
      <c r="C744" s="1" t="s">
        <v>9</v>
      </c>
      <c r="D744" s="1" t="s">
        <v>19</v>
      </c>
      <c r="E744" s="1">
        <v>0</v>
      </c>
      <c r="F744" s="1">
        <v>0</v>
      </c>
      <c r="G744" s="1">
        <v>344</v>
      </c>
      <c r="H744" s="1">
        <v>0</v>
      </c>
    </row>
    <row r="745" spans="1:8" ht="15.75" thickBot="1" x14ac:dyDescent="0.3">
      <c r="A745" s="1">
        <v>2015</v>
      </c>
      <c r="B745" s="1" t="s">
        <v>30</v>
      </c>
      <c r="C745" s="1" t="s">
        <v>28</v>
      </c>
      <c r="D745" s="1" t="s">
        <v>32</v>
      </c>
      <c r="E745" s="1">
        <v>17182400.870000001</v>
      </c>
      <c r="F745" s="1">
        <v>638520.18000000005</v>
      </c>
      <c r="G745" s="1">
        <v>423502</v>
      </c>
      <c r="H745" s="1">
        <v>40.572183529999997</v>
      </c>
    </row>
    <row r="746" spans="1:8" ht="15.75" thickBot="1" x14ac:dyDescent="0.3">
      <c r="A746" s="1">
        <v>2017</v>
      </c>
      <c r="B746" s="1" t="s">
        <v>11</v>
      </c>
      <c r="C746" s="1" t="s">
        <v>23</v>
      </c>
      <c r="D746" s="1" t="s">
        <v>34</v>
      </c>
      <c r="E746" s="1">
        <v>619105.02</v>
      </c>
      <c r="F746" s="1">
        <v>15402.71</v>
      </c>
      <c r="G746" s="1">
        <v>16287</v>
      </c>
      <c r="H746" s="1">
        <v>38.012219559999998</v>
      </c>
    </row>
    <row r="747" spans="1:8" ht="15.75" thickBot="1" x14ac:dyDescent="0.3">
      <c r="A747" s="1">
        <v>2015</v>
      </c>
      <c r="B747" s="1" t="s">
        <v>17</v>
      </c>
      <c r="C747" s="1" t="s">
        <v>28</v>
      </c>
      <c r="D747" s="1" t="s">
        <v>24</v>
      </c>
      <c r="E747" s="1">
        <v>114651020.5</v>
      </c>
      <c r="F747" s="1">
        <v>3425412.17</v>
      </c>
      <c r="G747" s="1">
        <v>165979</v>
      </c>
      <c r="H747" s="1">
        <v>690.75618280000003</v>
      </c>
    </row>
    <row r="748" spans="1:8" ht="15.75" thickBot="1" x14ac:dyDescent="0.3">
      <c r="A748" s="1">
        <v>2017</v>
      </c>
      <c r="B748" s="1" t="s">
        <v>8</v>
      </c>
      <c r="C748" s="1" t="s">
        <v>9</v>
      </c>
      <c r="D748" s="1" t="s">
        <v>32</v>
      </c>
      <c r="E748" s="1">
        <v>2029.23</v>
      </c>
      <c r="F748" s="1">
        <v>79.25</v>
      </c>
      <c r="G748" s="1">
        <v>36</v>
      </c>
      <c r="H748" s="1">
        <v>56.3675</v>
      </c>
    </row>
    <row r="749" spans="1:8" ht="15.75" thickBot="1" x14ac:dyDescent="0.3">
      <c r="A749" s="1">
        <v>2015</v>
      </c>
      <c r="B749" s="1" t="s">
        <v>16</v>
      </c>
      <c r="C749" s="1" t="s">
        <v>12</v>
      </c>
      <c r="D749" s="1" t="s">
        <v>32</v>
      </c>
      <c r="E749" s="1">
        <v>96548709.5</v>
      </c>
      <c r="F749" s="1">
        <v>3724477.39</v>
      </c>
      <c r="G749" s="1">
        <v>1528363</v>
      </c>
      <c r="H749" s="1">
        <v>63.171320880000003</v>
      </c>
    </row>
    <row r="750" spans="1:8" ht="15.75" thickBot="1" x14ac:dyDescent="0.3">
      <c r="A750" s="1">
        <v>2015</v>
      </c>
      <c r="B750" s="1" t="s">
        <v>20</v>
      </c>
      <c r="C750" s="1" t="s">
        <v>15</v>
      </c>
      <c r="D750" s="1" t="s">
        <v>13</v>
      </c>
      <c r="E750" s="1">
        <v>14633.6</v>
      </c>
      <c r="F750" s="1">
        <v>501.41</v>
      </c>
      <c r="G750" s="1">
        <v>208</v>
      </c>
      <c r="H750" s="1">
        <v>70.353846149999995</v>
      </c>
    </row>
    <row r="751" spans="1:8" ht="15.75" thickBot="1" x14ac:dyDescent="0.3">
      <c r="A751" s="1">
        <v>2017</v>
      </c>
      <c r="B751" s="1" t="s">
        <v>20</v>
      </c>
      <c r="C751" s="1" t="s">
        <v>28</v>
      </c>
      <c r="D751" s="1" t="s">
        <v>22</v>
      </c>
      <c r="E751" s="1">
        <v>3.09</v>
      </c>
      <c r="F751" s="1">
        <v>2.81</v>
      </c>
      <c r="G751" s="1">
        <v>26834</v>
      </c>
      <c r="H751" s="1">
        <v>1.151524186E-4</v>
      </c>
    </row>
    <row r="752" spans="1:8" ht="15.75" thickBot="1" x14ac:dyDescent="0.3">
      <c r="A752" s="1">
        <v>2014</v>
      </c>
      <c r="B752" s="1" t="s">
        <v>17</v>
      </c>
      <c r="C752" s="1" t="s">
        <v>9</v>
      </c>
      <c r="D752" s="1" t="s">
        <v>22</v>
      </c>
      <c r="E752" s="1">
        <v>147.82</v>
      </c>
      <c r="F752" s="1">
        <v>3.47</v>
      </c>
      <c r="G752" s="1">
        <v>4</v>
      </c>
      <c r="H752" s="1">
        <v>36.954999999999998</v>
      </c>
    </row>
    <row r="753" spans="1:8" ht="15.75" thickBot="1" x14ac:dyDescent="0.3">
      <c r="A753" s="1">
        <v>2017</v>
      </c>
      <c r="B753" s="1" t="s">
        <v>14</v>
      </c>
      <c r="C753" s="1" t="s">
        <v>21</v>
      </c>
      <c r="D753" s="1" t="s">
        <v>10</v>
      </c>
      <c r="E753" s="1">
        <v>18475237.039999999</v>
      </c>
      <c r="F753" s="1">
        <v>734545.01</v>
      </c>
      <c r="G753" s="1">
        <v>476876</v>
      </c>
      <c r="H753" s="1">
        <v>38.742224479999997</v>
      </c>
    </row>
    <row r="754" spans="1:8" ht="15.75" thickBot="1" x14ac:dyDescent="0.3">
      <c r="A754" s="1">
        <v>2014</v>
      </c>
      <c r="B754" s="1" t="s">
        <v>20</v>
      </c>
      <c r="C754" s="1" t="s">
        <v>9</v>
      </c>
      <c r="D754" s="1" t="s">
        <v>19</v>
      </c>
      <c r="E754" s="1">
        <v>30.7</v>
      </c>
      <c r="F754" s="1">
        <v>1.99</v>
      </c>
      <c r="G754" s="1">
        <v>1320</v>
      </c>
      <c r="H754" s="1">
        <v>2.325757576E-2</v>
      </c>
    </row>
    <row r="755" spans="1:8" ht="15.75" thickBot="1" x14ac:dyDescent="0.3">
      <c r="A755" s="1">
        <v>2014</v>
      </c>
      <c r="B755" s="1" t="s">
        <v>8</v>
      </c>
      <c r="C755" s="1" t="s">
        <v>18</v>
      </c>
      <c r="D755" s="1" t="s">
        <v>19</v>
      </c>
      <c r="E755" s="1">
        <v>1171.9000000000001</v>
      </c>
      <c r="F755" s="1">
        <v>9.16</v>
      </c>
      <c r="G755" s="1">
        <v>14</v>
      </c>
      <c r="H755" s="1">
        <v>83.707142860000005</v>
      </c>
    </row>
    <row r="756" spans="1:8" ht="15.75" thickBot="1" x14ac:dyDescent="0.3">
      <c r="A756" s="1">
        <v>2015</v>
      </c>
      <c r="B756" s="1" t="s">
        <v>17</v>
      </c>
      <c r="C756" s="1" t="s">
        <v>9</v>
      </c>
      <c r="D756" s="1" t="s">
        <v>32</v>
      </c>
      <c r="E756" s="1">
        <v>349885625.5</v>
      </c>
      <c r="F756" s="1">
        <v>11215628.869999999</v>
      </c>
      <c r="G756" s="1">
        <v>3964841</v>
      </c>
      <c r="H756" s="1">
        <v>88.247076100000001</v>
      </c>
    </row>
    <row r="757" spans="1:8" ht="15.75" thickBot="1" x14ac:dyDescent="0.3">
      <c r="A757" s="1">
        <v>2017</v>
      </c>
      <c r="B757" s="1" t="s">
        <v>11</v>
      </c>
      <c r="C757" s="1" t="s">
        <v>33</v>
      </c>
      <c r="D757" s="1" t="s">
        <v>22</v>
      </c>
      <c r="E757" s="1">
        <v>35329971.939999998</v>
      </c>
      <c r="F757" s="1">
        <v>1100056.29</v>
      </c>
      <c r="G757" s="1">
        <v>2229019</v>
      </c>
      <c r="H757" s="1">
        <v>15.850009330000001</v>
      </c>
    </row>
    <row r="758" spans="1:8" ht="15.75" thickBot="1" x14ac:dyDescent="0.3">
      <c r="A758" s="1">
        <v>2015</v>
      </c>
      <c r="B758" s="1" t="s">
        <v>40</v>
      </c>
      <c r="C758" s="1" t="s">
        <v>25</v>
      </c>
      <c r="D758" s="1" t="s">
        <v>32</v>
      </c>
      <c r="E758" s="1">
        <v>2653.8</v>
      </c>
      <c r="F758" s="1">
        <v>132.55000000000001</v>
      </c>
      <c r="G758" s="1">
        <v>82</v>
      </c>
      <c r="H758" s="1">
        <v>32.363414630000001</v>
      </c>
    </row>
    <row r="759" spans="1:8" ht="15.75" thickBot="1" x14ac:dyDescent="0.3">
      <c r="A759" s="1">
        <v>2014</v>
      </c>
      <c r="B759" s="1" t="s">
        <v>30</v>
      </c>
      <c r="C759" s="1" t="s">
        <v>9</v>
      </c>
      <c r="D759" s="1" t="s">
        <v>13</v>
      </c>
      <c r="E759" s="1">
        <v>199.93</v>
      </c>
      <c r="F759" s="1">
        <v>20.13</v>
      </c>
      <c r="G759" s="1">
        <v>50</v>
      </c>
      <c r="H759" s="1">
        <v>3.9986000000000002</v>
      </c>
    </row>
    <row r="760" spans="1:8" ht="15.75" thickBot="1" x14ac:dyDescent="0.3">
      <c r="A760" s="1">
        <v>2016</v>
      </c>
      <c r="B760" s="1" t="s">
        <v>11</v>
      </c>
      <c r="C760" s="1" t="s">
        <v>25</v>
      </c>
      <c r="D760" s="1" t="s">
        <v>24</v>
      </c>
      <c r="E760" s="1">
        <v>7960231.3099999996</v>
      </c>
      <c r="F760" s="1">
        <v>241439.96</v>
      </c>
      <c r="G760" s="1">
        <v>31162</v>
      </c>
      <c r="H760" s="1">
        <v>255.44673990000001</v>
      </c>
    </row>
    <row r="761" spans="1:8" ht="15.75" thickBot="1" x14ac:dyDescent="0.3">
      <c r="A761" s="1">
        <v>2016</v>
      </c>
      <c r="B761" s="1" t="s">
        <v>8</v>
      </c>
      <c r="C761" s="1" t="s">
        <v>33</v>
      </c>
      <c r="D761" s="1" t="s">
        <v>13</v>
      </c>
      <c r="E761" s="1">
        <v>36.94</v>
      </c>
      <c r="F761" s="1">
        <v>1.97</v>
      </c>
      <c r="G761" s="1">
        <v>3</v>
      </c>
      <c r="H761" s="1">
        <v>12.313333330000001</v>
      </c>
    </row>
    <row r="762" spans="1:8" ht="15.75" thickBot="1" x14ac:dyDescent="0.3">
      <c r="A762" s="1">
        <v>2015</v>
      </c>
      <c r="B762" s="1" t="s">
        <v>30</v>
      </c>
      <c r="C762" s="1" t="s">
        <v>9</v>
      </c>
      <c r="D762" s="1" t="s">
        <v>13</v>
      </c>
      <c r="E762" s="1">
        <v>4053.4</v>
      </c>
      <c r="F762" s="1">
        <v>96.53</v>
      </c>
      <c r="G762" s="1">
        <v>204</v>
      </c>
      <c r="H762" s="1">
        <v>19.86960784</v>
      </c>
    </row>
    <row r="763" spans="1:8" ht="15.75" thickBot="1" x14ac:dyDescent="0.3">
      <c r="A763" s="1">
        <v>2015</v>
      </c>
      <c r="B763" s="1" t="s">
        <v>20</v>
      </c>
      <c r="C763" s="1" t="s">
        <v>23</v>
      </c>
      <c r="D763" s="1" t="s">
        <v>32</v>
      </c>
      <c r="E763" s="1">
        <v>1293401.3600000001</v>
      </c>
      <c r="F763" s="1">
        <v>58479.41</v>
      </c>
      <c r="G763" s="1">
        <v>67822</v>
      </c>
      <c r="H763" s="1">
        <v>19.070528150000001</v>
      </c>
    </row>
    <row r="764" spans="1:8" ht="15.75" thickBot="1" x14ac:dyDescent="0.3">
      <c r="A764" s="1">
        <v>2017</v>
      </c>
      <c r="B764" s="1" t="s">
        <v>20</v>
      </c>
      <c r="C764" s="1" t="s">
        <v>33</v>
      </c>
      <c r="D764" s="1" t="s">
        <v>29</v>
      </c>
      <c r="E764" s="1">
        <v>1360342.51</v>
      </c>
      <c r="F764" s="1">
        <v>46529.599999999999</v>
      </c>
      <c r="G764" s="1">
        <v>14186</v>
      </c>
      <c r="H764" s="1">
        <v>95.893311010000005</v>
      </c>
    </row>
    <row r="765" spans="1:8" ht="15.75" thickBot="1" x14ac:dyDescent="0.3">
      <c r="A765" s="1">
        <v>2015</v>
      </c>
      <c r="B765" s="1" t="s">
        <v>12</v>
      </c>
      <c r="C765" s="1" t="s">
        <v>9</v>
      </c>
      <c r="D765" s="1" t="s">
        <v>24</v>
      </c>
      <c r="E765" s="1">
        <v>33232.449999999997</v>
      </c>
      <c r="F765" s="1">
        <v>319.85000000000002</v>
      </c>
      <c r="G765" s="1">
        <v>228</v>
      </c>
      <c r="H765" s="1">
        <v>145.7563596</v>
      </c>
    </row>
    <row r="766" spans="1:8" ht="15.75" thickBot="1" x14ac:dyDescent="0.3">
      <c r="A766" s="1">
        <v>2014</v>
      </c>
      <c r="B766" s="1" t="s">
        <v>14</v>
      </c>
      <c r="C766" s="1" t="s">
        <v>21</v>
      </c>
      <c r="D766" s="1" t="s">
        <v>22</v>
      </c>
      <c r="E766" s="1">
        <v>34594.629999999997</v>
      </c>
      <c r="F766" s="1">
        <v>1183.98</v>
      </c>
      <c r="G766" s="1">
        <v>2851</v>
      </c>
      <c r="H766" s="1">
        <v>12.134209050000001</v>
      </c>
    </row>
    <row r="767" spans="1:8" ht="15.75" thickBot="1" x14ac:dyDescent="0.3">
      <c r="A767" s="1">
        <v>2015</v>
      </c>
      <c r="B767" s="1" t="s">
        <v>11</v>
      </c>
      <c r="C767" s="1" t="s">
        <v>15</v>
      </c>
      <c r="D767" s="1" t="s">
        <v>22</v>
      </c>
      <c r="E767" s="1">
        <v>7089009.9500000002</v>
      </c>
      <c r="F767" s="1">
        <v>219254.78</v>
      </c>
      <c r="G767" s="1">
        <v>407328</v>
      </c>
      <c r="H767" s="1">
        <v>17.403689289999999</v>
      </c>
    </row>
    <row r="768" spans="1:8" ht="15.75" thickBot="1" x14ac:dyDescent="0.3">
      <c r="A768" s="1">
        <v>2016</v>
      </c>
      <c r="B768" s="1" t="s">
        <v>40</v>
      </c>
      <c r="C768" s="1" t="s">
        <v>25</v>
      </c>
      <c r="D768" s="1" t="s">
        <v>31</v>
      </c>
      <c r="E768" s="1">
        <v>28.1</v>
      </c>
      <c r="F768" s="1">
        <v>1.1100000000000001</v>
      </c>
      <c r="G768" s="1">
        <v>1</v>
      </c>
      <c r="H768" s="1">
        <v>28.1</v>
      </c>
    </row>
    <row r="769" spans="1:8" ht="15.75" thickBot="1" x14ac:dyDescent="0.3">
      <c r="A769" s="1">
        <v>2014</v>
      </c>
      <c r="B769" s="1" t="s">
        <v>20</v>
      </c>
      <c r="C769" s="1" t="s">
        <v>28</v>
      </c>
      <c r="D769" s="1" t="s">
        <v>13</v>
      </c>
      <c r="E769" s="1">
        <v>10065.33</v>
      </c>
      <c r="F769" s="1">
        <v>380.34</v>
      </c>
      <c r="G769" s="1">
        <v>692</v>
      </c>
      <c r="H769" s="1">
        <v>14.54527457</v>
      </c>
    </row>
    <row r="770" spans="1:8" ht="15.75" thickBot="1" x14ac:dyDescent="0.3">
      <c r="A770" s="1">
        <v>2014</v>
      </c>
      <c r="B770" s="1" t="s">
        <v>12</v>
      </c>
      <c r="C770" s="1" t="s">
        <v>21</v>
      </c>
      <c r="D770" s="1" t="s">
        <v>19</v>
      </c>
      <c r="E770" s="1">
        <v>6714883.3499999996</v>
      </c>
      <c r="F770" s="1">
        <v>194113.62</v>
      </c>
      <c r="G770" s="1">
        <v>28812</v>
      </c>
      <c r="H770" s="1">
        <v>233.05856410000001</v>
      </c>
    </row>
    <row r="771" spans="1:8" ht="15.75" thickBot="1" x14ac:dyDescent="0.3">
      <c r="A771" s="1">
        <v>2017</v>
      </c>
      <c r="B771" s="1" t="s">
        <v>17</v>
      </c>
      <c r="C771" s="1" t="s">
        <v>23</v>
      </c>
      <c r="D771" s="1" t="s">
        <v>27</v>
      </c>
      <c r="E771" s="1">
        <v>542145982.79999995</v>
      </c>
      <c r="F771" s="1">
        <v>19770005.870000001</v>
      </c>
      <c r="G771" s="1">
        <v>10468188</v>
      </c>
      <c r="H771" s="1">
        <v>51.789859210000003</v>
      </c>
    </row>
    <row r="772" spans="1:8" ht="15.75" thickBot="1" x14ac:dyDescent="0.3">
      <c r="A772" s="1">
        <v>2017</v>
      </c>
      <c r="B772" s="1" t="s">
        <v>14</v>
      </c>
      <c r="C772" s="1" t="s">
        <v>33</v>
      </c>
      <c r="D772" s="1" t="s">
        <v>34</v>
      </c>
      <c r="E772" s="1">
        <v>291788.56</v>
      </c>
      <c r="F772" s="1">
        <v>12094.22</v>
      </c>
      <c r="G772" s="1">
        <v>11270</v>
      </c>
      <c r="H772" s="1">
        <v>25.890732920000001</v>
      </c>
    </row>
    <row r="773" spans="1:8" ht="15.75" thickBot="1" x14ac:dyDescent="0.3">
      <c r="A773" s="1">
        <v>2016</v>
      </c>
      <c r="B773" s="1" t="s">
        <v>11</v>
      </c>
      <c r="C773" s="1" t="s">
        <v>18</v>
      </c>
      <c r="D773" s="1" t="s">
        <v>32</v>
      </c>
      <c r="E773" s="1">
        <v>14044176.68</v>
      </c>
      <c r="F773" s="1">
        <v>443091.9</v>
      </c>
      <c r="G773" s="1">
        <v>262879</v>
      </c>
      <c r="H773" s="1">
        <v>53.424490659999996</v>
      </c>
    </row>
    <row r="774" spans="1:8" ht="15.75" thickBot="1" x14ac:dyDescent="0.3">
      <c r="A774" s="1">
        <v>2014</v>
      </c>
      <c r="B774" s="1" t="s">
        <v>12</v>
      </c>
      <c r="C774" s="1" t="s">
        <v>15</v>
      </c>
      <c r="D774" s="1" t="s">
        <v>32</v>
      </c>
      <c r="E774" s="1">
        <v>9971835.7400000002</v>
      </c>
      <c r="F774" s="1">
        <v>297211.51</v>
      </c>
      <c r="G774" s="1">
        <v>128934</v>
      </c>
      <c r="H774" s="1">
        <v>77.340621870000007</v>
      </c>
    </row>
    <row r="775" spans="1:8" ht="15.75" thickBot="1" x14ac:dyDescent="0.3">
      <c r="A775" s="1">
        <v>2015</v>
      </c>
      <c r="B775" s="1" t="s">
        <v>11</v>
      </c>
      <c r="C775" s="1" t="s">
        <v>9</v>
      </c>
      <c r="D775" s="1" t="s">
        <v>24</v>
      </c>
      <c r="E775" s="1">
        <v>384215.48</v>
      </c>
      <c r="F775" s="1">
        <v>11873.28</v>
      </c>
      <c r="G775" s="1">
        <v>2086</v>
      </c>
      <c r="H775" s="1">
        <v>184.18767020000001</v>
      </c>
    </row>
    <row r="776" spans="1:8" ht="15.75" thickBot="1" x14ac:dyDescent="0.3">
      <c r="A776" s="1">
        <v>2015</v>
      </c>
      <c r="B776" s="1" t="s">
        <v>14</v>
      </c>
      <c r="C776" s="1" t="s">
        <v>28</v>
      </c>
      <c r="D776" s="1" t="s">
        <v>32</v>
      </c>
      <c r="E776" s="1">
        <v>58030372.170000002</v>
      </c>
      <c r="F776" s="1">
        <v>2262353.61</v>
      </c>
      <c r="G776" s="1">
        <v>1402997</v>
      </c>
      <c r="H776" s="1">
        <v>41.361722210000003</v>
      </c>
    </row>
    <row r="777" spans="1:8" ht="15.75" thickBot="1" x14ac:dyDescent="0.3">
      <c r="A777" s="1">
        <v>2017</v>
      </c>
      <c r="B777" s="1" t="s">
        <v>11</v>
      </c>
      <c r="C777" s="1" t="s">
        <v>26</v>
      </c>
      <c r="D777" s="1" t="s">
        <v>19</v>
      </c>
      <c r="E777" s="1">
        <v>8599808.2300000004</v>
      </c>
      <c r="F777" s="1">
        <v>293341.90999999997</v>
      </c>
      <c r="G777" s="1">
        <v>57126</v>
      </c>
      <c r="H777" s="1">
        <v>150.5410536</v>
      </c>
    </row>
    <row r="778" spans="1:8" ht="15.75" thickBot="1" x14ac:dyDescent="0.3">
      <c r="A778" s="1">
        <v>2014</v>
      </c>
      <c r="B778" s="1" t="s">
        <v>30</v>
      </c>
      <c r="C778" s="1" t="s">
        <v>26</v>
      </c>
      <c r="D778" s="1" t="s">
        <v>32</v>
      </c>
      <c r="E778" s="1">
        <v>6853455.9699999997</v>
      </c>
      <c r="F778" s="1">
        <v>275196.64</v>
      </c>
      <c r="G778" s="1">
        <v>183809</v>
      </c>
      <c r="H778" s="1">
        <v>37.285747540000003</v>
      </c>
    </row>
    <row r="779" spans="1:8" ht="15.75" thickBot="1" x14ac:dyDescent="0.3">
      <c r="A779" s="1">
        <v>2014</v>
      </c>
      <c r="B779" s="1" t="s">
        <v>14</v>
      </c>
      <c r="C779" s="1" t="s">
        <v>23</v>
      </c>
      <c r="D779" s="1" t="s">
        <v>10</v>
      </c>
      <c r="E779" s="1">
        <v>991155.15</v>
      </c>
      <c r="F779" s="1">
        <v>36949.93</v>
      </c>
      <c r="G779" s="1">
        <v>18918</v>
      </c>
      <c r="H779" s="1">
        <v>52.39217412</v>
      </c>
    </row>
    <row r="780" spans="1:8" ht="15.75" thickBot="1" x14ac:dyDescent="0.3">
      <c r="A780" s="1">
        <v>2014</v>
      </c>
      <c r="B780" s="1" t="s">
        <v>17</v>
      </c>
      <c r="C780" s="1" t="s">
        <v>9</v>
      </c>
      <c r="D780" s="1" t="s">
        <v>31</v>
      </c>
      <c r="E780" s="1">
        <v>9215.35</v>
      </c>
      <c r="F780" s="1">
        <v>763.88</v>
      </c>
      <c r="G780" s="1">
        <v>1355</v>
      </c>
      <c r="H780" s="1">
        <v>6.8009963100000004</v>
      </c>
    </row>
    <row r="781" spans="1:8" ht="15.75" thickBot="1" x14ac:dyDescent="0.3">
      <c r="A781" s="1">
        <v>2015</v>
      </c>
      <c r="B781" s="1" t="s">
        <v>20</v>
      </c>
      <c r="C781" s="1" t="s">
        <v>15</v>
      </c>
      <c r="D781" s="1" t="s">
        <v>32</v>
      </c>
      <c r="E781" s="1">
        <v>4888077.82</v>
      </c>
      <c r="F781" s="1">
        <v>190147.94</v>
      </c>
      <c r="G781" s="1">
        <v>145091</v>
      </c>
      <c r="H781" s="1">
        <v>33.689738300000002</v>
      </c>
    </row>
    <row r="782" spans="1:8" ht="15.75" thickBot="1" x14ac:dyDescent="0.3">
      <c r="A782" s="1">
        <v>2016</v>
      </c>
      <c r="B782" s="1" t="s">
        <v>20</v>
      </c>
      <c r="C782" s="1" t="s">
        <v>25</v>
      </c>
      <c r="D782" s="1" t="s">
        <v>13</v>
      </c>
      <c r="E782" s="1">
        <v>107529.78</v>
      </c>
      <c r="F782" s="1">
        <v>3149.71</v>
      </c>
      <c r="G782" s="1">
        <v>2922</v>
      </c>
      <c r="H782" s="1">
        <v>36.800061599999999</v>
      </c>
    </row>
    <row r="783" spans="1:8" ht="15.75" thickBot="1" x14ac:dyDescent="0.3">
      <c r="A783" s="1">
        <v>2017</v>
      </c>
      <c r="B783" s="1" t="s">
        <v>8</v>
      </c>
      <c r="C783" s="1" t="s">
        <v>28</v>
      </c>
      <c r="D783" s="1" t="s">
        <v>34</v>
      </c>
      <c r="E783" s="1">
        <v>203682.24</v>
      </c>
      <c r="F783" s="1">
        <v>0</v>
      </c>
      <c r="G783" s="1">
        <v>2225</v>
      </c>
      <c r="H783" s="1">
        <v>91.542579779999997</v>
      </c>
    </row>
    <row r="784" spans="1:8" ht="15.75" thickBot="1" x14ac:dyDescent="0.3">
      <c r="A784" s="1">
        <v>2014</v>
      </c>
      <c r="B784" s="1" t="s">
        <v>8</v>
      </c>
      <c r="C784" s="1" t="s">
        <v>9</v>
      </c>
      <c r="D784" s="1" t="s">
        <v>27</v>
      </c>
      <c r="E784" s="1">
        <v>969.52</v>
      </c>
      <c r="F784" s="1">
        <v>24.47</v>
      </c>
      <c r="G784" s="1">
        <v>12</v>
      </c>
      <c r="H784" s="1">
        <v>80.793333329999996</v>
      </c>
    </row>
    <row r="785" spans="1:8" ht="15.75" thickBot="1" x14ac:dyDescent="0.3">
      <c r="A785" s="1">
        <v>2015</v>
      </c>
      <c r="B785" s="1" t="s">
        <v>12</v>
      </c>
      <c r="C785" s="1" t="s">
        <v>9</v>
      </c>
      <c r="D785" s="1" t="s">
        <v>19</v>
      </c>
      <c r="E785" s="1">
        <v>27351.279999999999</v>
      </c>
      <c r="F785" s="1">
        <v>909.41</v>
      </c>
      <c r="G785" s="1">
        <v>1119</v>
      </c>
      <c r="H785" s="1">
        <v>24.442609470000001</v>
      </c>
    </row>
    <row r="786" spans="1:8" ht="15.75" thickBot="1" x14ac:dyDescent="0.3">
      <c r="A786" s="1">
        <v>2016</v>
      </c>
      <c r="B786" s="1" t="s">
        <v>11</v>
      </c>
      <c r="C786" s="1" t="s">
        <v>28</v>
      </c>
      <c r="D786" s="1" t="s">
        <v>19</v>
      </c>
      <c r="E786" s="1">
        <v>69976655.090000004</v>
      </c>
      <c r="F786" s="1">
        <v>1655635.74</v>
      </c>
      <c r="G786" s="1">
        <v>99414</v>
      </c>
      <c r="H786" s="1">
        <v>703.89135420000002</v>
      </c>
    </row>
    <row r="787" spans="1:8" ht="15.75" thickBot="1" x14ac:dyDescent="0.3">
      <c r="A787" s="1">
        <v>2015</v>
      </c>
      <c r="B787" s="1" t="s">
        <v>35</v>
      </c>
      <c r="C787" s="1" t="s">
        <v>33</v>
      </c>
      <c r="D787" s="1" t="s">
        <v>27</v>
      </c>
      <c r="E787" s="1">
        <v>21088.34</v>
      </c>
      <c r="F787" s="1">
        <v>1017.5</v>
      </c>
      <c r="G787" s="1">
        <v>684</v>
      </c>
      <c r="H787" s="1">
        <v>30.830906429999999</v>
      </c>
    </row>
    <row r="788" spans="1:8" ht="15.75" thickBot="1" x14ac:dyDescent="0.3">
      <c r="A788" s="1">
        <v>2016</v>
      </c>
      <c r="B788" s="1" t="s">
        <v>14</v>
      </c>
      <c r="C788" s="1" t="s">
        <v>23</v>
      </c>
      <c r="D788" s="1" t="s">
        <v>32</v>
      </c>
      <c r="E788" s="1">
        <v>28211397.48</v>
      </c>
      <c r="F788" s="1">
        <v>1230990.1299999999</v>
      </c>
      <c r="G788" s="1">
        <v>960720</v>
      </c>
      <c r="H788" s="1">
        <v>29.364848739999999</v>
      </c>
    </row>
    <row r="789" spans="1:8" ht="15.75" thickBot="1" x14ac:dyDescent="0.3">
      <c r="A789" s="1">
        <v>2017</v>
      </c>
      <c r="B789" s="1" t="s">
        <v>16</v>
      </c>
      <c r="C789" s="1" t="s">
        <v>26</v>
      </c>
      <c r="D789" s="1" t="s">
        <v>27</v>
      </c>
      <c r="E789" s="1">
        <v>653274897.5</v>
      </c>
      <c r="F789" s="1">
        <v>26798317.960000001</v>
      </c>
      <c r="G789" s="1">
        <v>15478091</v>
      </c>
      <c r="H789" s="1">
        <v>42.206425680000002</v>
      </c>
    </row>
    <row r="790" spans="1:8" ht="15.75" thickBot="1" x14ac:dyDescent="0.3">
      <c r="A790" s="1">
        <v>2017</v>
      </c>
      <c r="B790" s="1" t="s">
        <v>14</v>
      </c>
      <c r="C790" s="1" t="s">
        <v>23</v>
      </c>
      <c r="D790" s="1" t="s">
        <v>27</v>
      </c>
      <c r="E790" s="1">
        <v>339147582.80000001</v>
      </c>
      <c r="F790" s="1">
        <v>15749832.6</v>
      </c>
      <c r="G790" s="1">
        <v>14914040</v>
      </c>
      <c r="H790" s="1">
        <v>22.740155099999999</v>
      </c>
    </row>
    <row r="791" spans="1:8" ht="15.75" thickBot="1" x14ac:dyDescent="0.3">
      <c r="A791" s="1">
        <v>2017</v>
      </c>
      <c r="B791" s="1" t="s">
        <v>20</v>
      </c>
      <c r="C791" s="1" t="s">
        <v>9</v>
      </c>
      <c r="D791" s="1" t="s">
        <v>13</v>
      </c>
      <c r="E791" s="1">
        <v>559.02</v>
      </c>
      <c r="F791" s="1">
        <v>6.99</v>
      </c>
      <c r="G791" s="1">
        <v>104</v>
      </c>
      <c r="H791" s="1">
        <v>5.3751923079999999</v>
      </c>
    </row>
    <row r="792" spans="1:8" ht="15.75" thickBot="1" x14ac:dyDescent="0.3">
      <c r="A792" s="1">
        <v>2017</v>
      </c>
      <c r="B792" s="1" t="s">
        <v>11</v>
      </c>
      <c r="C792" s="1" t="s">
        <v>25</v>
      </c>
      <c r="D792" s="1" t="s">
        <v>27</v>
      </c>
      <c r="E792" s="1">
        <v>433142715.19999999</v>
      </c>
      <c r="F792" s="1">
        <v>12377734.91</v>
      </c>
      <c r="G792" s="1">
        <v>8082493</v>
      </c>
      <c r="H792" s="1">
        <v>53.590236969999999</v>
      </c>
    </row>
    <row r="793" spans="1:8" ht="15.75" thickBot="1" x14ac:dyDescent="0.3">
      <c r="A793" s="1">
        <v>2017</v>
      </c>
      <c r="B793" s="1" t="s">
        <v>14</v>
      </c>
      <c r="C793" s="1" t="s">
        <v>15</v>
      </c>
      <c r="D793" s="1" t="s">
        <v>32</v>
      </c>
      <c r="E793" s="1">
        <v>93523581.180000007</v>
      </c>
      <c r="F793" s="1">
        <v>3286294.19</v>
      </c>
      <c r="G793" s="1">
        <v>1639978</v>
      </c>
      <c r="H793" s="1">
        <v>57.027338890000003</v>
      </c>
    </row>
    <row r="794" spans="1:8" ht="15.75" thickBot="1" x14ac:dyDescent="0.3">
      <c r="A794" s="1">
        <v>2017</v>
      </c>
      <c r="B794" s="1" t="s">
        <v>30</v>
      </c>
      <c r="C794" s="1" t="s">
        <v>21</v>
      </c>
      <c r="D794" s="1" t="s">
        <v>34</v>
      </c>
      <c r="E794" s="1">
        <v>870812.19</v>
      </c>
      <c r="F794" s="1">
        <v>30032.240000000002</v>
      </c>
      <c r="G794" s="1">
        <v>12488</v>
      </c>
      <c r="H794" s="1">
        <v>69.731917839999994</v>
      </c>
    </row>
    <row r="795" spans="1:8" ht="15.75" thickBot="1" x14ac:dyDescent="0.3">
      <c r="A795" s="1">
        <v>2014</v>
      </c>
      <c r="B795" s="1" t="s">
        <v>11</v>
      </c>
      <c r="C795" s="1" t="s">
        <v>15</v>
      </c>
      <c r="D795" s="1" t="s">
        <v>10</v>
      </c>
      <c r="E795" s="1">
        <v>67317467.109999999</v>
      </c>
      <c r="F795" s="1">
        <v>1467034.19</v>
      </c>
      <c r="G795" s="1">
        <v>837563</v>
      </c>
      <c r="H795" s="1">
        <v>80.373019240000005</v>
      </c>
    </row>
    <row r="796" spans="1:8" ht="15.75" thickBot="1" x14ac:dyDescent="0.3">
      <c r="A796" s="1">
        <v>2017</v>
      </c>
      <c r="B796" s="1" t="s">
        <v>12</v>
      </c>
      <c r="C796" s="1" t="s">
        <v>33</v>
      </c>
      <c r="D796" s="1" t="s">
        <v>31</v>
      </c>
      <c r="E796" s="1">
        <v>995500.62</v>
      </c>
      <c r="F796" s="1">
        <v>27939.03</v>
      </c>
      <c r="G796" s="1">
        <v>18143</v>
      </c>
      <c r="H796" s="1">
        <v>54.869680870000003</v>
      </c>
    </row>
    <row r="797" spans="1:8" ht="15.75" thickBot="1" x14ac:dyDescent="0.3">
      <c r="A797" s="1">
        <v>2015</v>
      </c>
      <c r="B797" s="1" t="s">
        <v>8</v>
      </c>
      <c r="C797" s="1" t="s">
        <v>33</v>
      </c>
      <c r="D797" s="1" t="s">
        <v>24</v>
      </c>
      <c r="E797" s="1">
        <v>26</v>
      </c>
      <c r="F797" s="1">
        <v>1.05</v>
      </c>
      <c r="G797" s="1">
        <v>1</v>
      </c>
      <c r="H797" s="1">
        <v>26</v>
      </c>
    </row>
    <row r="798" spans="1:8" ht="15.75" thickBot="1" x14ac:dyDescent="0.3">
      <c r="A798" s="1">
        <v>2016</v>
      </c>
      <c r="B798" s="1" t="s">
        <v>14</v>
      </c>
      <c r="C798" s="1" t="s">
        <v>12</v>
      </c>
      <c r="D798" s="1" t="s">
        <v>22</v>
      </c>
      <c r="E798" s="1">
        <v>4808.33</v>
      </c>
      <c r="F798" s="1">
        <v>223.58</v>
      </c>
      <c r="G798" s="1">
        <v>336</v>
      </c>
      <c r="H798" s="1">
        <v>14.31050595</v>
      </c>
    </row>
    <row r="799" spans="1:8" ht="15.75" thickBot="1" x14ac:dyDescent="0.3">
      <c r="A799" s="1">
        <v>2015</v>
      </c>
      <c r="B799" s="1" t="s">
        <v>12</v>
      </c>
      <c r="C799" s="1" t="s">
        <v>9</v>
      </c>
      <c r="D799" s="1" t="s">
        <v>13</v>
      </c>
      <c r="E799" s="1">
        <v>0</v>
      </c>
      <c r="F799" s="1">
        <v>0</v>
      </c>
      <c r="G799" s="1">
        <v>8</v>
      </c>
      <c r="H799" s="1">
        <v>0</v>
      </c>
    </row>
    <row r="800" spans="1:8" ht="15.75" thickBot="1" x14ac:dyDescent="0.3">
      <c r="A800" s="1">
        <v>2015</v>
      </c>
      <c r="B800" s="1" t="s">
        <v>16</v>
      </c>
      <c r="C800" s="1" t="s">
        <v>9</v>
      </c>
      <c r="D800" s="1" t="s">
        <v>10</v>
      </c>
      <c r="E800" s="1">
        <v>16831.990000000002</v>
      </c>
      <c r="F800" s="1">
        <v>587.55999999999995</v>
      </c>
      <c r="G800" s="1">
        <v>3444</v>
      </c>
      <c r="H800" s="1">
        <v>4.8873373979999997</v>
      </c>
    </row>
    <row r="801" spans="1:8" ht="15.75" thickBot="1" x14ac:dyDescent="0.3">
      <c r="A801" s="1">
        <v>2017</v>
      </c>
      <c r="B801" s="1" t="s">
        <v>16</v>
      </c>
      <c r="C801" s="1" t="s">
        <v>9</v>
      </c>
      <c r="D801" s="1" t="s">
        <v>32</v>
      </c>
      <c r="E801" s="1">
        <v>719717840.79999995</v>
      </c>
      <c r="F801" s="1">
        <v>23374107.420000002</v>
      </c>
      <c r="G801" s="1">
        <v>7455960</v>
      </c>
      <c r="H801" s="1">
        <v>96.529198230000006</v>
      </c>
    </row>
    <row r="802" spans="1:8" ht="15.75" thickBot="1" x14ac:dyDescent="0.3">
      <c r="A802" s="1">
        <v>2016</v>
      </c>
      <c r="B802" s="1" t="s">
        <v>12</v>
      </c>
      <c r="C802" s="1" t="s">
        <v>23</v>
      </c>
      <c r="D802" s="1" t="s">
        <v>27</v>
      </c>
      <c r="E802" s="1">
        <v>17228687.059999999</v>
      </c>
      <c r="F802" s="1">
        <v>716407.2</v>
      </c>
      <c r="G802" s="1">
        <v>533846</v>
      </c>
      <c r="H802" s="1">
        <v>32.27276604</v>
      </c>
    </row>
    <row r="803" spans="1:8" ht="15.75" thickBot="1" x14ac:dyDescent="0.3">
      <c r="A803" s="1">
        <v>2017</v>
      </c>
      <c r="B803" s="1" t="s">
        <v>17</v>
      </c>
      <c r="C803" s="1" t="s">
        <v>26</v>
      </c>
      <c r="D803" s="1" t="s">
        <v>29</v>
      </c>
      <c r="E803" s="1">
        <v>20535590.879999999</v>
      </c>
      <c r="F803" s="1">
        <v>719363.91</v>
      </c>
      <c r="G803" s="1">
        <v>69413</v>
      </c>
      <c r="H803" s="1">
        <v>295.84646800000002</v>
      </c>
    </row>
    <row r="804" spans="1:8" ht="15.75" thickBot="1" x14ac:dyDescent="0.3">
      <c r="A804" s="1">
        <v>2017</v>
      </c>
      <c r="B804" s="1" t="s">
        <v>30</v>
      </c>
      <c r="C804" s="1" t="s">
        <v>9</v>
      </c>
      <c r="D804" s="1" t="s">
        <v>32</v>
      </c>
      <c r="E804" s="1">
        <v>210333.38</v>
      </c>
      <c r="F804" s="1">
        <v>9144.44</v>
      </c>
      <c r="G804" s="1">
        <v>17581</v>
      </c>
      <c r="H804" s="1">
        <v>11.96367556</v>
      </c>
    </row>
    <row r="805" spans="1:8" ht="15.75" thickBot="1" x14ac:dyDescent="0.3">
      <c r="A805" s="1">
        <v>2017</v>
      </c>
      <c r="B805" s="1" t="s">
        <v>20</v>
      </c>
      <c r="C805" s="1" t="s">
        <v>28</v>
      </c>
      <c r="D805" s="1" t="s">
        <v>13</v>
      </c>
      <c r="E805" s="1">
        <v>397179.34</v>
      </c>
      <c r="F805" s="1">
        <v>5222.93</v>
      </c>
      <c r="G805" s="1">
        <v>188333</v>
      </c>
      <c r="H805" s="1">
        <v>2.1089205820000001</v>
      </c>
    </row>
    <row r="806" spans="1:8" ht="15.75" thickBot="1" x14ac:dyDescent="0.3">
      <c r="A806" s="1">
        <v>2014</v>
      </c>
      <c r="B806" s="1" t="s">
        <v>11</v>
      </c>
      <c r="C806" s="1" t="s">
        <v>23</v>
      </c>
      <c r="D806" s="1" t="s">
        <v>29</v>
      </c>
      <c r="E806" s="1">
        <v>466165.64</v>
      </c>
      <c r="F806" s="1">
        <v>11870.27</v>
      </c>
      <c r="G806" s="1">
        <v>900</v>
      </c>
      <c r="H806" s="1">
        <v>517.96182220000003</v>
      </c>
    </row>
    <row r="807" spans="1:8" ht="15.75" thickBot="1" x14ac:dyDescent="0.3">
      <c r="A807" s="1">
        <v>2015</v>
      </c>
      <c r="B807" s="1" t="s">
        <v>35</v>
      </c>
      <c r="C807" s="1" t="s">
        <v>33</v>
      </c>
      <c r="D807" s="1" t="s">
        <v>29</v>
      </c>
      <c r="E807" s="1">
        <v>6405.06</v>
      </c>
      <c r="F807" s="1">
        <v>104.2</v>
      </c>
      <c r="G807" s="1">
        <v>22</v>
      </c>
      <c r="H807" s="1">
        <v>291.13909089999999</v>
      </c>
    </row>
    <row r="808" spans="1:8" ht="15.75" thickBot="1" x14ac:dyDescent="0.3">
      <c r="A808" s="1">
        <v>2014</v>
      </c>
      <c r="B808" s="1" t="s">
        <v>40</v>
      </c>
      <c r="C808" s="1" t="s">
        <v>21</v>
      </c>
      <c r="D808" s="1" t="s">
        <v>19</v>
      </c>
      <c r="E808" s="1">
        <v>47323.24</v>
      </c>
      <c r="F808" s="1">
        <v>1121.72</v>
      </c>
      <c r="G808" s="1">
        <v>362</v>
      </c>
      <c r="H808" s="1">
        <v>130.72718230000001</v>
      </c>
    </row>
    <row r="809" spans="1:8" ht="15.75" thickBot="1" x14ac:dyDescent="0.3">
      <c r="A809" s="1">
        <v>2015</v>
      </c>
      <c r="B809" s="1" t="s">
        <v>11</v>
      </c>
      <c r="C809" s="1" t="s">
        <v>23</v>
      </c>
      <c r="D809" s="1" t="s">
        <v>27</v>
      </c>
      <c r="E809" s="1">
        <v>147309311.40000001</v>
      </c>
      <c r="F809" s="1">
        <v>4271446.72</v>
      </c>
      <c r="G809" s="1">
        <v>2376882</v>
      </c>
      <c r="H809" s="1">
        <v>61.97586226</v>
      </c>
    </row>
    <row r="810" spans="1:8" ht="15.75" thickBot="1" x14ac:dyDescent="0.3">
      <c r="A810" s="1">
        <v>2014</v>
      </c>
      <c r="B810" s="1" t="s">
        <v>14</v>
      </c>
      <c r="C810" s="1" t="s">
        <v>28</v>
      </c>
      <c r="D810" s="1" t="s">
        <v>36</v>
      </c>
      <c r="E810" s="1">
        <v>30299665.379999999</v>
      </c>
      <c r="F810" s="1">
        <v>152598.39000000001</v>
      </c>
      <c r="G810" s="1">
        <v>484963</v>
      </c>
      <c r="H810" s="1">
        <v>62.478303250000003</v>
      </c>
    </row>
    <row r="811" spans="1:8" ht="15.75" thickBot="1" x14ac:dyDescent="0.3">
      <c r="A811" s="1">
        <v>2015</v>
      </c>
      <c r="B811" s="1" t="s">
        <v>20</v>
      </c>
      <c r="C811" s="1" t="s">
        <v>21</v>
      </c>
      <c r="D811" s="1" t="s">
        <v>19</v>
      </c>
      <c r="E811" s="1">
        <v>4298742.3499999996</v>
      </c>
      <c r="F811" s="1">
        <v>150752.26</v>
      </c>
      <c r="G811" s="1">
        <v>60040</v>
      </c>
      <c r="H811" s="1">
        <v>71.597973850000002</v>
      </c>
    </row>
    <row r="812" spans="1:8" ht="15.75" thickBot="1" x14ac:dyDescent="0.3">
      <c r="A812" s="1">
        <v>2014</v>
      </c>
      <c r="B812" s="1" t="s">
        <v>40</v>
      </c>
      <c r="C812" s="1" t="s">
        <v>21</v>
      </c>
      <c r="D812" s="1" t="s">
        <v>27</v>
      </c>
      <c r="E812" s="1">
        <v>107659.97</v>
      </c>
      <c r="F812" s="1">
        <v>3067.68</v>
      </c>
      <c r="G812" s="1">
        <v>1350</v>
      </c>
      <c r="H812" s="1">
        <v>79.74812593</v>
      </c>
    </row>
    <row r="813" spans="1:8" ht="15.75" thickBot="1" x14ac:dyDescent="0.3">
      <c r="A813" s="1">
        <v>2017</v>
      </c>
      <c r="B813" s="1" t="s">
        <v>35</v>
      </c>
      <c r="C813" s="1" t="s">
        <v>9</v>
      </c>
      <c r="D813" s="1" t="s">
        <v>19</v>
      </c>
      <c r="E813" s="1">
        <v>38522.730000000003</v>
      </c>
      <c r="F813" s="1">
        <v>395.35</v>
      </c>
      <c r="G813" s="1">
        <v>631</v>
      </c>
      <c r="H813" s="1">
        <v>61.050285260000003</v>
      </c>
    </row>
    <row r="814" spans="1:8" ht="15.75" thickBot="1" x14ac:dyDescent="0.3">
      <c r="A814" s="1">
        <v>2016</v>
      </c>
      <c r="B814" s="1" t="s">
        <v>40</v>
      </c>
      <c r="C814" s="1" t="s">
        <v>15</v>
      </c>
      <c r="D814" s="1" t="s">
        <v>19</v>
      </c>
      <c r="E814" s="1">
        <v>74634.039999999994</v>
      </c>
      <c r="F814" s="1">
        <v>975.66</v>
      </c>
      <c r="G814" s="1">
        <v>391</v>
      </c>
      <c r="H814" s="1">
        <v>190.87989769999999</v>
      </c>
    </row>
    <row r="815" spans="1:8" ht="15.75" thickBot="1" x14ac:dyDescent="0.3">
      <c r="A815" s="1">
        <v>2017</v>
      </c>
      <c r="B815" s="1" t="s">
        <v>12</v>
      </c>
      <c r="C815" s="1" t="s">
        <v>33</v>
      </c>
      <c r="D815" s="1" t="s">
        <v>19</v>
      </c>
      <c r="E815" s="1">
        <v>10054854.82</v>
      </c>
      <c r="F815" s="1">
        <v>252333.96</v>
      </c>
      <c r="G815" s="1">
        <v>40570</v>
      </c>
      <c r="H815" s="1">
        <v>247.8396554</v>
      </c>
    </row>
    <row r="816" spans="1:8" ht="15.75" thickBot="1" x14ac:dyDescent="0.3">
      <c r="A816" s="1">
        <v>2014</v>
      </c>
      <c r="B816" s="1" t="s">
        <v>11</v>
      </c>
      <c r="C816" s="1" t="s">
        <v>33</v>
      </c>
      <c r="D816" s="1" t="s">
        <v>31</v>
      </c>
      <c r="E816" s="1">
        <v>13419096.9</v>
      </c>
      <c r="F816" s="1">
        <v>413729.69</v>
      </c>
      <c r="G816" s="1">
        <v>344222</v>
      </c>
      <c r="H816" s="1">
        <v>38.983844439999999</v>
      </c>
    </row>
    <row r="817" spans="1:8" ht="15.75" thickBot="1" x14ac:dyDescent="0.3">
      <c r="A817" s="1">
        <v>2014</v>
      </c>
      <c r="B817" s="1" t="s">
        <v>30</v>
      </c>
      <c r="C817" s="1" t="s">
        <v>12</v>
      </c>
      <c r="D817" s="1" t="s">
        <v>27</v>
      </c>
      <c r="E817" s="1">
        <v>385408555.39999998</v>
      </c>
      <c r="F817" s="1">
        <v>14316181.43</v>
      </c>
      <c r="G817" s="1">
        <v>6195347</v>
      </c>
      <c r="H817" s="1">
        <v>62.209357349999998</v>
      </c>
    </row>
    <row r="818" spans="1:8" ht="15.75" thickBot="1" x14ac:dyDescent="0.3">
      <c r="A818" s="1">
        <v>2017</v>
      </c>
      <c r="B818" s="1" t="s">
        <v>35</v>
      </c>
      <c r="C818" s="1" t="s">
        <v>21</v>
      </c>
      <c r="D818" s="1" t="s">
        <v>24</v>
      </c>
      <c r="E818" s="1">
        <v>10841.36</v>
      </c>
      <c r="F818" s="1">
        <v>836.29</v>
      </c>
      <c r="G818" s="1">
        <v>40</v>
      </c>
      <c r="H818" s="1">
        <v>271.03399999999999</v>
      </c>
    </row>
    <row r="819" spans="1:8" ht="15.75" thickBot="1" x14ac:dyDescent="0.3">
      <c r="A819" s="1">
        <v>2015</v>
      </c>
      <c r="B819" s="1" t="s">
        <v>35</v>
      </c>
      <c r="C819" s="1" t="s">
        <v>18</v>
      </c>
      <c r="D819" s="1" t="s">
        <v>29</v>
      </c>
      <c r="E819" s="1">
        <v>24733.67</v>
      </c>
      <c r="F819" s="1">
        <v>46.63</v>
      </c>
      <c r="G819" s="1">
        <v>26</v>
      </c>
      <c r="H819" s="1">
        <v>951.29499999999996</v>
      </c>
    </row>
    <row r="820" spans="1:8" ht="15.75" thickBot="1" x14ac:dyDescent="0.3">
      <c r="A820" s="1">
        <v>2016</v>
      </c>
      <c r="B820" s="1" t="s">
        <v>14</v>
      </c>
      <c r="C820" s="1" t="s">
        <v>21</v>
      </c>
      <c r="D820" s="1" t="s">
        <v>32</v>
      </c>
      <c r="E820" s="1">
        <v>103747421.09999999</v>
      </c>
      <c r="F820" s="1">
        <v>3967934.57</v>
      </c>
      <c r="G820" s="1">
        <v>2438237</v>
      </c>
      <c r="H820" s="1">
        <v>42.550179110000002</v>
      </c>
    </row>
    <row r="821" spans="1:8" ht="15.75" thickBot="1" x14ac:dyDescent="0.3">
      <c r="A821" s="1">
        <v>2015</v>
      </c>
      <c r="B821" s="1" t="s">
        <v>11</v>
      </c>
      <c r="C821" s="1" t="s">
        <v>26</v>
      </c>
      <c r="D821" s="1" t="s">
        <v>13</v>
      </c>
      <c r="E821" s="1">
        <v>107196.43</v>
      </c>
      <c r="F821" s="1">
        <v>2824.85</v>
      </c>
      <c r="G821" s="1">
        <v>2061</v>
      </c>
      <c r="H821" s="1">
        <v>52.011853469999998</v>
      </c>
    </row>
    <row r="822" spans="1:8" ht="15.75" thickBot="1" x14ac:dyDescent="0.3">
      <c r="A822" s="1">
        <v>2017</v>
      </c>
      <c r="B822" s="1" t="s">
        <v>14</v>
      </c>
      <c r="C822" s="1" t="s">
        <v>9</v>
      </c>
      <c r="D822" s="1" t="s">
        <v>24</v>
      </c>
      <c r="E822" s="1">
        <v>59671834.32</v>
      </c>
      <c r="F822" s="1">
        <v>1887864.31</v>
      </c>
      <c r="G822" s="1">
        <v>219059</v>
      </c>
      <c r="H822" s="1">
        <v>272.40074279999999</v>
      </c>
    </row>
    <row r="823" spans="1:8" ht="15.75" thickBot="1" x14ac:dyDescent="0.3">
      <c r="A823" s="1">
        <v>2017</v>
      </c>
      <c r="B823" s="1" t="s">
        <v>8</v>
      </c>
      <c r="C823" s="1" t="s">
        <v>28</v>
      </c>
      <c r="D823" s="1" t="s">
        <v>19</v>
      </c>
      <c r="E823" s="1">
        <v>5539.61</v>
      </c>
      <c r="F823" s="1">
        <v>94.59</v>
      </c>
      <c r="G823" s="1">
        <v>79</v>
      </c>
      <c r="H823" s="1">
        <v>70.121645569999998</v>
      </c>
    </row>
    <row r="824" spans="1:8" ht="15.75" thickBot="1" x14ac:dyDescent="0.3">
      <c r="A824" s="1">
        <v>2016</v>
      </c>
      <c r="B824" s="1" t="s">
        <v>30</v>
      </c>
      <c r="C824" s="1" t="s">
        <v>9</v>
      </c>
      <c r="D824" s="1" t="s">
        <v>29</v>
      </c>
      <c r="E824" s="1">
        <v>9743299.5299999993</v>
      </c>
      <c r="F824" s="1">
        <v>310417.40000000002</v>
      </c>
      <c r="G824" s="1">
        <v>39318</v>
      </c>
      <c r="H824" s="1">
        <v>247.80760799999999</v>
      </c>
    </row>
    <row r="825" spans="1:8" ht="15.75" thickBot="1" x14ac:dyDescent="0.3">
      <c r="A825" s="1">
        <v>2016</v>
      </c>
      <c r="B825" s="1" t="s">
        <v>11</v>
      </c>
      <c r="C825" s="1" t="s">
        <v>15</v>
      </c>
      <c r="D825" s="1" t="s">
        <v>29</v>
      </c>
      <c r="E825" s="1">
        <v>1942192.84</v>
      </c>
      <c r="F825" s="1">
        <v>52470.01</v>
      </c>
      <c r="G825" s="1">
        <v>4599</v>
      </c>
      <c r="H825" s="1">
        <v>422.3076408</v>
      </c>
    </row>
    <row r="826" spans="1:8" ht="15.75" thickBot="1" x14ac:dyDescent="0.3">
      <c r="A826" s="1">
        <v>2015</v>
      </c>
      <c r="B826" s="1" t="s">
        <v>11</v>
      </c>
      <c r="C826" s="1" t="s">
        <v>9</v>
      </c>
      <c r="D826" s="1" t="s">
        <v>19</v>
      </c>
      <c r="E826" s="1">
        <v>11720.42</v>
      </c>
      <c r="F826" s="1">
        <v>487.64</v>
      </c>
      <c r="G826" s="1">
        <v>1074</v>
      </c>
      <c r="H826" s="1">
        <v>10.912867779999999</v>
      </c>
    </row>
    <row r="827" spans="1:8" ht="15.75" thickBot="1" x14ac:dyDescent="0.3">
      <c r="A827" s="1">
        <v>2017</v>
      </c>
      <c r="B827" s="1" t="s">
        <v>11</v>
      </c>
      <c r="C827" s="1" t="s">
        <v>9</v>
      </c>
      <c r="D827" s="1" t="s">
        <v>13</v>
      </c>
      <c r="E827" s="1">
        <v>11308.6</v>
      </c>
      <c r="F827" s="1">
        <v>304.45999999999998</v>
      </c>
      <c r="G827" s="1">
        <v>24775</v>
      </c>
      <c r="H827" s="1">
        <v>0.45645206859999998</v>
      </c>
    </row>
    <row r="828" spans="1:8" ht="15.75" thickBot="1" x14ac:dyDescent="0.3">
      <c r="A828" s="1">
        <v>2015</v>
      </c>
      <c r="B828" s="1" t="s">
        <v>12</v>
      </c>
      <c r="C828" s="1" t="s">
        <v>21</v>
      </c>
      <c r="D828" s="1" t="s">
        <v>13</v>
      </c>
      <c r="E828" s="1">
        <v>34109.9</v>
      </c>
      <c r="F828" s="1">
        <v>1367.38</v>
      </c>
      <c r="G828" s="1">
        <v>956</v>
      </c>
      <c r="H828" s="1">
        <v>35.679811719999996</v>
      </c>
    </row>
    <row r="829" spans="1:8" ht="15.75" thickBot="1" x14ac:dyDescent="0.3">
      <c r="A829" s="1">
        <v>2015</v>
      </c>
      <c r="B829" s="1" t="s">
        <v>17</v>
      </c>
      <c r="C829" s="1" t="s">
        <v>26</v>
      </c>
      <c r="D829" s="1" t="s">
        <v>19</v>
      </c>
      <c r="E829" s="1">
        <v>28118127</v>
      </c>
      <c r="F829" s="1">
        <v>1019449.95</v>
      </c>
      <c r="G829" s="1">
        <v>166712</v>
      </c>
      <c r="H829" s="1">
        <v>168.6628857</v>
      </c>
    </row>
    <row r="830" spans="1:8" ht="15.75" thickBot="1" x14ac:dyDescent="0.3">
      <c r="A830" s="1">
        <v>2017</v>
      </c>
      <c r="B830" s="1" t="s">
        <v>20</v>
      </c>
      <c r="C830" s="1" t="s">
        <v>12</v>
      </c>
      <c r="D830" s="1" t="s">
        <v>32</v>
      </c>
      <c r="E830" s="1">
        <v>4721043.18</v>
      </c>
      <c r="F830" s="1">
        <v>184395.17</v>
      </c>
      <c r="G830" s="1">
        <v>141479</v>
      </c>
      <c r="H830" s="1">
        <v>33.369215079999996</v>
      </c>
    </row>
    <row r="831" spans="1:8" ht="15.75" thickBot="1" x14ac:dyDescent="0.3">
      <c r="A831" s="1">
        <v>2015</v>
      </c>
      <c r="B831" s="1" t="s">
        <v>20</v>
      </c>
      <c r="C831" s="1" t="s">
        <v>28</v>
      </c>
      <c r="D831" s="1" t="s">
        <v>29</v>
      </c>
      <c r="E831" s="1">
        <v>1242823.8</v>
      </c>
      <c r="F831" s="1">
        <v>40539.29</v>
      </c>
      <c r="G831" s="1">
        <v>11211</v>
      </c>
      <c r="H831" s="1">
        <v>110.8575328</v>
      </c>
    </row>
    <row r="832" spans="1:8" ht="15.75" thickBot="1" x14ac:dyDescent="0.3">
      <c r="A832" s="1">
        <v>2017</v>
      </c>
      <c r="B832" s="1" t="s">
        <v>35</v>
      </c>
      <c r="C832" s="1" t="s">
        <v>9</v>
      </c>
      <c r="D832" s="1" t="s">
        <v>29</v>
      </c>
      <c r="E832" s="1">
        <v>530</v>
      </c>
      <c r="F832" s="1">
        <v>20.18</v>
      </c>
      <c r="G832" s="1">
        <v>61</v>
      </c>
      <c r="H832" s="1">
        <v>8.6885245900000001</v>
      </c>
    </row>
    <row r="833" spans="1:8" ht="15.75" thickBot="1" x14ac:dyDescent="0.3">
      <c r="A833" s="1">
        <v>2017</v>
      </c>
      <c r="B833" s="1" t="s">
        <v>11</v>
      </c>
      <c r="C833" s="1" t="s">
        <v>9</v>
      </c>
      <c r="D833" s="1" t="s">
        <v>31</v>
      </c>
      <c r="E833" s="1">
        <v>4841223477</v>
      </c>
      <c r="F833" s="1">
        <v>122003436.90000001</v>
      </c>
      <c r="G833" s="1">
        <v>39973880</v>
      </c>
      <c r="H833" s="1">
        <v>121.1096715</v>
      </c>
    </row>
    <row r="834" spans="1:8" ht="15.75" thickBot="1" x14ac:dyDescent="0.3">
      <c r="A834" s="1">
        <v>2015</v>
      </c>
      <c r="B834" s="1" t="s">
        <v>17</v>
      </c>
      <c r="C834" s="1" t="s">
        <v>12</v>
      </c>
      <c r="D834" s="1" t="s">
        <v>29</v>
      </c>
      <c r="E834" s="1">
        <v>7600889.8399999999</v>
      </c>
      <c r="F834" s="1">
        <v>276544.21999999997</v>
      </c>
      <c r="G834" s="1">
        <v>21757</v>
      </c>
      <c r="H834" s="1">
        <v>349.35376380000002</v>
      </c>
    </row>
    <row r="835" spans="1:8" ht="15.75" thickBot="1" x14ac:dyDescent="0.3">
      <c r="A835" s="1">
        <v>2017</v>
      </c>
      <c r="B835" s="1" t="s">
        <v>12</v>
      </c>
      <c r="C835" s="1" t="s">
        <v>9</v>
      </c>
      <c r="D835" s="1" t="s">
        <v>31</v>
      </c>
      <c r="E835" s="1">
        <v>654.55999999999995</v>
      </c>
      <c r="F835" s="1">
        <v>32.11</v>
      </c>
      <c r="G835" s="1">
        <v>159</v>
      </c>
      <c r="H835" s="1">
        <v>4.1167295599999996</v>
      </c>
    </row>
    <row r="836" spans="1:8" ht="15.75" thickBot="1" x14ac:dyDescent="0.3">
      <c r="A836" s="1">
        <v>2017</v>
      </c>
      <c r="B836" s="1" t="s">
        <v>20</v>
      </c>
      <c r="C836" s="1" t="s">
        <v>26</v>
      </c>
      <c r="D836" s="1" t="s">
        <v>10</v>
      </c>
      <c r="E836" s="1">
        <v>860465.97</v>
      </c>
      <c r="F836" s="1">
        <v>39503.379999999997</v>
      </c>
      <c r="G836" s="1">
        <v>41161</v>
      </c>
      <c r="H836" s="1">
        <v>20.90488496</v>
      </c>
    </row>
    <row r="837" spans="1:8" ht="15.75" thickBot="1" x14ac:dyDescent="0.3">
      <c r="A837" s="1">
        <v>2017</v>
      </c>
      <c r="B837" s="1" t="s">
        <v>17</v>
      </c>
      <c r="C837" s="1" t="s">
        <v>9</v>
      </c>
      <c r="D837" s="1" t="s">
        <v>37</v>
      </c>
      <c r="E837" s="1">
        <v>1452186391</v>
      </c>
      <c r="F837" s="1">
        <v>39783631.009999998</v>
      </c>
      <c r="G837" s="1">
        <v>3350565</v>
      </c>
      <c r="H837" s="1">
        <v>433.4153766</v>
      </c>
    </row>
    <row r="838" spans="1:8" ht="15.75" thickBot="1" x14ac:dyDescent="0.3">
      <c r="A838" s="1">
        <v>2016</v>
      </c>
      <c r="B838" s="1" t="s">
        <v>35</v>
      </c>
      <c r="C838" s="1" t="s">
        <v>18</v>
      </c>
      <c r="D838" s="1" t="s">
        <v>29</v>
      </c>
      <c r="E838" s="1">
        <v>4471.07</v>
      </c>
      <c r="F838" s="1">
        <v>227.17</v>
      </c>
      <c r="G838" s="1">
        <v>17</v>
      </c>
      <c r="H838" s="1">
        <v>263.00411759999997</v>
      </c>
    </row>
    <row r="839" spans="1:8" ht="15.75" thickBot="1" x14ac:dyDescent="0.3">
      <c r="A839" s="1">
        <v>2016</v>
      </c>
      <c r="B839" s="1" t="s">
        <v>14</v>
      </c>
      <c r="C839" s="1" t="s">
        <v>12</v>
      </c>
      <c r="D839" s="1" t="s">
        <v>19</v>
      </c>
      <c r="E839" s="1">
        <v>28192593.030000001</v>
      </c>
      <c r="F839" s="1">
        <v>886507.94</v>
      </c>
      <c r="G839" s="1">
        <v>202216</v>
      </c>
      <c r="H839" s="1">
        <v>139.41821139999999</v>
      </c>
    </row>
    <row r="840" spans="1:8" ht="15.75" thickBot="1" x14ac:dyDescent="0.3">
      <c r="A840" s="1">
        <v>2014</v>
      </c>
      <c r="B840" s="1" t="s">
        <v>12</v>
      </c>
      <c r="C840" s="1" t="s">
        <v>23</v>
      </c>
      <c r="D840" s="1" t="s">
        <v>10</v>
      </c>
      <c r="E840" s="1">
        <v>1110241.48</v>
      </c>
      <c r="F840" s="1">
        <v>23617.95</v>
      </c>
      <c r="G840" s="1">
        <v>14385</v>
      </c>
      <c r="H840" s="1">
        <v>77.180499130000001</v>
      </c>
    </row>
    <row r="841" spans="1:8" ht="15.75" thickBot="1" x14ac:dyDescent="0.3">
      <c r="A841" s="1">
        <v>2017</v>
      </c>
      <c r="B841" s="1" t="s">
        <v>12</v>
      </c>
      <c r="C841" s="1" t="s">
        <v>33</v>
      </c>
      <c r="D841" s="1" t="s">
        <v>34</v>
      </c>
      <c r="E841" s="1">
        <v>35752.78</v>
      </c>
      <c r="F841" s="1">
        <v>1411.65</v>
      </c>
      <c r="G841" s="1">
        <v>1314</v>
      </c>
      <c r="H841" s="1">
        <v>27.209117200000001</v>
      </c>
    </row>
    <row r="842" spans="1:8" ht="15.75" thickBot="1" x14ac:dyDescent="0.3">
      <c r="A842" s="1">
        <v>2015</v>
      </c>
      <c r="B842" s="1" t="s">
        <v>17</v>
      </c>
      <c r="C842" s="1" t="s">
        <v>28</v>
      </c>
      <c r="D842" s="1" t="s">
        <v>32</v>
      </c>
      <c r="E842" s="1">
        <v>167671932.80000001</v>
      </c>
      <c r="F842" s="1">
        <v>5848551.8899999997</v>
      </c>
      <c r="G842" s="1">
        <v>2305193</v>
      </c>
      <c r="H842" s="1">
        <v>72.73661371</v>
      </c>
    </row>
    <row r="843" spans="1:8" ht="15.75" thickBot="1" x14ac:dyDescent="0.3">
      <c r="A843" s="1">
        <v>2017</v>
      </c>
      <c r="B843" s="1" t="s">
        <v>8</v>
      </c>
      <c r="C843" s="1" t="s">
        <v>33</v>
      </c>
      <c r="D843" s="1" t="s">
        <v>10</v>
      </c>
      <c r="E843" s="1">
        <v>535</v>
      </c>
      <c r="F843" s="1">
        <v>18.21</v>
      </c>
      <c r="G843" s="1">
        <v>7</v>
      </c>
      <c r="H843" s="1">
        <v>76.428571430000005</v>
      </c>
    </row>
    <row r="844" spans="1:8" ht="15.75" thickBot="1" x14ac:dyDescent="0.3">
      <c r="A844" s="1">
        <v>2015</v>
      </c>
      <c r="B844" s="1" t="s">
        <v>40</v>
      </c>
      <c r="C844" s="1" t="s">
        <v>21</v>
      </c>
      <c r="D844" s="1" t="s">
        <v>32</v>
      </c>
      <c r="E844" s="1">
        <v>1415.65</v>
      </c>
      <c r="F844" s="1">
        <v>96.1</v>
      </c>
      <c r="G844" s="1">
        <v>93</v>
      </c>
      <c r="H844" s="1">
        <v>15.22204301</v>
      </c>
    </row>
    <row r="845" spans="1:8" ht="15.75" thickBot="1" x14ac:dyDescent="0.3">
      <c r="A845" s="1">
        <v>2016</v>
      </c>
      <c r="B845" s="1" t="s">
        <v>17</v>
      </c>
      <c r="C845" s="1" t="s">
        <v>26</v>
      </c>
      <c r="D845" s="1" t="s">
        <v>19</v>
      </c>
      <c r="E845" s="1">
        <v>29338229.579999998</v>
      </c>
      <c r="F845" s="1">
        <v>1032552.91</v>
      </c>
      <c r="G845" s="1">
        <v>172648</v>
      </c>
      <c r="H845" s="1">
        <v>169.93089739999999</v>
      </c>
    </row>
    <row r="846" spans="1:8" ht="15.75" thickBot="1" x14ac:dyDescent="0.3">
      <c r="A846" s="1">
        <v>2015</v>
      </c>
      <c r="B846" s="1" t="s">
        <v>11</v>
      </c>
      <c r="C846" s="1" t="s">
        <v>28</v>
      </c>
      <c r="D846" s="1" t="s">
        <v>32</v>
      </c>
      <c r="E846" s="1">
        <v>153241348.80000001</v>
      </c>
      <c r="F846" s="1">
        <v>4501130.54</v>
      </c>
      <c r="G846" s="1">
        <v>1726716</v>
      </c>
      <c r="H846" s="1">
        <v>88.747280259999997</v>
      </c>
    </row>
    <row r="847" spans="1:8" ht="15.75" thickBot="1" x14ac:dyDescent="0.3">
      <c r="A847" s="1">
        <v>2015</v>
      </c>
      <c r="B847" s="1" t="s">
        <v>20</v>
      </c>
      <c r="C847" s="1" t="s">
        <v>33</v>
      </c>
      <c r="D847" s="1" t="s">
        <v>27</v>
      </c>
      <c r="E847" s="1">
        <v>8091582.0999999996</v>
      </c>
      <c r="F847" s="1">
        <v>308873.13</v>
      </c>
      <c r="G847" s="1">
        <v>197638</v>
      </c>
      <c r="H847" s="1">
        <v>40.941428770000002</v>
      </c>
    </row>
    <row r="848" spans="1:8" ht="15.75" thickBot="1" x14ac:dyDescent="0.3">
      <c r="A848" s="1">
        <v>2016</v>
      </c>
      <c r="B848" s="1" t="s">
        <v>17</v>
      </c>
      <c r="C848" s="1" t="s">
        <v>33</v>
      </c>
      <c r="D848" s="1" t="s">
        <v>10</v>
      </c>
      <c r="E848" s="1">
        <v>100433775.90000001</v>
      </c>
      <c r="F848" s="1">
        <v>3197898.44</v>
      </c>
      <c r="G848" s="1">
        <v>1808351</v>
      </c>
      <c r="H848" s="1">
        <v>55.538872619999999</v>
      </c>
    </row>
    <row r="849" spans="1:8" ht="15.75" thickBot="1" x14ac:dyDescent="0.3">
      <c r="A849" s="1">
        <v>2016</v>
      </c>
      <c r="B849" s="1" t="s">
        <v>11</v>
      </c>
      <c r="C849" s="1" t="s">
        <v>28</v>
      </c>
      <c r="D849" s="1" t="s">
        <v>27</v>
      </c>
      <c r="E849" s="1">
        <v>255868128.09999999</v>
      </c>
      <c r="F849" s="1">
        <v>6457412.6600000001</v>
      </c>
      <c r="G849" s="1">
        <v>2806443</v>
      </c>
      <c r="H849" s="1">
        <v>91.171681770000006</v>
      </c>
    </row>
    <row r="850" spans="1:8" ht="15.75" thickBot="1" x14ac:dyDescent="0.3">
      <c r="A850" s="1">
        <v>2015</v>
      </c>
      <c r="B850" s="1" t="s">
        <v>40</v>
      </c>
      <c r="C850" s="1" t="s">
        <v>21</v>
      </c>
      <c r="D850" s="1" t="s">
        <v>13</v>
      </c>
      <c r="E850" s="1">
        <v>2325.66</v>
      </c>
      <c r="F850" s="1">
        <v>0</v>
      </c>
      <c r="G850" s="1">
        <v>7</v>
      </c>
      <c r="H850" s="1">
        <v>332.23714289999998</v>
      </c>
    </row>
    <row r="851" spans="1:8" ht="15.75" thickBot="1" x14ac:dyDescent="0.3">
      <c r="A851" s="1">
        <v>2015</v>
      </c>
      <c r="B851" s="1" t="s">
        <v>35</v>
      </c>
      <c r="C851" s="1" t="s">
        <v>25</v>
      </c>
      <c r="D851" s="1" t="s">
        <v>13</v>
      </c>
      <c r="E851" s="1">
        <v>0</v>
      </c>
      <c r="F851" s="1">
        <v>0</v>
      </c>
      <c r="G851" s="1">
        <v>5</v>
      </c>
      <c r="H851" s="1">
        <v>0</v>
      </c>
    </row>
    <row r="852" spans="1:8" ht="15.75" thickBot="1" x14ac:dyDescent="0.3">
      <c r="A852" s="1">
        <v>2015</v>
      </c>
      <c r="B852" s="1" t="s">
        <v>16</v>
      </c>
      <c r="C852" s="1" t="s">
        <v>21</v>
      </c>
      <c r="D852" s="1" t="s">
        <v>31</v>
      </c>
      <c r="E852" s="1">
        <v>5963930.0599999996</v>
      </c>
      <c r="F852" s="1">
        <v>224921.54</v>
      </c>
      <c r="G852" s="1">
        <v>123607</v>
      </c>
      <c r="H852" s="1">
        <v>48.249128769999999</v>
      </c>
    </row>
    <row r="853" spans="1:8" ht="15.75" thickBot="1" x14ac:dyDescent="0.3">
      <c r="A853" s="1">
        <v>2016</v>
      </c>
      <c r="B853" s="1" t="s">
        <v>14</v>
      </c>
      <c r="C853" s="1" t="s">
        <v>25</v>
      </c>
      <c r="D853" s="1" t="s">
        <v>31</v>
      </c>
      <c r="E853" s="1">
        <v>1660662.4</v>
      </c>
      <c r="F853" s="1">
        <v>64249.66</v>
      </c>
      <c r="G853" s="1">
        <v>39621</v>
      </c>
      <c r="H853" s="1">
        <v>41.913692230000002</v>
      </c>
    </row>
    <row r="854" spans="1:8" ht="15.75" thickBot="1" x14ac:dyDescent="0.3">
      <c r="A854" s="1">
        <v>2016</v>
      </c>
      <c r="B854" s="1" t="s">
        <v>14</v>
      </c>
      <c r="C854" s="1" t="s">
        <v>25</v>
      </c>
      <c r="D854" s="1" t="s">
        <v>29</v>
      </c>
      <c r="E854" s="1">
        <v>12849447.810000001</v>
      </c>
      <c r="F854" s="1">
        <v>446055.52</v>
      </c>
      <c r="G854" s="1">
        <v>93228</v>
      </c>
      <c r="H854" s="1">
        <v>137.82820409999999</v>
      </c>
    </row>
    <row r="855" spans="1:8" ht="15.75" thickBot="1" x14ac:dyDescent="0.3">
      <c r="A855" s="1">
        <v>2016</v>
      </c>
      <c r="B855" s="1" t="s">
        <v>35</v>
      </c>
      <c r="C855" s="1" t="s">
        <v>28</v>
      </c>
      <c r="D855" s="1" t="s">
        <v>32</v>
      </c>
      <c r="E855" s="1">
        <v>10260.25</v>
      </c>
      <c r="F855" s="1">
        <v>338.67</v>
      </c>
      <c r="G855" s="1">
        <v>1757</v>
      </c>
      <c r="H855" s="1">
        <v>5.8396414339999998</v>
      </c>
    </row>
    <row r="856" spans="1:8" ht="15.75" thickBot="1" x14ac:dyDescent="0.3">
      <c r="A856" s="1">
        <v>2017</v>
      </c>
      <c r="B856" s="1" t="s">
        <v>8</v>
      </c>
      <c r="C856" s="1" t="s">
        <v>12</v>
      </c>
      <c r="D856" s="1" t="s">
        <v>27</v>
      </c>
      <c r="E856" s="1">
        <v>2661.07</v>
      </c>
      <c r="F856" s="1">
        <v>116.17</v>
      </c>
      <c r="G856" s="1">
        <v>122</v>
      </c>
      <c r="H856" s="1">
        <v>21.812049179999999</v>
      </c>
    </row>
    <row r="857" spans="1:8" ht="15.75" thickBot="1" x14ac:dyDescent="0.3">
      <c r="A857" s="1">
        <v>2017</v>
      </c>
      <c r="B857" s="1" t="s">
        <v>30</v>
      </c>
      <c r="C857" s="1" t="s">
        <v>18</v>
      </c>
      <c r="D857" s="1" t="s">
        <v>13</v>
      </c>
      <c r="E857" s="1">
        <v>1317585.33</v>
      </c>
      <c r="F857" s="1">
        <v>29798.22</v>
      </c>
      <c r="G857" s="1">
        <v>14623</v>
      </c>
      <c r="H857" s="1">
        <v>90.103626480000003</v>
      </c>
    </row>
    <row r="858" spans="1:8" ht="15.75" thickBot="1" x14ac:dyDescent="0.3">
      <c r="A858" s="1">
        <v>2016</v>
      </c>
      <c r="B858" s="1" t="s">
        <v>17</v>
      </c>
      <c r="C858" s="1" t="s">
        <v>26</v>
      </c>
      <c r="D858" s="1" t="s">
        <v>13</v>
      </c>
      <c r="E858" s="1">
        <v>1973173.57</v>
      </c>
      <c r="F858" s="1">
        <v>64629.61</v>
      </c>
      <c r="G858" s="1">
        <v>46279</v>
      </c>
      <c r="H858" s="1">
        <v>42.636478099999998</v>
      </c>
    </row>
    <row r="859" spans="1:8" ht="15.75" thickBot="1" x14ac:dyDescent="0.3">
      <c r="A859" s="1">
        <v>2016</v>
      </c>
      <c r="B859" s="1" t="s">
        <v>20</v>
      </c>
      <c r="C859" s="1" t="s">
        <v>12</v>
      </c>
      <c r="D859" s="1" t="s">
        <v>19</v>
      </c>
      <c r="E859" s="1">
        <v>2930897.23</v>
      </c>
      <c r="F859" s="1">
        <v>90942.58</v>
      </c>
      <c r="G859" s="1">
        <v>39937</v>
      </c>
      <c r="H859" s="1">
        <v>73.388016879999995</v>
      </c>
    </row>
    <row r="860" spans="1:8" ht="15.75" thickBot="1" x14ac:dyDescent="0.3">
      <c r="A860" s="1">
        <v>2017</v>
      </c>
      <c r="B860" s="1" t="s">
        <v>30</v>
      </c>
      <c r="C860" s="1" t="s">
        <v>9</v>
      </c>
      <c r="D860" s="1" t="s">
        <v>27</v>
      </c>
      <c r="E860" s="1">
        <v>944357.4</v>
      </c>
      <c r="F860" s="1">
        <v>24585.64</v>
      </c>
      <c r="G860" s="1">
        <v>39583</v>
      </c>
      <c r="H860" s="1">
        <v>23.857651010000001</v>
      </c>
    </row>
    <row r="861" spans="1:8" ht="15.75" thickBot="1" x14ac:dyDescent="0.3">
      <c r="A861" s="1">
        <v>2017</v>
      </c>
      <c r="B861" s="1" t="s">
        <v>14</v>
      </c>
      <c r="C861" s="1" t="s">
        <v>23</v>
      </c>
      <c r="D861" s="1" t="s">
        <v>29</v>
      </c>
      <c r="E861" s="1">
        <v>6074358.1200000001</v>
      </c>
      <c r="F861" s="1">
        <v>229470.89</v>
      </c>
      <c r="G861" s="1">
        <v>66234</v>
      </c>
      <c r="H861" s="1">
        <v>91.710573420000003</v>
      </c>
    </row>
    <row r="862" spans="1:8" ht="15.75" thickBot="1" x14ac:dyDescent="0.3">
      <c r="A862" s="1">
        <v>2015</v>
      </c>
      <c r="B862" s="1" t="s">
        <v>11</v>
      </c>
      <c r="C862" s="1" t="s">
        <v>9</v>
      </c>
      <c r="D862" s="1" t="s">
        <v>29</v>
      </c>
      <c r="E862" s="1">
        <v>11763.39</v>
      </c>
      <c r="F862" s="1">
        <v>120.99</v>
      </c>
      <c r="G862" s="1">
        <v>55</v>
      </c>
      <c r="H862" s="1">
        <v>213.87981819999999</v>
      </c>
    </row>
    <row r="863" spans="1:8" ht="15.75" thickBot="1" x14ac:dyDescent="0.3">
      <c r="A863" s="1">
        <v>2016</v>
      </c>
      <c r="B863" s="1" t="s">
        <v>12</v>
      </c>
      <c r="C863" s="1" t="s">
        <v>21</v>
      </c>
      <c r="D863" s="1" t="s">
        <v>10</v>
      </c>
      <c r="E863" s="1">
        <v>9552391.1799999997</v>
      </c>
      <c r="F863" s="1">
        <v>245741.24</v>
      </c>
      <c r="G863" s="1">
        <v>163415</v>
      </c>
      <c r="H863" s="1">
        <v>58.454800229999996</v>
      </c>
    </row>
    <row r="864" spans="1:8" ht="15.75" thickBot="1" x14ac:dyDescent="0.3">
      <c r="A864" s="1">
        <v>2016</v>
      </c>
      <c r="B864" s="1" t="s">
        <v>16</v>
      </c>
      <c r="C864" s="1" t="s">
        <v>28</v>
      </c>
      <c r="D864" s="1" t="s">
        <v>29</v>
      </c>
      <c r="E864" s="1">
        <v>80599983.790000007</v>
      </c>
      <c r="F864" s="1">
        <v>2503721.16</v>
      </c>
      <c r="G864" s="1">
        <v>165356</v>
      </c>
      <c r="H864" s="1">
        <v>487.43307650000003</v>
      </c>
    </row>
    <row r="865" spans="1:8" ht="15.75" thickBot="1" x14ac:dyDescent="0.3">
      <c r="A865" s="1">
        <v>2017</v>
      </c>
      <c r="B865" s="1" t="s">
        <v>14</v>
      </c>
      <c r="C865" s="1" t="s">
        <v>25</v>
      </c>
      <c r="D865" s="1" t="s">
        <v>24</v>
      </c>
      <c r="E865" s="1">
        <v>23826918.739999998</v>
      </c>
      <c r="F865" s="1">
        <v>853420.42</v>
      </c>
      <c r="G865" s="1">
        <v>181526</v>
      </c>
      <c r="H865" s="1">
        <v>131.2589863</v>
      </c>
    </row>
    <row r="866" spans="1:8" ht="15.75" thickBot="1" x14ac:dyDescent="0.3">
      <c r="A866" s="1">
        <v>2017</v>
      </c>
      <c r="B866" s="1" t="s">
        <v>35</v>
      </c>
      <c r="C866" s="1" t="s">
        <v>25</v>
      </c>
      <c r="D866" s="1" t="s">
        <v>27</v>
      </c>
      <c r="E866" s="1">
        <v>26996</v>
      </c>
      <c r="F866" s="1">
        <v>1003.7</v>
      </c>
      <c r="G866" s="1">
        <v>635</v>
      </c>
      <c r="H866" s="1">
        <v>42.513385829999997</v>
      </c>
    </row>
    <row r="867" spans="1:8" ht="15.75" thickBot="1" x14ac:dyDescent="0.3">
      <c r="A867" s="1">
        <v>2014</v>
      </c>
      <c r="B867" s="1" t="s">
        <v>12</v>
      </c>
      <c r="C867" s="1" t="s">
        <v>26</v>
      </c>
      <c r="D867" s="1" t="s">
        <v>10</v>
      </c>
      <c r="E867" s="1">
        <v>2435590.31</v>
      </c>
      <c r="F867" s="1">
        <v>51323.54</v>
      </c>
      <c r="G867" s="1">
        <v>32802</v>
      </c>
      <c r="H867" s="1">
        <v>74.251274620000004</v>
      </c>
    </row>
    <row r="868" spans="1:8" ht="15.75" thickBot="1" x14ac:dyDescent="0.3">
      <c r="A868" s="1">
        <v>2017</v>
      </c>
      <c r="B868" s="1" t="s">
        <v>16</v>
      </c>
      <c r="C868" s="1" t="s">
        <v>33</v>
      </c>
      <c r="D868" s="1" t="s">
        <v>24</v>
      </c>
      <c r="E868" s="1">
        <v>58331467.700000003</v>
      </c>
      <c r="F868" s="1">
        <v>2051416.94</v>
      </c>
      <c r="G868" s="1">
        <v>225348</v>
      </c>
      <c r="H868" s="1">
        <v>258.85061189999999</v>
      </c>
    </row>
    <row r="869" spans="1:8" ht="15.75" thickBot="1" x14ac:dyDescent="0.3">
      <c r="A869" s="1">
        <v>2017</v>
      </c>
      <c r="B869" s="1" t="s">
        <v>8</v>
      </c>
      <c r="C869" s="1" t="s">
        <v>25</v>
      </c>
      <c r="D869" s="1" t="s">
        <v>24</v>
      </c>
      <c r="E869" s="1">
        <v>45</v>
      </c>
      <c r="F869" s="1">
        <v>2.5099999999999998</v>
      </c>
      <c r="G869" s="1">
        <v>4</v>
      </c>
      <c r="H869" s="1">
        <v>11.25</v>
      </c>
    </row>
    <row r="870" spans="1:8" ht="15.75" thickBot="1" x14ac:dyDescent="0.3">
      <c r="A870" s="1">
        <v>2016</v>
      </c>
      <c r="B870" s="1" t="s">
        <v>17</v>
      </c>
      <c r="C870" s="1" t="s">
        <v>25</v>
      </c>
      <c r="D870" s="1" t="s">
        <v>31</v>
      </c>
      <c r="E870" s="1">
        <v>29277241.120000001</v>
      </c>
      <c r="F870" s="1">
        <v>959786.24</v>
      </c>
      <c r="G870" s="1">
        <v>544337</v>
      </c>
      <c r="H870" s="1">
        <v>53.785138840000002</v>
      </c>
    </row>
    <row r="871" spans="1:8" ht="15.75" thickBot="1" x14ac:dyDescent="0.3">
      <c r="A871" s="1">
        <v>2017</v>
      </c>
      <c r="B871" s="1" t="s">
        <v>40</v>
      </c>
      <c r="C871" s="1" t="s">
        <v>33</v>
      </c>
      <c r="D871" s="1" t="s">
        <v>27</v>
      </c>
      <c r="E871" s="1">
        <v>40166.32</v>
      </c>
      <c r="F871" s="1">
        <v>1426.48</v>
      </c>
      <c r="G871" s="1">
        <v>539</v>
      </c>
      <c r="H871" s="1">
        <v>74.520074210000004</v>
      </c>
    </row>
    <row r="872" spans="1:8" ht="15.75" thickBot="1" x14ac:dyDescent="0.3">
      <c r="A872" s="1">
        <v>2016</v>
      </c>
      <c r="B872" s="1" t="s">
        <v>12</v>
      </c>
      <c r="C872" s="1" t="s">
        <v>33</v>
      </c>
      <c r="D872" s="1" t="s">
        <v>13</v>
      </c>
      <c r="E872" s="1">
        <v>135620.13</v>
      </c>
      <c r="F872" s="1">
        <v>4505.07</v>
      </c>
      <c r="G872" s="1">
        <v>3630</v>
      </c>
      <c r="H872" s="1">
        <v>37.360917360000002</v>
      </c>
    </row>
    <row r="873" spans="1:8" ht="15.75" thickBot="1" x14ac:dyDescent="0.3">
      <c r="A873" s="1">
        <v>2016</v>
      </c>
      <c r="B873" s="1" t="s">
        <v>12</v>
      </c>
      <c r="C873" s="1" t="s">
        <v>26</v>
      </c>
      <c r="D873" s="1" t="s">
        <v>13</v>
      </c>
      <c r="E873" s="1">
        <v>120790.6</v>
      </c>
      <c r="F873" s="1">
        <v>4361.32</v>
      </c>
      <c r="G873" s="1">
        <v>3516</v>
      </c>
      <c r="H873" s="1">
        <v>34.354550629999999</v>
      </c>
    </row>
    <row r="874" spans="1:8" ht="15.75" thickBot="1" x14ac:dyDescent="0.3">
      <c r="A874" s="1">
        <v>2017</v>
      </c>
      <c r="B874" s="1" t="s">
        <v>40</v>
      </c>
      <c r="C874" s="1" t="s">
        <v>28</v>
      </c>
      <c r="D874" s="1" t="s">
        <v>13</v>
      </c>
      <c r="E874" s="1">
        <v>5029.3999999999996</v>
      </c>
      <c r="F874" s="1">
        <v>12.33</v>
      </c>
      <c r="G874" s="1">
        <v>40</v>
      </c>
      <c r="H874" s="1">
        <v>125.735</v>
      </c>
    </row>
    <row r="875" spans="1:8" ht="15.75" thickBot="1" x14ac:dyDescent="0.3">
      <c r="A875" s="1">
        <v>2015</v>
      </c>
      <c r="B875" s="1" t="s">
        <v>16</v>
      </c>
      <c r="C875" s="1" t="s">
        <v>28</v>
      </c>
      <c r="D875" s="1" t="s">
        <v>29</v>
      </c>
      <c r="E875" s="1">
        <v>67259672.980000004</v>
      </c>
      <c r="F875" s="1">
        <v>2084813.48</v>
      </c>
      <c r="G875" s="1">
        <v>136954</v>
      </c>
      <c r="H875" s="1">
        <v>491.11141679999997</v>
      </c>
    </row>
    <row r="876" spans="1:8" ht="15.75" thickBot="1" x14ac:dyDescent="0.3">
      <c r="A876" s="1">
        <v>2015</v>
      </c>
      <c r="B876" s="1" t="s">
        <v>40</v>
      </c>
      <c r="C876" s="1" t="s">
        <v>26</v>
      </c>
      <c r="D876" s="1" t="s">
        <v>32</v>
      </c>
      <c r="E876" s="1">
        <v>306.75</v>
      </c>
      <c r="F876" s="1">
        <v>36.979999999999997</v>
      </c>
      <c r="G876" s="1">
        <v>52</v>
      </c>
      <c r="H876" s="1">
        <v>5.899038462</v>
      </c>
    </row>
    <row r="877" spans="1:8" ht="15.75" thickBot="1" x14ac:dyDescent="0.3">
      <c r="A877" s="1">
        <v>2015</v>
      </c>
      <c r="B877" s="1" t="s">
        <v>12</v>
      </c>
      <c r="C877" s="1" t="s">
        <v>12</v>
      </c>
      <c r="D877" s="1" t="s">
        <v>10</v>
      </c>
      <c r="E877" s="1">
        <v>2775125.82</v>
      </c>
      <c r="F877" s="1">
        <v>76087.3</v>
      </c>
      <c r="G877" s="1">
        <v>38468</v>
      </c>
      <c r="H877" s="1">
        <v>72.141151609999994</v>
      </c>
    </row>
    <row r="878" spans="1:8" ht="15.75" thickBot="1" x14ac:dyDescent="0.3">
      <c r="A878" s="1">
        <v>2014</v>
      </c>
      <c r="B878" s="1" t="s">
        <v>30</v>
      </c>
      <c r="C878" s="1" t="s">
        <v>23</v>
      </c>
      <c r="D878" s="1" t="s">
        <v>13</v>
      </c>
      <c r="E878" s="1">
        <v>136312.76</v>
      </c>
      <c r="F878" s="1">
        <v>4016.95</v>
      </c>
      <c r="G878" s="1">
        <v>1898</v>
      </c>
      <c r="H878" s="1">
        <v>71.819157009999998</v>
      </c>
    </row>
    <row r="879" spans="1:8" ht="15.75" thickBot="1" x14ac:dyDescent="0.3">
      <c r="A879" s="1">
        <v>2015</v>
      </c>
      <c r="B879" s="1" t="s">
        <v>12</v>
      </c>
      <c r="C879" s="1" t="s">
        <v>15</v>
      </c>
      <c r="D879" s="1" t="s">
        <v>10</v>
      </c>
      <c r="E879" s="1">
        <v>3956164.97</v>
      </c>
      <c r="F879" s="1">
        <v>99604.29</v>
      </c>
      <c r="G879" s="1">
        <v>49823</v>
      </c>
      <c r="H879" s="1">
        <v>79.404390939999999</v>
      </c>
    </row>
    <row r="880" spans="1:8" ht="15.75" thickBot="1" x14ac:dyDescent="0.3">
      <c r="A880" s="1">
        <v>2016</v>
      </c>
      <c r="B880" s="1" t="s">
        <v>20</v>
      </c>
      <c r="C880" s="1" t="s">
        <v>15</v>
      </c>
      <c r="D880" s="1" t="s">
        <v>19</v>
      </c>
      <c r="E880" s="1">
        <v>3526636.43</v>
      </c>
      <c r="F880" s="1">
        <v>103982.98</v>
      </c>
      <c r="G880" s="1">
        <v>40653</v>
      </c>
      <c r="H880" s="1">
        <v>86.749721550000004</v>
      </c>
    </row>
    <row r="881" spans="1:8" ht="15.75" thickBot="1" x14ac:dyDescent="0.3">
      <c r="A881" s="1">
        <v>2014</v>
      </c>
      <c r="B881" s="1" t="s">
        <v>16</v>
      </c>
      <c r="C881" s="1" t="s">
        <v>21</v>
      </c>
      <c r="D881" s="1" t="s">
        <v>31</v>
      </c>
      <c r="E881" s="1">
        <v>3349541.6</v>
      </c>
      <c r="F881" s="1">
        <v>125192.05</v>
      </c>
      <c r="G881" s="1">
        <v>68632</v>
      </c>
      <c r="H881" s="1">
        <v>48.804371140000001</v>
      </c>
    </row>
    <row r="882" spans="1:8" ht="15.75" thickBot="1" x14ac:dyDescent="0.3">
      <c r="A882" s="1">
        <v>2015</v>
      </c>
      <c r="B882" s="1" t="s">
        <v>30</v>
      </c>
      <c r="C882" s="1" t="s">
        <v>28</v>
      </c>
      <c r="D882" s="1" t="s">
        <v>24</v>
      </c>
      <c r="E882" s="1">
        <v>68414829.640000001</v>
      </c>
      <c r="F882" s="1">
        <v>1977533.79</v>
      </c>
      <c r="G882" s="1">
        <v>267628</v>
      </c>
      <c r="H882" s="1">
        <v>255.63405040000001</v>
      </c>
    </row>
    <row r="883" spans="1:8" ht="15.75" thickBot="1" x14ac:dyDescent="0.3">
      <c r="A883" s="1">
        <v>2015</v>
      </c>
      <c r="B883" s="1" t="s">
        <v>30</v>
      </c>
      <c r="C883" s="1" t="s">
        <v>15</v>
      </c>
      <c r="D883" s="1" t="s">
        <v>19</v>
      </c>
      <c r="E883" s="1">
        <v>133971675.8</v>
      </c>
      <c r="F883" s="1">
        <v>3777393.06</v>
      </c>
      <c r="G883" s="1">
        <v>836508</v>
      </c>
      <c r="H883" s="1">
        <v>160.15588120000001</v>
      </c>
    </row>
    <row r="884" spans="1:8" ht="15.75" thickBot="1" x14ac:dyDescent="0.3">
      <c r="A884" s="1">
        <v>2016</v>
      </c>
      <c r="B884" s="1" t="s">
        <v>40</v>
      </c>
      <c r="C884" s="1" t="s">
        <v>26</v>
      </c>
      <c r="D884" s="1" t="s">
        <v>19</v>
      </c>
      <c r="E884" s="1">
        <v>24914.13</v>
      </c>
      <c r="F884" s="1">
        <v>444.18</v>
      </c>
      <c r="G884" s="1">
        <v>232</v>
      </c>
      <c r="H884" s="1">
        <v>107.38849140000001</v>
      </c>
    </row>
    <row r="885" spans="1:8" ht="15.75" thickBot="1" x14ac:dyDescent="0.3">
      <c r="A885" s="1">
        <v>2014</v>
      </c>
      <c r="B885" s="1" t="s">
        <v>11</v>
      </c>
      <c r="C885" s="1" t="s">
        <v>15</v>
      </c>
      <c r="D885" s="1" t="s">
        <v>19</v>
      </c>
      <c r="E885" s="1">
        <v>3041424.18</v>
      </c>
      <c r="F885" s="1">
        <v>90995.28</v>
      </c>
      <c r="G885" s="1">
        <v>15300</v>
      </c>
      <c r="H885" s="1">
        <v>198.78589410000001</v>
      </c>
    </row>
    <row r="886" spans="1:8" ht="15.75" thickBot="1" x14ac:dyDescent="0.3">
      <c r="A886" s="1">
        <v>2017</v>
      </c>
      <c r="B886" s="1" t="s">
        <v>14</v>
      </c>
      <c r="C886" s="1" t="s">
        <v>12</v>
      </c>
      <c r="D886" s="1" t="s">
        <v>34</v>
      </c>
      <c r="E886" s="1">
        <v>106491.94</v>
      </c>
      <c r="F886" s="1">
        <v>4750.38</v>
      </c>
      <c r="G886" s="1">
        <v>5288</v>
      </c>
      <c r="H886" s="1">
        <v>20.13841528</v>
      </c>
    </row>
    <row r="887" spans="1:8" ht="15.75" thickBot="1" x14ac:dyDescent="0.3">
      <c r="A887" s="1">
        <v>2014</v>
      </c>
      <c r="B887" s="1" t="s">
        <v>20</v>
      </c>
      <c r="C887" s="1" t="s">
        <v>12</v>
      </c>
      <c r="D887" s="1" t="s">
        <v>24</v>
      </c>
      <c r="E887" s="1">
        <v>1224597.25</v>
      </c>
      <c r="F887" s="1">
        <v>43575.34</v>
      </c>
      <c r="G887" s="1">
        <v>11293</v>
      </c>
      <c r="H887" s="1">
        <v>108.4386124</v>
      </c>
    </row>
    <row r="888" spans="1:8" ht="15.75" thickBot="1" x14ac:dyDescent="0.3">
      <c r="A888" s="1">
        <v>2016</v>
      </c>
      <c r="B888" s="1" t="s">
        <v>35</v>
      </c>
      <c r="C888" s="1" t="s">
        <v>9</v>
      </c>
      <c r="D888" s="1" t="s">
        <v>32</v>
      </c>
      <c r="E888" s="1">
        <v>5098.4799999999996</v>
      </c>
      <c r="F888" s="1">
        <v>487.78</v>
      </c>
      <c r="G888" s="1">
        <v>3434</v>
      </c>
      <c r="H888" s="1">
        <v>1.4847058820000001</v>
      </c>
    </row>
    <row r="889" spans="1:8" ht="15.75" thickBot="1" x14ac:dyDescent="0.3">
      <c r="A889" s="1">
        <v>2014</v>
      </c>
      <c r="B889" s="1" t="s">
        <v>35</v>
      </c>
      <c r="C889" s="1" t="s">
        <v>12</v>
      </c>
      <c r="D889" s="1" t="s">
        <v>24</v>
      </c>
      <c r="E889" s="1">
        <v>22931.47</v>
      </c>
      <c r="F889" s="1">
        <v>652.14</v>
      </c>
      <c r="G889" s="1">
        <v>173</v>
      </c>
      <c r="H889" s="1">
        <v>132.55184969999999</v>
      </c>
    </row>
    <row r="890" spans="1:8" ht="15.75" thickBot="1" x14ac:dyDescent="0.3">
      <c r="A890" s="1">
        <v>2015</v>
      </c>
      <c r="B890" s="1" t="s">
        <v>12</v>
      </c>
      <c r="C890" s="1" t="s">
        <v>28</v>
      </c>
      <c r="D890" s="1" t="s">
        <v>19</v>
      </c>
      <c r="E890" s="1">
        <v>29545349.109999999</v>
      </c>
      <c r="F890" s="1">
        <v>707044.36</v>
      </c>
      <c r="G890" s="1">
        <v>72889</v>
      </c>
      <c r="H890" s="1">
        <v>405.34715949999998</v>
      </c>
    </row>
    <row r="891" spans="1:8" ht="15.75" thickBot="1" x14ac:dyDescent="0.3">
      <c r="A891" s="1">
        <v>2017</v>
      </c>
      <c r="B891" s="1" t="s">
        <v>16</v>
      </c>
      <c r="C891" s="1" t="s">
        <v>33</v>
      </c>
      <c r="D891" s="1" t="s">
        <v>34</v>
      </c>
      <c r="E891" s="1">
        <v>956042.56</v>
      </c>
      <c r="F891" s="1">
        <v>35734.18</v>
      </c>
      <c r="G891" s="1">
        <v>23388</v>
      </c>
      <c r="H891" s="1">
        <v>40.877482469999997</v>
      </c>
    </row>
    <row r="892" spans="1:8" ht="15.75" thickBot="1" x14ac:dyDescent="0.3">
      <c r="A892" s="1">
        <v>2017</v>
      </c>
      <c r="B892" s="1" t="s">
        <v>40</v>
      </c>
      <c r="C892" s="1" t="s">
        <v>26</v>
      </c>
      <c r="D892" s="1" t="s">
        <v>32</v>
      </c>
      <c r="E892" s="1">
        <v>420.94</v>
      </c>
      <c r="F892" s="1">
        <v>65.13</v>
      </c>
      <c r="G892" s="1">
        <v>60</v>
      </c>
      <c r="H892" s="1">
        <v>7.0156666669999996</v>
      </c>
    </row>
    <row r="893" spans="1:8" ht="15.75" thickBot="1" x14ac:dyDescent="0.3">
      <c r="A893" s="1">
        <v>2016</v>
      </c>
      <c r="B893" s="1" t="s">
        <v>12</v>
      </c>
      <c r="C893" s="1" t="s">
        <v>21</v>
      </c>
      <c r="D893" s="1" t="s">
        <v>27</v>
      </c>
      <c r="E893" s="1">
        <v>22005454.32</v>
      </c>
      <c r="F893" s="1">
        <v>859780.41</v>
      </c>
      <c r="G893" s="1">
        <v>526233</v>
      </c>
      <c r="H893" s="1">
        <v>41.816941010000001</v>
      </c>
    </row>
    <row r="894" spans="1:8" ht="15.75" thickBot="1" x14ac:dyDescent="0.3">
      <c r="A894" s="1">
        <v>2015</v>
      </c>
      <c r="B894" s="1" t="s">
        <v>20</v>
      </c>
      <c r="C894" s="1" t="s">
        <v>9</v>
      </c>
      <c r="D894" s="1" t="s">
        <v>24</v>
      </c>
      <c r="E894" s="1">
        <v>2608612.0099999998</v>
      </c>
      <c r="F894" s="1">
        <v>85383.69</v>
      </c>
      <c r="G894" s="1">
        <v>21598</v>
      </c>
      <c r="H894" s="1">
        <v>120.7802579</v>
      </c>
    </row>
    <row r="895" spans="1:8" ht="15.75" thickBot="1" x14ac:dyDescent="0.3">
      <c r="A895" s="1">
        <v>2015</v>
      </c>
      <c r="B895" s="1" t="s">
        <v>14</v>
      </c>
      <c r="C895" s="1" t="s">
        <v>18</v>
      </c>
      <c r="D895" s="1" t="s">
        <v>13</v>
      </c>
      <c r="E895" s="1">
        <v>14956.94</v>
      </c>
      <c r="F895" s="1">
        <v>545.42999999999995</v>
      </c>
      <c r="G895" s="1">
        <v>326</v>
      </c>
      <c r="H895" s="1">
        <v>45.880184049999997</v>
      </c>
    </row>
    <row r="896" spans="1:8" ht="15.75" thickBot="1" x14ac:dyDescent="0.3">
      <c r="A896" s="1">
        <v>2017</v>
      </c>
      <c r="B896" s="1" t="s">
        <v>8</v>
      </c>
      <c r="C896" s="1" t="s">
        <v>25</v>
      </c>
      <c r="D896" s="1" t="s">
        <v>32</v>
      </c>
      <c r="E896" s="1">
        <v>2222.5500000000002</v>
      </c>
      <c r="F896" s="1">
        <v>100.31</v>
      </c>
      <c r="G896" s="1">
        <v>41</v>
      </c>
      <c r="H896" s="1">
        <v>54.208536590000001</v>
      </c>
    </row>
    <row r="897" spans="1:8" ht="15.75" thickBot="1" x14ac:dyDescent="0.3">
      <c r="A897" s="1">
        <v>2014</v>
      </c>
      <c r="B897" s="1" t="s">
        <v>11</v>
      </c>
      <c r="C897" s="1" t="s">
        <v>18</v>
      </c>
      <c r="D897" s="1" t="s">
        <v>22</v>
      </c>
      <c r="E897" s="1">
        <v>599525.35</v>
      </c>
      <c r="F897" s="1">
        <v>18633.150000000001</v>
      </c>
      <c r="G897" s="1">
        <v>37384</v>
      </c>
      <c r="H897" s="1">
        <v>16.036950300000001</v>
      </c>
    </row>
    <row r="898" spans="1:8" ht="15.75" thickBot="1" x14ac:dyDescent="0.3">
      <c r="A898" s="1">
        <v>2014</v>
      </c>
      <c r="B898" s="1" t="s">
        <v>14</v>
      </c>
      <c r="C898" s="1" t="s">
        <v>23</v>
      </c>
      <c r="D898" s="1" t="s">
        <v>22</v>
      </c>
      <c r="E898" s="1">
        <v>5722.63</v>
      </c>
      <c r="F898" s="1">
        <v>231.08</v>
      </c>
      <c r="G898" s="1">
        <v>516</v>
      </c>
      <c r="H898" s="1">
        <v>11.09036822</v>
      </c>
    </row>
    <row r="899" spans="1:8" ht="15.75" thickBot="1" x14ac:dyDescent="0.3">
      <c r="A899" s="1">
        <v>2014</v>
      </c>
      <c r="B899" s="1" t="s">
        <v>11</v>
      </c>
      <c r="C899" s="1" t="s">
        <v>9</v>
      </c>
      <c r="D899" s="1" t="s">
        <v>31</v>
      </c>
      <c r="E899" s="1">
        <v>743812484.20000005</v>
      </c>
      <c r="F899" s="1">
        <v>18564304.23</v>
      </c>
      <c r="G899" s="1">
        <v>7251723</v>
      </c>
      <c r="H899" s="1">
        <v>102.570449</v>
      </c>
    </row>
    <row r="900" spans="1:8" ht="15.75" thickBot="1" x14ac:dyDescent="0.3">
      <c r="A900" s="1">
        <v>2017</v>
      </c>
      <c r="B900" s="1" t="s">
        <v>12</v>
      </c>
      <c r="C900" s="1" t="s">
        <v>21</v>
      </c>
      <c r="D900" s="1" t="s">
        <v>32</v>
      </c>
      <c r="E900" s="1">
        <v>16385230.810000001</v>
      </c>
      <c r="F900" s="1">
        <v>572672.87</v>
      </c>
      <c r="G900" s="1">
        <v>284256</v>
      </c>
      <c r="H900" s="1">
        <v>57.642515230000001</v>
      </c>
    </row>
    <row r="901" spans="1:8" ht="15.75" thickBot="1" x14ac:dyDescent="0.3">
      <c r="A901" s="1">
        <v>2015</v>
      </c>
      <c r="B901" s="1" t="s">
        <v>20</v>
      </c>
      <c r="C901" s="1" t="s">
        <v>9</v>
      </c>
      <c r="D901" s="1" t="s">
        <v>29</v>
      </c>
      <c r="E901" s="1">
        <v>1997274.45</v>
      </c>
      <c r="F901" s="1">
        <v>65079.11</v>
      </c>
      <c r="G901" s="1">
        <v>15560</v>
      </c>
      <c r="H901" s="1">
        <v>128.35954050000001</v>
      </c>
    </row>
    <row r="902" spans="1:8" ht="15.75" thickBot="1" x14ac:dyDescent="0.3">
      <c r="A902" s="1">
        <v>2014</v>
      </c>
      <c r="B902" s="1" t="s">
        <v>35</v>
      </c>
      <c r="C902" s="1" t="s">
        <v>9</v>
      </c>
      <c r="D902" s="1" t="s">
        <v>29</v>
      </c>
      <c r="E902" s="1">
        <v>3287.64</v>
      </c>
      <c r="F902" s="1">
        <v>121.42</v>
      </c>
      <c r="G902" s="1">
        <v>61</v>
      </c>
      <c r="H902" s="1">
        <v>53.895737699999998</v>
      </c>
    </row>
    <row r="903" spans="1:8" ht="15.75" thickBot="1" x14ac:dyDescent="0.3">
      <c r="A903" s="1">
        <v>2016</v>
      </c>
      <c r="B903" s="1" t="s">
        <v>30</v>
      </c>
      <c r="C903" s="1" t="s">
        <v>9</v>
      </c>
      <c r="D903" s="1" t="s">
        <v>19</v>
      </c>
      <c r="E903" s="1">
        <v>1280082.3700000001</v>
      </c>
      <c r="F903" s="1">
        <v>20425.509999999998</v>
      </c>
      <c r="G903" s="1">
        <v>37339</v>
      </c>
      <c r="H903" s="1">
        <v>34.282716999999998</v>
      </c>
    </row>
    <row r="904" spans="1:8" ht="15.75" thickBot="1" x14ac:dyDescent="0.3">
      <c r="A904" s="1">
        <v>2017</v>
      </c>
      <c r="B904" s="1" t="s">
        <v>20</v>
      </c>
      <c r="C904" s="1" t="s">
        <v>12</v>
      </c>
      <c r="D904" s="1" t="s">
        <v>19</v>
      </c>
      <c r="E904" s="1">
        <v>3209997.22</v>
      </c>
      <c r="F904" s="1">
        <v>97720.28</v>
      </c>
      <c r="G904" s="1">
        <v>57358</v>
      </c>
      <c r="H904" s="1">
        <v>55.96424596</v>
      </c>
    </row>
    <row r="905" spans="1:8" ht="15.75" thickBot="1" x14ac:dyDescent="0.3">
      <c r="A905" s="1">
        <v>2017</v>
      </c>
      <c r="B905" s="1" t="s">
        <v>14</v>
      </c>
      <c r="C905" s="1" t="s">
        <v>26</v>
      </c>
      <c r="D905" s="1" t="s">
        <v>19</v>
      </c>
      <c r="E905" s="1">
        <v>44621289.259999998</v>
      </c>
      <c r="F905" s="1">
        <v>1272184.43</v>
      </c>
      <c r="G905" s="1">
        <v>479055</v>
      </c>
      <c r="H905" s="1">
        <v>93.144397319999996</v>
      </c>
    </row>
    <row r="906" spans="1:8" ht="15.75" thickBot="1" x14ac:dyDescent="0.3">
      <c r="A906" s="1">
        <v>2016</v>
      </c>
      <c r="B906" s="1" t="s">
        <v>35</v>
      </c>
      <c r="C906" s="1" t="s">
        <v>21</v>
      </c>
      <c r="D906" s="1" t="s">
        <v>27</v>
      </c>
      <c r="E906" s="1">
        <v>30432.85</v>
      </c>
      <c r="F906" s="1">
        <v>1179.3599999999999</v>
      </c>
      <c r="G906" s="1">
        <v>682</v>
      </c>
      <c r="H906" s="1">
        <v>44.62294721</v>
      </c>
    </row>
    <row r="907" spans="1:8" ht="15.75" thickBot="1" x14ac:dyDescent="0.3">
      <c r="A907" s="1">
        <v>2014</v>
      </c>
      <c r="B907" s="1" t="s">
        <v>12</v>
      </c>
      <c r="C907" s="1" t="s">
        <v>33</v>
      </c>
      <c r="D907" s="1" t="s">
        <v>32</v>
      </c>
      <c r="E907" s="1">
        <v>13535464.73</v>
      </c>
      <c r="F907" s="1">
        <v>416568.91</v>
      </c>
      <c r="G907" s="1">
        <v>203007</v>
      </c>
      <c r="H907" s="1">
        <v>66.674867019999994</v>
      </c>
    </row>
    <row r="908" spans="1:8" ht="15.75" thickBot="1" x14ac:dyDescent="0.3">
      <c r="A908" s="1">
        <v>2017</v>
      </c>
      <c r="B908" s="1" t="s">
        <v>40</v>
      </c>
      <c r="C908" s="1" t="s">
        <v>12</v>
      </c>
      <c r="D908" s="1" t="s">
        <v>32</v>
      </c>
      <c r="E908" s="1">
        <v>5061.01</v>
      </c>
      <c r="F908" s="1">
        <v>359.76</v>
      </c>
      <c r="G908" s="1">
        <v>315</v>
      </c>
      <c r="H908" s="1">
        <v>16.066698410000001</v>
      </c>
    </row>
    <row r="909" spans="1:8" ht="15.75" thickBot="1" x14ac:dyDescent="0.3">
      <c r="A909" s="1">
        <v>2015</v>
      </c>
      <c r="B909" s="1" t="s">
        <v>14</v>
      </c>
      <c r="C909" s="1" t="s">
        <v>18</v>
      </c>
      <c r="D909" s="1" t="s">
        <v>31</v>
      </c>
      <c r="E909" s="1">
        <v>155001.9</v>
      </c>
      <c r="F909" s="1">
        <v>6066.75</v>
      </c>
      <c r="G909" s="1">
        <v>3804</v>
      </c>
      <c r="H909" s="1">
        <v>40.747082020000001</v>
      </c>
    </row>
    <row r="910" spans="1:8" ht="15.75" thickBot="1" x14ac:dyDescent="0.3">
      <c r="A910" s="1">
        <v>2016</v>
      </c>
      <c r="B910" s="1" t="s">
        <v>14</v>
      </c>
      <c r="C910" s="1" t="s">
        <v>23</v>
      </c>
      <c r="D910" s="1" t="s">
        <v>27</v>
      </c>
      <c r="E910" s="1">
        <v>325637951.10000002</v>
      </c>
      <c r="F910" s="1">
        <v>14995842.529999999</v>
      </c>
      <c r="G910" s="1">
        <v>14061491</v>
      </c>
      <c r="H910" s="1">
        <v>23.158138149999999</v>
      </c>
    </row>
    <row r="911" spans="1:8" ht="15.75" thickBot="1" x14ac:dyDescent="0.3">
      <c r="A911" s="1">
        <v>2014</v>
      </c>
      <c r="B911" s="1" t="s">
        <v>12</v>
      </c>
      <c r="C911" s="1" t="s">
        <v>28</v>
      </c>
      <c r="D911" s="1" t="s">
        <v>13</v>
      </c>
      <c r="E911" s="1">
        <v>14579.6</v>
      </c>
      <c r="F911" s="1">
        <v>438.97</v>
      </c>
      <c r="G911" s="1">
        <v>136</v>
      </c>
      <c r="H911" s="1">
        <v>107.2029412</v>
      </c>
    </row>
    <row r="912" spans="1:8" ht="15.75" thickBot="1" x14ac:dyDescent="0.3">
      <c r="A912" s="1">
        <v>2016</v>
      </c>
      <c r="B912" s="1" t="s">
        <v>17</v>
      </c>
      <c r="C912" s="1" t="s">
        <v>23</v>
      </c>
      <c r="D912" s="1" t="s">
        <v>13</v>
      </c>
      <c r="E912" s="1">
        <v>1144560.01</v>
      </c>
      <c r="F912" s="1">
        <v>37383.93</v>
      </c>
      <c r="G912" s="1">
        <v>26454</v>
      </c>
      <c r="H912" s="1">
        <v>43.266047100000002</v>
      </c>
    </row>
    <row r="913" spans="1:8" ht="15.75" thickBot="1" x14ac:dyDescent="0.3">
      <c r="A913" s="1">
        <v>2016</v>
      </c>
      <c r="B913" s="1" t="s">
        <v>30</v>
      </c>
      <c r="C913" s="1" t="s">
        <v>18</v>
      </c>
      <c r="D913" s="1" t="s">
        <v>24</v>
      </c>
      <c r="E913" s="1">
        <v>14075533.689999999</v>
      </c>
      <c r="F913" s="1">
        <v>439659.79</v>
      </c>
      <c r="G913" s="1">
        <v>59774</v>
      </c>
      <c r="H913" s="1">
        <v>235.4791998</v>
      </c>
    </row>
    <row r="914" spans="1:8" ht="15.75" thickBot="1" x14ac:dyDescent="0.3">
      <c r="A914" s="1">
        <v>2015</v>
      </c>
      <c r="B914" s="1" t="s">
        <v>20</v>
      </c>
      <c r="C914" s="1" t="s">
        <v>9</v>
      </c>
      <c r="D914" s="1" t="s">
        <v>32</v>
      </c>
      <c r="E914" s="1">
        <v>24374556.800000001</v>
      </c>
      <c r="F914" s="1">
        <v>890221.47</v>
      </c>
      <c r="G914" s="1">
        <v>566766</v>
      </c>
      <c r="H914" s="1">
        <v>43.006385000000002</v>
      </c>
    </row>
    <row r="915" spans="1:8" ht="15.75" thickBot="1" x14ac:dyDescent="0.3">
      <c r="A915" s="1">
        <v>2016</v>
      </c>
      <c r="B915" s="1" t="s">
        <v>12</v>
      </c>
      <c r="C915" s="1" t="s">
        <v>9</v>
      </c>
      <c r="D915" s="1" t="s">
        <v>24</v>
      </c>
      <c r="E915" s="1">
        <v>4389877.13</v>
      </c>
      <c r="F915" s="1">
        <v>137539.91</v>
      </c>
      <c r="G915" s="1">
        <v>12950</v>
      </c>
      <c r="H915" s="1">
        <v>338.98665099999999</v>
      </c>
    </row>
    <row r="916" spans="1:8" ht="15.75" thickBot="1" x14ac:dyDescent="0.3">
      <c r="A916" s="1">
        <v>2017</v>
      </c>
      <c r="B916" s="1" t="s">
        <v>16</v>
      </c>
      <c r="C916" s="1" t="s">
        <v>25</v>
      </c>
      <c r="D916" s="1" t="s">
        <v>29</v>
      </c>
      <c r="E916" s="1">
        <v>31130966.960000001</v>
      </c>
      <c r="F916" s="1">
        <v>1116335.79</v>
      </c>
      <c r="G916" s="1">
        <v>136656</v>
      </c>
      <c r="H916" s="1">
        <v>227.80534309999999</v>
      </c>
    </row>
    <row r="917" spans="1:8" ht="15.75" thickBot="1" x14ac:dyDescent="0.3">
      <c r="A917" s="1">
        <v>2014</v>
      </c>
      <c r="B917" s="1" t="s">
        <v>16</v>
      </c>
      <c r="C917" s="1" t="s">
        <v>23</v>
      </c>
      <c r="D917" s="1" t="s">
        <v>29</v>
      </c>
      <c r="E917" s="1">
        <v>6518015.9500000002</v>
      </c>
      <c r="F917" s="1">
        <v>240432.07</v>
      </c>
      <c r="G917" s="1">
        <v>40966</v>
      </c>
      <c r="H917" s="1">
        <v>159.10794200000001</v>
      </c>
    </row>
    <row r="918" spans="1:8" ht="15.75" thickBot="1" x14ac:dyDescent="0.3">
      <c r="A918" s="1">
        <v>2017</v>
      </c>
      <c r="B918" s="1" t="s">
        <v>12</v>
      </c>
      <c r="C918" s="1" t="s">
        <v>28</v>
      </c>
      <c r="D918" s="1" t="s">
        <v>34</v>
      </c>
      <c r="E918" s="1">
        <v>62543.31</v>
      </c>
      <c r="F918" s="1">
        <v>947.84</v>
      </c>
      <c r="G918" s="1">
        <v>767</v>
      </c>
      <c r="H918" s="1">
        <v>81.542777049999998</v>
      </c>
    </row>
    <row r="919" spans="1:8" ht="15.75" thickBot="1" x14ac:dyDescent="0.3">
      <c r="A919" s="1">
        <v>2014</v>
      </c>
      <c r="B919" s="1" t="s">
        <v>11</v>
      </c>
      <c r="C919" s="1" t="s">
        <v>15</v>
      </c>
      <c r="D919" s="1" t="s">
        <v>13</v>
      </c>
      <c r="E919" s="1">
        <v>4296.5600000000004</v>
      </c>
      <c r="F919" s="1">
        <v>106.99</v>
      </c>
      <c r="G919" s="1">
        <v>82</v>
      </c>
      <c r="H919" s="1">
        <v>52.397073169999999</v>
      </c>
    </row>
    <row r="920" spans="1:8" ht="15.75" thickBot="1" x14ac:dyDescent="0.3">
      <c r="A920" s="1">
        <v>2015</v>
      </c>
      <c r="B920" s="1" t="s">
        <v>30</v>
      </c>
      <c r="C920" s="1" t="s">
        <v>9</v>
      </c>
      <c r="D920" s="1" t="s">
        <v>24</v>
      </c>
      <c r="E920" s="1">
        <v>191674.62</v>
      </c>
      <c r="F920" s="1">
        <v>6151.02</v>
      </c>
      <c r="G920" s="1">
        <v>3361</v>
      </c>
      <c r="H920" s="1">
        <v>57.029044929999998</v>
      </c>
    </row>
    <row r="921" spans="1:8" ht="15.75" thickBot="1" x14ac:dyDescent="0.3">
      <c r="A921" s="1">
        <v>2015</v>
      </c>
      <c r="B921" s="1" t="s">
        <v>20</v>
      </c>
      <c r="C921" s="1" t="s">
        <v>15</v>
      </c>
      <c r="D921" s="1" t="s">
        <v>27</v>
      </c>
      <c r="E921" s="1">
        <v>3518285.84</v>
      </c>
      <c r="F921" s="1">
        <v>127579.81</v>
      </c>
      <c r="G921" s="1">
        <v>69741</v>
      </c>
      <c r="H921" s="1">
        <v>50.447883449999999</v>
      </c>
    </row>
    <row r="922" spans="1:8" ht="15.75" thickBot="1" x14ac:dyDescent="0.3">
      <c r="A922" s="1">
        <v>2017</v>
      </c>
      <c r="B922" s="1" t="s">
        <v>20</v>
      </c>
      <c r="C922" s="1" t="s">
        <v>12</v>
      </c>
      <c r="D922" s="1" t="s">
        <v>29</v>
      </c>
      <c r="E922" s="1">
        <v>970715.98</v>
      </c>
      <c r="F922" s="1">
        <v>32975.160000000003</v>
      </c>
      <c r="G922" s="1">
        <v>9069</v>
      </c>
      <c r="H922" s="1">
        <v>107.03671629999999</v>
      </c>
    </row>
    <row r="923" spans="1:8" ht="15.75" thickBot="1" x14ac:dyDescent="0.3">
      <c r="A923" s="1">
        <v>2014</v>
      </c>
      <c r="B923" s="1" t="s">
        <v>12</v>
      </c>
      <c r="C923" s="1" t="s">
        <v>18</v>
      </c>
      <c r="D923" s="1" t="s">
        <v>29</v>
      </c>
      <c r="E923" s="1">
        <v>1064423.04</v>
      </c>
      <c r="F923" s="1">
        <v>32092.33</v>
      </c>
      <c r="G923" s="1">
        <v>2789</v>
      </c>
      <c r="H923" s="1">
        <v>381.65042670000003</v>
      </c>
    </row>
    <row r="924" spans="1:8" ht="15.75" thickBot="1" x14ac:dyDescent="0.3">
      <c r="A924" s="1">
        <v>2016</v>
      </c>
      <c r="B924" s="1" t="s">
        <v>30</v>
      </c>
      <c r="C924" s="1" t="s">
        <v>9</v>
      </c>
      <c r="D924" s="1" t="s">
        <v>32</v>
      </c>
      <c r="E924" s="1">
        <v>96932958.319999993</v>
      </c>
      <c r="F924" s="1">
        <v>3391188.9</v>
      </c>
      <c r="G924" s="1">
        <v>1342527</v>
      </c>
      <c r="H924" s="1">
        <v>72.2018688</v>
      </c>
    </row>
    <row r="925" spans="1:8" ht="15.75" thickBot="1" x14ac:dyDescent="0.3">
      <c r="A925" s="1">
        <v>2016</v>
      </c>
      <c r="B925" s="1" t="s">
        <v>16</v>
      </c>
      <c r="C925" s="1" t="s">
        <v>12</v>
      </c>
      <c r="D925" s="1" t="s">
        <v>31</v>
      </c>
      <c r="E925" s="1">
        <v>2878328.5</v>
      </c>
      <c r="F925" s="1">
        <v>111018.26</v>
      </c>
      <c r="G925" s="1">
        <v>55992</v>
      </c>
      <c r="H925" s="1">
        <v>51.406066940000002</v>
      </c>
    </row>
    <row r="926" spans="1:8" ht="15.75" thickBot="1" x14ac:dyDescent="0.3">
      <c r="A926" s="1">
        <v>2016</v>
      </c>
      <c r="B926" s="1" t="s">
        <v>17</v>
      </c>
      <c r="C926" s="1" t="s">
        <v>28</v>
      </c>
      <c r="D926" s="1" t="s">
        <v>22</v>
      </c>
      <c r="E926" s="1">
        <v>1216148.06</v>
      </c>
      <c r="F926" s="1">
        <v>46456.91</v>
      </c>
      <c r="G926" s="1">
        <v>64109</v>
      </c>
      <c r="H926" s="1">
        <v>18.970005149999999</v>
      </c>
    </row>
    <row r="927" spans="1:8" ht="15.75" thickBot="1" x14ac:dyDescent="0.3">
      <c r="A927" s="1">
        <v>2017</v>
      </c>
      <c r="B927" s="1" t="s">
        <v>20</v>
      </c>
      <c r="C927" s="1" t="s">
        <v>33</v>
      </c>
      <c r="D927" s="1" t="s">
        <v>27</v>
      </c>
      <c r="E927" s="1">
        <v>6035298.5300000003</v>
      </c>
      <c r="F927" s="1">
        <v>230408.47</v>
      </c>
      <c r="G927" s="1">
        <v>146871</v>
      </c>
      <c r="H927" s="1">
        <v>41.092513359999998</v>
      </c>
    </row>
    <row r="928" spans="1:8" ht="15.75" thickBot="1" x14ac:dyDescent="0.3">
      <c r="A928" s="1">
        <v>2014</v>
      </c>
      <c r="B928" s="1" t="s">
        <v>8</v>
      </c>
      <c r="C928" s="1" t="s">
        <v>33</v>
      </c>
      <c r="D928" s="1" t="s">
        <v>27</v>
      </c>
      <c r="E928" s="1">
        <v>13220.84</v>
      </c>
      <c r="F928" s="1">
        <v>404.57</v>
      </c>
      <c r="G928" s="1">
        <v>127</v>
      </c>
      <c r="H928" s="1">
        <v>104.1011024</v>
      </c>
    </row>
    <row r="929" spans="1:8" ht="15.75" thickBot="1" x14ac:dyDescent="0.3">
      <c r="A929" s="1">
        <v>2015</v>
      </c>
      <c r="B929" s="1" t="s">
        <v>14</v>
      </c>
      <c r="C929" s="1" t="s">
        <v>18</v>
      </c>
      <c r="D929" s="1" t="s">
        <v>10</v>
      </c>
      <c r="E929" s="1">
        <v>1079337.71</v>
      </c>
      <c r="F929" s="1">
        <v>40389.379999999997</v>
      </c>
      <c r="G929" s="1">
        <v>19439</v>
      </c>
      <c r="H929" s="1">
        <v>55.524343330000001</v>
      </c>
    </row>
    <row r="930" spans="1:8" ht="15.75" thickBot="1" x14ac:dyDescent="0.3">
      <c r="A930" s="1">
        <v>2015</v>
      </c>
      <c r="B930" s="1" t="s">
        <v>40</v>
      </c>
      <c r="C930" s="1" t="s">
        <v>18</v>
      </c>
      <c r="D930" s="1" t="s">
        <v>13</v>
      </c>
      <c r="E930" s="1">
        <v>488.89</v>
      </c>
      <c r="F930" s="1">
        <v>4.91</v>
      </c>
      <c r="G930" s="1">
        <v>5</v>
      </c>
      <c r="H930" s="1">
        <v>97.778000000000006</v>
      </c>
    </row>
    <row r="931" spans="1:8" ht="15.75" thickBot="1" x14ac:dyDescent="0.3">
      <c r="A931" s="1">
        <v>2016</v>
      </c>
      <c r="B931" s="1" t="s">
        <v>14</v>
      </c>
      <c r="C931" s="1" t="s">
        <v>28</v>
      </c>
      <c r="D931" s="1" t="s">
        <v>32</v>
      </c>
      <c r="E931" s="1">
        <v>63897473.450000003</v>
      </c>
      <c r="F931" s="1">
        <v>2453274.9500000002</v>
      </c>
      <c r="G931" s="1">
        <v>1507706</v>
      </c>
      <c r="H931" s="1">
        <v>42.380592399999998</v>
      </c>
    </row>
    <row r="932" spans="1:8" ht="15.75" thickBot="1" x14ac:dyDescent="0.3">
      <c r="A932" s="1">
        <v>2017</v>
      </c>
      <c r="B932" s="1" t="s">
        <v>20</v>
      </c>
      <c r="C932" s="1" t="s">
        <v>23</v>
      </c>
      <c r="D932" s="1" t="s">
        <v>24</v>
      </c>
      <c r="E932" s="1">
        <v>426826.63</v>
      </c>
      <c r="F932" s="1">
        <v>16231.07</v>
      </c>
      <c r="G932" s="1">
        <v>7523</v>
      </c>
      <c r="H932" s="1">
        <v>56.736226240000001</v>
      </c>
    </row>
    <row r="933" spans="1:8" ht="15.75" thickBot="1" x14ac:dyDescent="0.3">
      <c r="A933" s="1">
        <v>2015</v>
      </c>
      <c r="B933" s="1" t="s">
        <v>11</v>
      </c>
      <c r="C933" s="1" t="s">
        <v>15</v>
      </c>
      <c r="D933" s="1" t="s">
        <v>29</v>
      </c>
      <c r="E933" s="1">
        <v>1404708.91</v>
      </c>
      <c r="F933" s="1">
        <v>40708.269999999997</v>
      </c>
      <c r="G933" s="1">
        <v>3341</v>
      </c>
      <c r="H933" s="1">
        <v>420.44564800000001</v>
      </c>
    </row>
    <row r="934" spans="1:8" ht="15.75" thickBot="1" x14ac:dyDescent="0.3">
      <c r="A934" s="1">
        <v>2014</v>
      </c>
      <c r="B934" s="1" t="s">
        <v>14</v>
      </c>
      <c r="C934" s="1" t="s">
        <v>15</v>
      </c>
      <c r="D934" s="1" t="s">
        <v>22</v>
      </c>
      <c r="E934" s="1">
        <v>16587.41</v>
      </c>
      <c r="F934" s="1">
        <v>537.33000000000004</v>
      </c>
      <c r="G934" s="1">
        <v>1220</v>
      </c>
      <c r="H934" s="1">
        <v>13.5962377</v>
      </c>
    </row>
    <row r="935" spans="1:8" ht="15.75" thickBot="1" x14ac:dyDescent="0.3">
      <c r="A935" s="1">
        <v>2016</v>
      </c>
      <c r="B935" s="1" t="s">
        <v>12</v>
      </c>
      <c r="C935" s="1" t="s">
        <v>12</v>
      </c>
      <c r="D935" s="1" t="s">
        <v>32</v>
      </c>
      <c r="E935" s="1">
        <v>14175325.76</v>
      </c>
      <c r="F935" s="1">
        <v>490704.46</v>
      </c>
      <c r="G935" s="1">
        <v>215514</v>
      </c>
      <c r="H935" s="1">
        <v>65.774500770000003</v>
      </c>
    </row>
    <row r="936" spans="1:8" ht="15.75" thickBot="1" x14ac:dyDescent="0.3">
      <c r="A936" s="1">
        <v>2016</v>
      </c>
      <c r="B936" s="1" t="s">
        <v>30</v>
      </c>
      <c r="C936" s="1" t="s">
        <v>9</v>
      </c>
      <c r="D936" s="1" t="s">
        <v>37</v>
      </c>
      <c r="E936" s="1">
        <v>880.36</v>
      </c>
      <c r="F936" s="1">
        <v>31.53</v>
      </c>
      <c r="G936" s="1">
        <v>14</v>
      </c>
      <c r="H936" s="1">
        <v>62.882857139999999</v>
      </c>
    </row>
    <row r="937" spans="1:8" ht="15.75" thickBot="1" x14ac:dyDescent="0.3">
      <c r="A937" s="1">
        <v>2014</v>
      </c>
      <c r="B937" s="1" t="s">
        <v>8</v>
      </c>
      <c r="C937" s="1" t="s">
        <v>26</v>
      </c>
      <c r="D937" s="1" t="s">
        <v>29</v>
      </c>
      <c r="E937" s="1">
        <v>137.80000000000001</v>
      </c>
      <c r="F937" s="1">
        <v>9.1999999999999993</v>
      </c>
      <c r="G937" s="1">
        <v>1</v>
      </c>
      <c r="H937" s="1">
        <v>137.80000000000001</v>
      </c>
    </row>
    <row r="938" spans="1:8" ht="15.75" thickBot="1" x14ac:dyDescent="0.3">
      <c r="A938" s="1">
        <v>2016</v>
      </c>
      <c r="B938" s="1" t="s">
        <v>30</v>
      </c>
      <c r="C938" s="1" t="s">
        <v>9</v>
      </c>
      <c r="D938" s="1" t="s">
        <v>24</v>
      </c>
      <c r="E938" s="1">
        <v>295014.15000000002</v>
      </c>
      <c r="F938" s="1">
        <v>6075.74</v>
      </c>
      <c r="G938" s="1">
        <v>3236</v>
      </c>
      <c r="H938" s="1">
        <v>91.166300989999996</v>
      </c>
    </row>
    <row r="939" spans="1:8" ht="15.75" thickBot="1" x14ac:dyDescent="0.3">
      <c r="A939" s="1">
        <v>2014</v>
      </c>
      <c r="B939" s="1" t="s">
        <v>16</v>
      </c>
      <c r="C939" s="1" t="s">
        <v>25</v>
      </c>
      <c r="D939" s="1" t="s">
        <v>27</v>
      </c>
      <c r="E939" s="1">
        <v>684668374.29999995</v>
      </c>
      <c r="F939" s="1">
        <v>26947382.289999999</v>
      </c>
      <c r="G939" s="1">
        <v>14066698</v>
      </c>
      <c r="H939" s="1">
        <v>48.672998759999999</v>
      </c>
    </row>
    <row r="940" spans="1:8" ht="15.75" thickBot="1" x14ac:dyDescent="0.3">
      <c r="A940" s="1">
        <v>2017</v>
      </c>
      <c r="B940" s="1" t="s">
        <v>30</v>
      </c>
      <c r="C940" s="1" t="s">
        <v>23</v>
      </c>
      <c r="D940" s="1" t="s">
        <v>13</v>
      </c>
      <c r="E940" s="1">
        <v>16023386.41</v>
      </c>
      <c r="F940" s="1">
        <v>497440.96</v>
      </c>
      <c r="G940" s="1">
        <v>354420</v>
      </c>
      <c r="H940" s="1">
        <v>45.210164239999997</v>
      </c>
    </row>
    <row r="941" spans="1:8" ht="15.75" thickBot="1" x14ac:dyDescent="0.3">
      <c r="A941" s="1">
        <v>2014</v>
      </c>
      <c r="B941" s="1" t="s">
        <v>8</v>
      </c>
      <c r="C941" s="1" t="s">
        <v>21</v>
      </c>
      <c r="D941" s="1" t="s">
        <v>13</v>
      </c>
      <c r="E941" s="1">
        <v>486</v>
      </c>
      <c r="F941" s="1">
        <v>0</v>
      </c>
      <c r="G941" s="1">
        <v>1</v>
      </c>
      <c r="H941" s="1">
        <v>486</v>
      </c>
    </row>
    <row r="942" spans="1:8" ht="15.75" thickBot="1" x14ac:dyDescent="0.3">
      <c r="A942" s="1">
        <v>2014</v>
      </c>
      <c r="B942" s="1" t="s">
        <v>12</v>
      </c>
      <c r="C942" s="1" t="s">
        <v>33</v>
      </c>
      <c r="D942" s="1" t="s">
        <v>27</v>
      </c>
      <c r="E942" s="1">
        <v>23776113.359999999</v>
      </c>
      <c r="F942" s="1">
        <v>899833.21</v>
      </c>
      <c r="G942" s="1">
        <v>432055</v>
      </c>
      <c r="H942" s="1">
        <v>55.030293270000001</v>
      </c>
    </row>
    <row r="943" spans="1:8" ht="15.75" thickBot="1" x14ac:dyDescent="0.3">
      <c r="A943" s="1">
        <v>2016</v>
      </c>
      <c r="B943" s="1" t="s">
        <v>35</v>
      </c>
      <c r="C943" s="1" t="s">
        <v>18</v>
      </c>
      <c r="D943" s="1" t="s">
        <v>27</v>
      </c>
      <c r="E943" s="1">
        <v>18008.27</v>
      </c>
      <c r="F943" s="1">
        <v>140.07</v>
      </c>
      <c r="G943" s="1">
        <v>82</v>
      </c>
      <c r="H943" s="1">
        <v>219.6130488</v>
      </c>
    </row>
    <row r="944" spans="1:8" ht="15.75" thickBot="1" x14ac:dyDescent="0.3">
      <c r="A944" s="1">
        <v>2014</v>
      </c>
      <c r="B944" s="1" t="s">
        <v>12</v>
      </c>
      <c r="C944" s="1" t="s">
        <v>12</v>
      </c>
      <c r="D944" s="1" t="s">
        <v>19</v>
      </c>
      <c r="E944" s="1">
        <v>6107960.3399999999</v>
      </c>
      <c r="F944" s="1">
        <v>190646.29</v>
      </c>
      <c r="G944" s="1">
        <v>52514</v>
      </c>
      <c r="H944" s="1">
        <v>116.3110854</v>
      </c>
    </row>
    <row r="945" spans="1:8" ht="15.75" thickBot="1" x14ac:dyDescent="0.3">
      <c r="A945" s="1">
        <v>2014</v>
      </c>
      <c r="B945" s="1" t="s">
        <v>35</v>
      </c>
      <c r="C945" s="1" t="s">
        <v>9</v>
      </c>
      <c r="D945" s="1" t="s">
        <v>27</v>
      </c>
      <c r="E945" s="1">
        <v>11348.47</v>
      </c>
      <c r="F945" s="1">
        <v>298.41000000000003</v>
      </c>
      <c r="G945" s="1">
        <v>132</v>
      </c>
      <c r="H945" s="1">
        <v>85.973257579999995</v>
      </c>
    </row>
    <row r="946" spans="1:8" ht="15.75" thickBot="1" x14ac:dyDescent="0.3">
      <c r="A946" s="1">
        <v>2014</v>
      </c>
      <c r="B946" s="1" t="s">
        <v>35</v>
      </c>
      <c r="C946" s="1" t="s">
        <v>18</v>
      </c>
      <c r="D946" s="1" t="s">
        <v>19</v>
      </c>
      <c r="E946" s="1">
        <v>20324.09</v>
      </c>
      <c r="F946" s="1">
        <v>366.7</v>
      </c>
      <c r="G946" s="1">
        <v>251</v>
      </c>
      <c r="H946" s="1">
        <v>80.972470119999997</v>
      </c>
    </row>
    <row r="947" spans="1:8" ht="15.75" thickBot="1" x14ac:dyDescent="0.3">
      <c r="A947" s="1">
        <v>2017</v>
      </c>
      <c r="B947" s="1" t="s">
        <v>35</v>
      </c>
      <c r="C947" s="1" t="s">
        <v>26</v>
      </c>
      <c r="D947" s="1" t="s">
        <v>34</v>
      </c>
      <c r="E947" s="1">
        <v>7.98</v>
      </c>
      <c r="F947" s="1">
        <v>6.95</v>
      </c>
      <c r="G947" s="1">
        <v>5</v>
      </c>
      <c r="H947" s="1">
        <v>1.5960000000000001</v>
      </c>
    </row>
    <row r="948" spans="1:8" ht="15.75" thickBot="1" x14ac:dyDescent="0.3">
      <c r="A948" s="1">
        <v>2015</v>
      </c>
      <c r="B948" s="1" t="s">
        <v>30</v>
      </c>
      <c r="C948" s="1" t="s">
        <v>12</v>
      </c>
      <c r="D948" s="1" t="s">
        <v>19</v>
      </c>
      <c r="E948" s="1">
        <v>104211815.7</v>
      </c>
      <c r="F948" s="1">
        <v>3182650.35</v>
      </c>
      <c r="G948" s="1">
        <v>816252</v>
      </c>
      <c r="H948" s="1">
        <v>127.6711306</v>
      </c>
    </row>
    <row r="949" spans="1:8" ht="15.75" thickBot="1" x14ac:dyDescent="0.3">
      <c r="A949" s="1">
        <v>2014</v>
      </c>
      <c r="B949" s="1" t="s">
        <v>11</v>
      </c>
      <c r="C949" s="1" t="s">
        <v>28</v>
      </c>
      <c r="D949" s="1" t="s">
        <v>27</v>
      </c>
      <c r="E949" s="1">
        <v>188065336</v>
      </c>
      <c r="F949" s="1">
        <v>4822082.54</v>
      </c>
      <c r="G949" s="1">
        <v>1744560</v>
      </c>
      <c r="H949" s="1">
        <v>107.8010134</v>
      </c>
    </row>
    <row r="950" spans="1:8" ht="15.75" thickBot="1" x14ac:dyDescent="0.3">
      <c r="A950" s="1">
        <v>2017</v>
      </c>
      <c r="B950" s="1" t="s">
        <v>12</v>
      </c>
      <c r="C950" s="1" t="s">
        <v>25</v>
      </c>
      <c r="D950" s="1" t="s">
        <v>22</v>
      </c>
      <c r="E950" s="1">
        <v>3248.94</v>
      </c>
      <c r="F950" s="1">
        <v>212.25</v>
      </c>
      <c r="G950" s="1">
        <v>365</v>
      </c>
      <c r="H950" s="1">
        <v>8.9012054789999997</v>
      </c>
    </row>
    <row r="951" spans="1:8" ht="15.75" thickBot="1" x14ac:dyDescent="0.3">
      <c r="A951" s="1">
        <v>2015</v>
      </c>
      <c r="B951" s="1" t="s">
        <v>16</v>
      </c>
      <c r="C951" s="1" t="s">
        <v>9</v>
      </c>
      <c r="D951" s="1" t="s">
        <v>19</v>
      </c>
      <c r="E951" s="1">
        <v>11746.49</v>
      </c>
      <c r="F951" s="1">
        <v>268.19</v>
      </c>
      <c r="G951" s="1">
        <v>6185</v>
      </c>
      <c r="H951" s="1">
        <v>1.8991899759999999</v>
      </c>
    </row>
    <row r="952" spans="1:8" ht="15.75" thickBot="1" x14ac:dyDescent="0.3">
      <c r="A952" s="1">
        <v>2016</v>
      </c>
      <c r="B952" s="1" t="s">
        <v>35</v>
      </c>
      <c r="C952" s="1" t="s">
        <v>33</v>
      </c>
      <c r="D952" s="1" t="s">
        <v>24</v>
      </c>
      <c r="E952" s="1">
        <v>12717.33</v>
      </c>
      <c r="F952" s="1">
        <v>197.51</v>
      </c>
      <c r="G952" s="1">
        <v>67</v>
      </c>
      <c r="H952" s="1">
        <v>189.81089549999999</v>
      </c>
    </row>
    <row r="953" spans="1:8" ht="15.75" thickBot="1" x14ac:dyDescent="0.3">
      <c r="A953" s="1">
        <v>2017</v>
      </c>
      <c r="B953" s="1" t="s">
        <v>35</v>
      </c>
      <c r="C953" s="1" t="s">
        <v>15</v>
      </c>
      <c r="D953" s="1" t="s">
        <v>13</v>
      </c>
      <c r="E953" s="1">
        <v>147.53</v>
      </c>
      <c r="F953" s="1">
        <v>5.05</v>
      </c>
      <c r="G953" s="1">
        <v>35</v>
      </c>
      <c r="H953" s="1">
        <v>4.215142857</v>
      </c>
    </row>
    <row r="954" spans="1:8" ht="15.75" thickBot="1" x14ac:dyDescent="0.3">
      <c r="A954" s="1">
        <v>2014</v>
      </c>
      <c r="B954" s="1" t="s">
        <v>14</v>
      </c>
      <c r="C954" s="1" t="s">
        <v>25</v>
      </c>
      <c r="D954" s="1" t="s">
        <v>13</v>
      </c>
      <c r="E954" s="1">
        <v>80947.839999999997</v>
      </c>
      <c r="F954" s="1">
        <v>2764.9</v>
      </c>
      <c r="G954" s="1">
        <v>1338</v>
      </c>
      <c r="H954" s="1">
        <v>60.499133030000003</v>
      </c>
    </row>
    <row r="955" spans="1:8" ht="15.75" thickBot="1" x14ac:dyDescent="0.3">
      <c r="A955" s="1">
        <v>2015</v>
      </c>
      <c r="B955" s="1" t="s">
        <v>30</v>
      </c>
      <c r="C955" s="1" t="s">
        <v>25</v>
      </c>
      <c r="D955" s="1" t="s">
        <v>24</v>
      </c>
      <c r="E955" s="1">
        <v>33561485.539999999</v>
      </c>
      <c r="F955" s="1">
        <v>1070538.5900000001</v>
      </c>
      <c r="G955" s="1">
        <v>213416</v>
      </c>
      <c r="H955" s="1">
        <v>157.2585258</v>
      </c>
    </row>
    <row r="956" spans="1:8" ht="15.75" thickBot="1" x14ac:dyDescent="0.3">
      <c r="A956" s="1">
        <v>2014</v>
      </c>
      <c r="B956" s="1" t="s">
        <v>30</v>
      </c>
      <c r="C956" s="1" t="s">
        <v>15</v>
      </c>
      <c r="D956" s="1" t="s">
        <v>13</v>
      </c>
      <c r="E956" s="1">
        <v>151057.17000000001</v>
      </c>
      <c r="F956" s="1">
        <v>3379.59</v>
      </c>
      <c r="G956" s="1">
        <v>1654</v>
      </c>
      <c r="H956" s="1">
        <v>91.328397820000006</v>
      </c>
    </row>
    <row r="957" spans="1:8" ht="15.75" thickBot="1" x14ac:dyDescent="0.3">
      <c r="A957" s="1">
        <v>2016</v>
      </c>
      <c r="B957" s="1" t="s">
        <v>16</v>
      </c>
      <c r="C957" s="1" t="s">
        <v>26</v>
      </c>
      <c r="D957" s="1" t="s">
        <v>19</v>
      </c>
      <c r="E957" s="1">
        <v>73721686.519999996</v>
      </c>
      <c r="F957" s="1">
        <v>2441491.98</v>
      </c>
      <c r="G957" s="1">
        <v>436362</v>
      </c>
      <c r="H957" s="1">
        <v>168.9461652</v>
      </c>
    </row>
    <row r="958" spans="1:8" ht="15.75" thickBot="1" x14ac:dyDescent="0.3">
      <c r="A958" s="1">
        <v>2015</v>
      </c>
      <c r="B958" s="1" t="s">
        <v>20</v>
      </c>
      <c r="C958" s="1" t="s">
        <v>21</v>
      </c>
      <c r="D958" s="1" t="s">
        <v>13</v>
      </c>
      <c r="E958" s="1">
        <v>22784.02</v>
      </c>
      <c r="F958" s="1">
        <v>801.28</v>
      </c>
      <c r="G958" s="1">
        <v>550</v>
      </c>
      <c r="H958" s="1">
        <v>41.425490910000001</v>
      </c>
    </row>
    <row r="959" spans="1:8" ht="15.75" thickBot="1" x14ac:dyDescent="0.3">
      <c r="A959" s="1">
        <v>2015</v>
      </c>
      <c r="B959" s="1" t="s">
        <v>30</v>
      </c>
      <c r="C959" s="1" t="s">
        <v>9</v>
      </c>
      <c r="D959" s="1" t="s">
        <v>27</v>
      </c>
      <c r="E959" s="1">
        <v>1594346.41</v>
      </c>
      <c r="F959" s="1">
        <v>46865.09</v>
      </c>
      <c r="G959" s="1">
        <v>57376</v>
      </c>
      <c r="H959" s="1">
        <v>27.787688410000001</v>
      </c>
    </row>
    <row r="960" spans="1:8" ht="15.75" thickBot="1" x14ac:dyDescent="0.3">
      <c r="A960" s="1">
        <v>2015</v>
      </c>
      <c r="B960" s="1" t="s">
        <v>11</v>
      </c>
      <c r="C960" s="1" t="s">
        <v>23</v>
      </c>
      <c r="D960" s="1" t="s">
        <v>31</v>
      </c>
      <c r="E960" s="1">
        <v>7036024.8399999999</v>
      </c>
      <c r="F960" s="1">
        <v>209495.63</v>
      </c>
      <c r="G960" s="1">
        <v>141540</v>
      </c>
      <c r="H960" s="1">
        <v>49.710504729999997</v>
      </c>
    </row>
    <row r="961" spans="1:8" ht="15.75" thickBot="1" x14ac:dyDescent="0.3">
      <c r="A961" s="1">
        <v>2014</v>
      </c>
      <c r="B961" s="1" t="s">
        <v>16</v>
      </c>
      <c r="C961" s="1" t="s">
        <v>18</v>
      </c>
      <c r="D961" s="1" t="s">
        <v>13</v>
      </c>
      <c r="E961" s="1">
        <v>3825.49</v>
      </c>
      <c r="F961" s="1">
        <v>122.08</v>
      </c>
      <c r="G961" s="1">
        <v>48</v>
      </c>
      <c r="H961" s="1">
        <v>79.697708329999998</v>
      </c>
    </row>
    <row r="962" spans="1:8" ht="15.75" thickBot="1" x14ac:dyDescent="0.3">
      <c r="A962" s="1">
        <v>2015</v>
      </c>
      <c r="B962" s="1" t="s">
        <v>16</v>
      </c>
      <c r="C962" s="1" t="s">
        <v>25</v>
      </c>
      <c r="D962" s="1" t="s">
        <v>24</v>
      </c>
      <c r="E962" s="1">
        <v>38496728.82</v>
      </c>
      <c r="F962" s="1">
        <v>1387113.61</v>
      </c>
      <c r="G962" s="1">
        <v>210618</v>
      </c>
      <c r="H962" s="1">
        <v>182.77986129999999</v>
      </c>
    </row>
    <row r="963" spans="1:8" ht="15.75" thickBot="1" x14ac:dyDescent="0.3">
      <c r="A963" s="1">
        <v>2014</v>
      </c>
      <c r="B963" s="1" t="s">
        <v>30</v>
      </c>
      <c r="C963" s="1" t="s">
        <v>28</v>
      </c>
      <c r="D963" s="1" t="s">
        <v>19</v>
      </c>
      <c r="E963" s="1">
        <v>403549220.10000002</v>
      </c>
      <c r="F963" s="1">
        <v>9853214.1500000004</v>
      </c>
      <c r="G963" s="1">
        <v>2903447</v>
      </c>
      <c r="H963" s="1">
        <v>138.98969740000001</v>
      </c>
    </row>
    <row r="964" spans="1:8" ht="15.75" thickBot="1" x14ac:dyDescent="0.3">
      <c r="A964" s="1">
        <v>2016</v>
      </c>
      <c r="B964" s="1" t="s">
        <v>14</v>
      </c>
      <c r="C964" s="1" t="s">
        <v>21</v>
      </c>
      <c r="D964" s="1" t="s">
        <v>24</v>
      </c>
      <c r="E964" s="1">
        <v>24025552.489999998</v>
      </c>
      <c r="F964" s="1">
        <v>833973.35</v>
      </c>
      <c r="G964" s="1">
        <v>160619</v>
      </c>
      <c r="H964" s="1">
        <v>149.58101149999999</v>
      </c>
    </row>
    <row r="965" spans="1:8" ht="15.75" thickBot="1" x14ac:dyDescent="0.3">
      <c r="A965" s="1">
        <v>2017</v>
      </c>
      <c r="B965" s="1" t="s">
        <v>17</v>
      </c>
      <c r="C965" s="1" t="s">
        <v>12</v>
      </c>
      <c r="D965" s="1" t="s">
        <v>31</v>
      </c>
      <c r="E965" s="1">
        <v>12726483.199999999</v>
      </c>
      <c r="F965" s="1">
        <v>448028.39</v>
      </c>
      <c r="G965" s="1">
        <v>203400</v>
      </c>
      <c r="H965" s="1">
        <v>62.568747299999998</v>
      </c>
    </row>
    <row r="966" spans="1:8" ht="15.75" thickBot="1" x14ac:dyDescent="0.3">
      <c r="A966" s="1">
        <v>2015</v>
      </c>
      <c r="B966" s="1" t="s">
        <v>11</v>
      </c>
      <c r="C966" s="1" t="s">
        <v>28</v>
      </c>
      <c r="D966" s="1" t="s">
        <v>22</v>
      </c>
      <c r="E966" s="1">
        <v>56158343.240000002</v>
      </c>
      <c r="F966" s="1">
        <v>1606473.4</v>
      </c>
      <c r="G966" s="1">
        <v>2424968</v>
      </c>
      <c r="H966" s="1">
        <v>23.158385280000001</v>
      </c>
    </row>
    <row r="967" spans="1:8" ht="15.75" thickBot="1" x14ac:dyDescent="0.3">
      <c r="A967" s="1">
        <v>2014</v>
      </c>
      <c r="B967" s="1" t="s">
        <v>8</v>
      </c>
      <c r="C967" s="1" t="s">
        <v>28</v>
      </c>
      <c r="D967" s="1" t="s">
        <v>19</v>
      </c>
      <c r="E967" s="1">
        <v>122079.21</v>
      </c>
      <c r="F967" s="1">
        <v>345.27</v>
      </c>
      <c r="G967" s="1">
        <v>1341</v>
      </c>
      <c r="H967" s="1">
        <v>91.035950779999993</v>
      </c>
    </row>
    <row r="968" spans="1:8" ht="15.75" thickBot="1" x14ac:dyDescent="0.3">
      <c r="A968" s="1">
        <v>2016</v>
      </c>
      <c r="B968" s="1" t="s">
        <v>20</v>
      </c>
      <c r="C968" s="1" t="s">
        <v>26</v>
      </c>
      <c r="D968" s="1" t="s">
        <v>19</v>
      </c>
      <c r="E968" s="1">
        <v>2350378.7400000002</v>
      </c>
      <c r="F968" s="1">
        <v>74990.92</v>
      </c>
      <c r="G968" s="1">
        <v>39444</v>
      </c>
      <c r="H968" s="1">
        <v>59.58773806</v>
      </c>
    </row>
    <row r="969" spans="1:8" ht="15.75" thickBot="1" x14ac:dyDescent="0.3">
      <c r="A969" s="1">
        <v>2016</v>
      </c>
      <c r="B969" s="1" t="s">
        <v>35</v>
      </c>
      <c r="C969" s="1" t="s">
        <v>12</v>
      </c>
      <c r="D969" s="1" t="s">
        <v>31</v>
      </c>
      <c r="E969" s="1">
        <v>208.7</v>
      </c>
      <c r="F969" s="1">
        <v>10.16</v>
      </c>
      <c r="G969" s="1">
        <v>25</v>
      </c>
      <c r="H969" s="1">
        <v>8.3480000000000008</v>
      </c>
    </row>
    <row r="970" spans="1:8" ht="15.75" thickBot="1" x14ac:dyDescent="0.3">
      <c r="A970" s="1">
        <v>2014</v>
      </c>
      <c r="B970" s="1" t="s">
        <v>35</v>
      </c>
      <c r="C970" s="1" t="s">
        <v>18</v>
      </c>
      <c r="D970" s="1" t="s">
        <v>32</v>
      </c>
      <c r="E970" s="1">
        <v>3037.04</v>
      </c>
      <c r="F970" s="1">
        <v>160.03</v>
      </c>
      <c r="G970" s="1">
        <v>289</v>
      </c>
      <c r="H970" s="1">
        <v>10.50878893</v>
      </c>
    </row>
    <row r="971" spans="1:8" ht="15.75" thickBot="1" x14ac:dyDescent="0.3">
      <c r="A971" s="1">
        <v>2017</v>
      </c>
      <c r="B971" s="1" t="s">
        <v>11</v>
      </c>
      <c r="C971" s="1" t="s">
        <v>21</v>
      </c>
      <c r="D971" s="1" t="s">
        <v>27</v>
      </c>
      <c r="E971" s="1">
        <v>411980404.30000001</v>
      </c>
      <c r="F971" s="1">
        <v>11736946.619999999</v>
      </c>
      <c r="G971" s="1">
        <v>7383035</v>
      </c>
      <c r="H971" s="1">
        <v>55.80095506</v>
      </c>
    </row>
    <row r="972" spans="1:8" ht="15.75" thickBot="1" x14ac:dyDescent="0.3">
      <c r="A972" s="1">
        <v>2014</v>
      </c>
      <c r="B972" s="1" t="s">
        <v>30</v>
      </c>
      <c r="C972" s="1" t="s">
        <v>12</v>
      </c>
      <c r="D972" s="1" t="s">
        <v>29</v>
      </c>
      <c r="E972" s="1">
        <v>6106594.8099999996</v>
      </c>
      <c r="F972" s="1">
        <v>202247.08</v>
      </c>
      <c r="G972" s="1">
        <v>27408</v>
      </c>
      <c r="H972" s="1">
        <v>222.80337159999999</v>
      </c>
    </row>
    <row r="973" spans="1:8" ht="15.75" thickBot="1" x14ac:dyDescent="0.3">
      <c r="A973" s="1">
        <v>2014</v>
      </c>
      <c r="B973" s="1" t="s">
        <v>20</v>
      </c>
      <c r="C973" s="1" t="s">
        <v>23</v>
      </c>
      <c r="D973" s="1" t="s">
        <v>24</v>
      </c>
      <c r="E973" s="1">
        <v>242639.88</v>
      </c>
      <c r="F973" s="1">
        <v>9249</v>
      </c>
      <c r="G973" s="1">
        <v>4827</v>
      </c>
      <c r="H973" s="1">
        <v>50.267221880000001</v>
      </c>
    </row>
    <row r="974" spans="1:8" ht="15.75" thickBot="1" x14ac:dyDescent="0.3">
      <c r="A974" s="1">
        <v>2017</v>
      </c>
      <c r="B974" s="1" t="s">
        <v>11</v>
      </c>
      <c r="C974" s="1" t="s">
        <v>33</v>
      </c>
      <c r="D974" s="1" t="s">
        <v>31</v>
      </c>
      <c r="E974" s="1">
        <v>86736766.599999994</v>
      </c>
      <c r="F974" s="1">
        <v>2507185.37</v>
      </c>
      <c r="G974" s="1">
        <v>1553313</v>
      </c>
      <c r="H974" s="1">
        <v>55.839851080000003</v>
      </c>
    </row>
    <row r="975" spans="1:8" ht="15.75" thickBot="1" x14ac:dyDescent="0.3">
      <c r="A975" s="1">
        <v>2017</v>
      </c>
      <c r="B975" s="1" t="s">
        <v>14</v>
      </c>
      <c r="C975" s="1" t="s">
        <v>28</v>
      </c>
      <c r="D975" s="1" t="s">
        <v>10</v>
      </c>
      <c r="E975" s="1">
        <v>11566107.789999999</v>
      </c>
      <c r="F975" s="1">
        <v>465893.49</v>
      </c>
      <c r="G975" s="1">
        <v>316412</v>
      </c>
      <c r="H975" s="1">
        <v>36.553947989999998</v>
      </c>
    </row>
    <row r="976" spans="1:8" ht="15.75" thickBot="1" x14ac:dyDescent="0.3">
      <c r="A976" s="1">
        <v>2015</v>
      </c>
      <c r="B976" s="1" t="s">
        <v>17</v>
      </c>
      <c r="C976" s="1" t="s">
        <v>26</v>
      </c>
      <c r="D976" s="1" t="s">
        <v>31</v>
      </c>
      <c r="E976" s="1">
        <v>10971348.310000001</v>
      </c>
      <c r="F976" s="1">
        <v>359985.63</v>
      </c>
      <c r="G976" s="1">
        <v>193492</v>
      </c>
      <c r="H976" s="1">
        <v>56.701818729999999</v>
      </c>
    </row>
    <row r="977" spans="1:8" ht="15.75" thickBot="1" x14ac:dyDescent="0.3">
      <c r="A977" s="1">
        <v>2014</v>
      </c>
      <c r="B977" s="1" t="s">
        <v>14</v>
      </c>
      <c r="C977" s="1" t="s">
        <v>25</v>
      </c>
      <c r="D977" s="1" t="s">
        <v>19</v>
      </c>
      <c r="E977" s="1">
        <v>45102395.490000002</v>
      </c>
      <c r="F977" s="1">
        <v>1563730.28</v>
      </c>
      <c r="G977" s="1">
        <v>441534</v>
      </c>
      <c r="H977" s="1">
        <v>102.1493146</v>
      </c>
    </row>
    <row r="978" spans="1:8" ht="15.75" thickBot="1" x14ac:dyDescent="0.3">
      <c r="A978" s="1">
        <v>2017</v>
      </c>
      <c r="B978" s="1" t="s">
        <v>40</v>
      </c>
      <c r="C978" s="1" t="s">
        <v>15</v>
      </c>
      <c r="D978" s="1" t="s">
        <v>31</v>
      </c>
      <c r="E978" s="1">
        <v>315.82</v>
      </c>
      <c r="F978" s="1">
        <v>17.77</v>
      </c>
      <c r="G978" s="1">
        <v>24</v>
      </c>
      <c r="H978" s="1">
        <v>13.159166669999999</v>
      </c>
    </row>
    <row r="979" spans="1:8" ht="15.75" thickBot="1" x14ac:dyDescent="0.3">
      <c r="A979" s="1">
        <v>2017</v>
      </c>
      <c r="B979" s="1" t="s">
        <v>12</v>
      </c>
      <c r="C979" s="1" t="s">
        <v>33</v>
      </c>
      <c r="D979" s="1" t="s">
        <v>13</v>
      </c>
      <c r="E979" s="1">
        <v>425838.61</v>
      </c>
      <c r="F979" s="1">
        <v>12916.19</v>
      </c>
      <c r="G979" s="1">
        <v>9686</v>
      </c>
      <c r="H979" s="1">
        <v>43.964341320000003</v>
      </c>
    </row>
    <row r="980" spans="1:8" ht="15.75" thickBot="1" x14ac:dyDescent="0.3">
      <c r="A980" s="1">
        <v>2016</v>
      </c>
      <c r="B980" s="1" t="s">
        <v>30</v>
      </c>
      <c r="C980" s="1" t="s">
        <v>21</v>
      </c>
      <c r="D980" s="1" t="s">
        <v>29</v>
      </c>
      <c r="E980" s="1">
        <v>16931664.530000001</v>
      </c>
      <c r="F980" s="1">
        <v>552955.21</v>
      </c>
      <c r="G980" s="1">
        <v>86443</v>
      </c>
      <c r="H980" s="1">
        <v>195.87085740000001</v>
      </c>
    </row>
    <row r="981" spans="1:8" ht="15.75" thickBot="1" x14ac:dyDescent="0.3">
      <c r="A981" s="1">
        <v>2017</v>
      </c>
      <c r="B981" s="1" t="s">
        <v>12</v>
      </c>
      <c r="C981" s="1" t="s">
        <v>9</v>
      </c>
      <c r="D981" s="1" t="s">
        <v>24</v>
      </c>
      <c r="E981" s="1">
        <v>17911.04</v>
      </c>
      <c r="F981" s="1">
        <v>230.83</v>
      </c>
      <c r="G981" s="1">
        <v>170</v>
      </c>
      <c r="H981" s="1">
        <v>105.3590588</v>
      </c>
    </row>
    <row r="982" spans="1:8" ht="15.75" thickBot="1" x14ac:dyDescent="0.3">
      <c r="A982" s="1">
        <v>2015</v>
      </c>
      <c r="B982" s="1" t="s">
        <v>12</v>
      </c>
      <c r="C982" s="1" t="s">
        <v>15</v>
      </c>
      <c r="D982" s="1" t="s">
        <v>27</v>
      </c>
      <c r="E982" s="1">
        <v>12345499.220000001</v>
      </c>
      <c r="F982" s="1">
        <v>462354.29</v>
      </c>
      <c r="G982" s="1">
        <v>198589</v>
      </c>
      <c r="H982" s="1">
        <v>62.166077780000002</v>
      </c>
    </row>
    <row r="983" spans="1:8" ht="15.75" thickBot="1" x14ac:dyDescent="0.3">
      <c r="A983" s="1">
        <v>2016</v>
      </c>
      <c r="B983" s="1" t="s">
        <v>30</v>
      </c>
      <c r="C983" s="1" t="s">
        <v>15</v>
      </c>
      <c r="D983" s="1" t="s">
        <v>24</v>
      </c>
      <c r="E983" s="1">
        <v>35415594.009999998</v>
      </c>
      <c r="F983" s="1">
        <v>1147670.71</v>
      </c>
      <c r="G983" s="1">
        <v>157009</v>
      </c>
      <c r="H983" s="1">
        <v>225.56410149999999</v>
      </c>
    </row>
    <row r="984" spans="1:8" ht="15.75" thickBot="1" x14ac:dyDescent="0.3">
      <c r="A984" s="1">
        <v>2017</v>
      </c>
      <c r="B984" s="1" t="s">
        <v>40</v>
      </c>
      <c r="C984" s="1" t="s">
        <v>9</v>
      </c>
      <c r="D984" s="1" t="s">
        <v>13</v>
      </c>
      <c r="E984" s="1">
        <v>294</v>
      </c>
      <c r="F984" s="1">
        <v>0.59</v>
      </c>
      <c r="G984" s="1">
        <v>6</v>
      </c>
      <c r="H984" s="1">
        <v>49</v>
      </c>
    </row>
    <row r="985" spans="1:8" ht="15.75" thickBot="1" x14ac:dyDescent="0.3">
      <c r="A985" s="1">
        <v>2015</v>
      </c>
      <c r="B985" s="1" t="s">
        <v>17</v>
      </c>
      <c r="C985" s="1" t="s">
        <v>21</v>
      </c>
      <c r="D985" s="1" t="s">
        <v>10</v>
      </c>
      <c r="E985" s="1">
        <v>69117747.439999998</v>
      </c>
      <c r="F985" s="1">
        <v>2166257</v>
      </c>
      <c r="G985" s="1">
        <v>1283946</v>
      </c>
      <c r="H985" s="1">
        <v>53.832285349999999</v>
      </c>
    </row>
    <row r="986" spans="1:8" ht="15.75" thickBot="1" x14ac:dyDescent="0.3">
      <c r="A986" s="1">
        <v>2014</v>
      </c>
      <c r="B986" s="1" t="s">
        <v>17</v>
      </c>
      <c r="C986" s="1" t="s">
        <v>15</v>
      </c>
      <c r="D986" s="1" t="s">
        <v>27</v>
      </c>
      <c r="E986" s="1">
        <v>295628328.10000002</v>
      </c>
      <c r="F986" s="1">
        <v>9618750.0099999998</v>
      </c>
      <c r="G986" s="1">
        <v>3558790</v>
      </c>
      <c r="H986" s="1">
        <v>83.069899629999995</v>
      </c>
    </row>
    <row r="987" spans="1:8" ht="15.75" thickBot="1" x14ac:dyDescent="0.3">
      <c r="A987" s="1">
        <v>2014</v>
      </c>
      <c r="B987" s="1" t="s">
        <v>11</v>
      </c>
      <c r="C987" s="1" t="s">
        <v>33</v>
      </c>
      <c r="D987" s="1" t="s">
        <v>24</v>
      </c>
      <c r="E987" s="1">
        <v>5879267.5099999998</v>
      </c>
      <c r="F987" s="1">
        <v>165840.26</v>
      </c>
      <c r="G987" s="1">
        <v>21850</v>
      </c>
      <c r="H987" s="1">
        <v>269.07402789999998</v>
      </c>
    </row>
    <row r="988" spans="1:8" ht="15.75" thickBot="1" x14ac:dyDescent="0.3">
      <c r="A988" s="1">
        <v>2014</v>
      </c>
      <c r="B988" s="1" t="s">
        <v>14</v>
      </c>
      <c r="C988" s="1" t="s">
        <v>9</v>
      </c>
      <c r="D988" s="1" t="s">
        <v>32</v>
      </c>
      <c r="E988" s="1">
        <v>305043392.19999999</v>
      </c>
      <c r="F988" s="1">
        <v>10451599.470000001</v>
      </c>
      <c r="G988" s="1">
        <v>4149467</v>
      </c>
      <c r="H988" s="1">
        <v>73.513873509999996</v>
      </c>
    </row>
    <row r="989" spans="1:8" ht="15.75" thickBot="1" x14ac:dyDescent="0.3">
      <c r="A989" s="1">
        <v>2014</v>
      </c>
      <c r="B989" s="1" t="s">
        <v>20</v>
      </c>
      <c r="C989" s="1" t="s">
        <v>12</v>
      </c>
      <c r="D989" s="1" t="s">
        <v>31</v>
      </c>
      <c r="E989" s="1">
        <v>22655.86</v>
      </c>
      <c r="F989" s="1">
        <v>907.5</v>
      </c>
      <c r="G989" s="1">
        <v>917</v>
      </c>
      <c r="H989" s="1">
        <v>24.706499449999999</v>
      </c>
    </row>
    <row r="990" spans="1:8" ht="15.75" thickBot="1" x14ac:dyDescent="0.3">
      <c r="A990" s="1">
        <v>2017</v>
      </c>
      <c r="B990" s="1" t="s">
        <v>40</v>
      </c>
      <c r="C990" s="1" t="s">
        <v>21</v>
      </c>
      <c r="D990" s="1" t="s">
        <v>27</v>
      </c>
      <c r="E990" s="1">
        <v>50441.5</v>
      </c>
      <c r="F990" s="1">
        <v>1828.37</v>
      </c>
      <c r="G990" s="1">
        <v>667</v>
      </c>
      <c r="H990" s="1">
        <v>75.624437779999994</v>
      </c>
    </row>
    <row r="991" spans="1:8" ht="15.75" thickBot="1" x14ac:dyDescent="0.3">
      <c r="A991" s="1">
        <v>2017</v>
      </c>
      <c r="B991" s="1" t="s">
        <v>11</v>
      </c>
      <c r="C991" s="1" t="s">
        <v>33</v>
      </c>
      <c r="D991" s="1" t="s">
        <v>13</v>
      </c>
      <c r="E991" s="1">
        <v>6372907.71</v>
      </c>
      <c r="F991" s="1">
        <v>204554.96</v>
      </c>
      <c r="G991" s="1">
        <v>618834</v>
      </c>
      <c r="H991" s="1">
        <v>10.29825076</v>
      </c>
    </row>
    <row r="992" spans="1:8" ht="15.75" thickBot="1" x14ac:dyDescent="0.3">
      <c r="A992" s="1">
        <v>2017</v>
      </c>
      <c r="B992" s="1" t="s">
        <v>12</v>
      </c>
      <c r="C992" s="1" t="s">
        <v>12</v>
      </c>
      <c r="D992" s="1" t="s">
        <v>31</v>
      </c>
      <c r="E992" s="1">
        <v>267177.12</v>
      </c>
      <c r="F992" s="1">
        <v>8646.64</v>
      </c>
      <c r="G992" s="1">
        <v>5111</v>
      </c>
      <c r="H992" s="1">
        <v>52.274920760000001</v>
      </c>
    </row>
    <row r="993" spans="1:8" ht="15.75" thickBot="1" x14ac:dyDescent="0.3">
      <c r="A993" s="1">
        <v>2016</v>
      </c>
      <c r="B993" s="1" t="s">
        <v>30</v>
      </c>
      <c r="C993" s="1" t="s">
        <v>23</v>
      </c>
      <c r="D993" s="1" t="s">
        <v>19</v>
      </c>
      <c r="E993" s="1">
        <v>96545212.900000006</v>
      </c>
      <c r="F993" s="1">
        <v>2933255.95</v>
      </c>
      <c r="G993" s="1">
        <v>1085850</v>
      </c>
      <c r="H993" s="1">
        <v>88.91210839</v>
      </c>
    </row>
    <row r="994" spans="1:8" ht="15.75" thickBot="1" x14ac:dyDescent="0.3">
      <c r="A994" s="1">
        <v>2016</v>
      </c>
      <c r="B994" s="1" t="s">
        <v>14</v>
      </c>
      <c r="C994" s="1" t="s">
        <v>18</v>
      </c>
      <c r="D994" s="1" t="s">
        <v>10</v>
      </c>
      <c r="E994" s="1">
        <v>1584743.07</v>
      </c>
      <c r="F994" s="1">
        <v>59157.59</v>
      </c>
      <c r="G994" s="1">
        <v>28171</v>
      </c>
      <c r="H994" s="1">
        <v>56.254413049999997</v>
      </c>
    </row>
    <row r="995" spans="1:8" ht="15.75" thickBot="1" x14ac:dyDescent="0.3">
      <c r="A995" s="1">
        <v>2015</v>
      </c>
      <c r="B995" s="1" t="s">
        <v>14</v>
      </c>
      <c r="C995" s="1" t="s">
        <v>33</v>
      </c>
      <c r="D995" s="1" t="s">
        <v>27</v>
      </c>
      <c r="E995" s="1">
        <v>214766066.40000001</v>
      </c>
      <c r="F995" s="1">
        <v>9023558.4499999993</v>
      </c>
      <c r="G995" s="1">
        <v>6686268</v>
      </c>
      <c r="H995" s="1">
        <v>32.12046935</v>
      </c>
    </row>
    <row r="996" spans="1:8" ht="15.75" thickBot="1" x14ac:dyDescent="0.3">
      <c r="A996" s="1">
        <v>2017</v>
      </c>
      <c r="B996" s="1" t="s">
        <v>30</v>
      </c>
      <c r="C996" s="1" t="s">
        <v>18</v>
      </c>
      <c r="D996" s="1" t="s">
        <v>29</v>
      </c>
      <c r="E996" s="1">
        <v>5242368.5999999996</v>
      </c>
      <c r="F996" s="1">
        <v>164671.07999999999</v>
      </c>
      <c r="G996" s="1">
        <v>19555</v>
      </c>
      <c r="H996" s="1">
        <v>268.08328299999999</v>
      </c>
    </row>
    <row r="997" spans="1:8" ht="15.75" thickBot="1" x14ac:dyDescent="0.3">
      <c r="A997" s="1">
        <v>2014</v>
      </c>
      <c r="B997" s="1" t="s">
        <v>14</v>
      </c>
      <c r="C997" s="1" t="s">
        <v>23</v>
      </c>
      <c r="D997" s="1" t="s">
        <v>31</v>
      </c>
      <c r="E997" s="1">
        <v>285320.06</v>
      </c>
      <c r="F997" s="1">
        <v>11188.46</v>
      </c>
      <c r="G997" s="1">
        <v>6553</v>
      </c>
      <c r="H997" s="1">
        <v>43.540372349999998</v>
      </c>
    </row>
    <row r="998" spans="1:8" ht="15.75" thickBot="1" x14ac:dyDescent="0.3">
      <c r="A998" s="1">
        <v>2015</v>
      </c>
      <c r="B998" s="1" t="s">
        <v>16</v>
      </c>
      <c r="C998" s="1" t="s">
        <v>28</v>
      </c>
      <c r="D998" s="1" t="s">
        <v>19</v>
      </c>
      <c r="E998" s="1">
        <v>427470303.5</v>
      </c>
      <c r="F998" s="1">
        <v>11721982.77</v>
      </c>
      <c r="G998" s="1">
        <v>1053121</v>
      </c>
      <c r="H998" s="1">
        <v>405.90806140000001</v>
      </c>
    </row>
    <row r="999" spans="1:8" ht="15.75" thickBot="1" x14ac:dyDescent="0.3">
      <c r="A999" s="1">
        <v>2017</v>
      </c>
      <c r="B999" s="1" t="s">
        <v>16</v>
      </c>
      <c r="C999" s="1" t="s">
        <v>21</v>
      </c>
      <c r="D999" s="1" t="s">
        <v>13</v>
      </c>
      <c r="E999" s="1">
        <v>13637899.560000001</v>
      </c>
      <c r="F999" s="1">
        <v>472996.46</v>
      </c>
      <c r="G999" s="1">
        <v>340491</v>
      </c>
      <c r="H999" s="1">
        <v>40.053627140000003</v>
      </c>
    </row>
    <row r="1000" spans="1:8" ht="15.75" thickBot="1" x14ac:dyDescent="0.3">
      <c r="A1000" s="1">
        <v>2015</v>
      </c>
      <c r="B1000" s="1" t="s">
        <v>11</v>
      </c>
      <c r="C1000" s="1" t="s">
        <v>26</v>
      </c>
      <c r="D1000" s="1" t="s">
        <v>24</v>
      </c>
      <c r="E1000" s="1">
        <v>5234584.9400000004</v>
      </c>
      <c r="F1000" s="1">
        <v>156583.72</v>
      </c>
      <c r="G1000" s="1">
        <v>16303</v>
      </c>
      <c r="H1000" s="1">
        <v>321.08108570000002</v>
      </c>
    </row>
    <row r="1001" spans="1:8" ht="15.75" thickBot="1" x14ac:dyDescent="0.3">
      <c r="A1001" s="1">
        <v>2017</v>
      </c>
      <c r="B1001" s="1" t="s">
        <v>16</v>
      </c>
      <c r="C1001" s="1" t="s">
        <v>12</v>
      </c>
      <c r="D1001" s="1" t="s">
        <v>22</v>
      </c>
      <c r="E1001" s="1">
        <v>26070.5</v>
      </c>
      <c r="F1001" s="1">
        <v>1021.3</v>
      </c>
      <c r="G1001" s="1">
        <v>1310</v>
      </c>
      <c r="H1001" s="1">
        <v>19.901145039999999</v>
      </c>
    </row>
    <row r="1002" spans="1:8" ht="15.75" thickBot="1" x14ac:dyDescent="0.3">
      <c r="A1002" s="1">
        <v>2016</v>
      </c>
      <c r="B1002" s="1" t="s">
        <v>11</v>
      </c>
      <c r="C1002" s="1" t="s">
        <v>9</v>
      </c>
      <c r="D1002" s="1" t="s">
        <v>10</v>
      </c>
      <c r="E1002" s="1">
        <v>106741.47</v>
      </c>
      <c r="F1002" s="1">
        <v>3069.77</v>
      </c>
      <c r="G1002" s="1">
        <v>68727</v>
      </c>
      <c r="H1002" s="1">
        <v>1.55312279</v>
      </c>
    </row>
    <row r="1003" spans="1:8" ht="15.75" thickBot="1" x14ac:dyDescent="0.3">
      <c r="A1003" s="1">
        <v>2014</v>
      </c>
      <c r="B1003" s="1" t="s">
        <v>12</v>
      </c>
      <c r="C1003" s="1" t="s">
        <v>23</v>
      </c>
      <c r="D1003" s="1" t="s">
        <v>32</v>
      </c>
      <c r="E1003" s="1">
        <v>1613264.15</v>
      </c>
      <c r="F1003" s="1">
        <v>58293.599999999999</v>
      </c>
      <c r="G1003" s="1">
        <v>36095</v>
      </c>
      <c r="H1003" s="1">
        <v>44.694948050000001</v>
      </c>
    </row>
    <row r="1004" spans="1:8" ht="15.75" thickBot="1" x14ac:dyDescent="0.3">
      <c r="A1004" s="1">
        <v>2016</v>
      </c>
      <c r="B1004" s="1" t="s">
        <v>40</v>
      </c>
      <c r="C1004" s="1" t="s">
        <v>12</v>
      </c>
      <c r="D1004" s="1" t="s">
        <v>27</v>
      </c>
      <c r="E1004" s="1">
        <v>22642.68</v>
      </c>
      <c r="F1004" s="1">
        <v>715.99</v>
      </c>
      <c r="G1004" s="1">
        <v>272</v>
      </c>
      <c r="H1004" s="1">
        <v>83.245147059999994</v>
      </c>
    </row>
    <row r="1005" spans="1:8" ht="15.75" thickBot="1" x14ac:dyDescent="0.3">
      <c r="A1005" s="1">
        <v>2016</v>
      </c>
      <c r="B1005" s="1" t="s">
        <v>11</v>
      </c>
      <c r="C1005" s="1" t="s">
        <v>23</v>
      </c>
      <c r="D1005" s="1" t="s">
        <v>24</v>
      </c>
      <c r="E1005" s="1">
        <v>3509078.27</v>
      </c>
      <c r="F1005" s="1">
        <v>104289.5</v>
      </c>
      <c r="G1005" s="1">
        <v>13132</v>
      </c>
      <c r="H1005" s="1">
        <v>267.2158293</v>
      </c>
    </row>
    <row r="1006" spans="1:8" ht="15.75" thickBot="1" x14ac:dyDescent="0.3">
      <c r="A1006" s="1">
        <v>2017</v>
      </c>
      <c r="B1006" s="1" t="s">
        <v>8</v>
      </c>
      <c r="C1006" s="1" t="s">
        <v>9</v>
      </c>
      <c r="D1006" s="1" t="s">
        <v>27</v>
      </c>
      <c r="E1006" s="1">
        <v>1588.53</v>
      </c>
      <c r="F1006" s="1">
        <v>46.63</v>
      </c>
      <c r="G1006" s="1">
        <v>34</v>
      </c>
      <c r="H1006" s="1">
        <v>46.721470590000003</v>
      </c>
    </row>
    <row r="1007" spans="1:8" ht="15.75" thickBot="1" x14ac:dyDescent="0.3">
      <c r="A1007" s="1">
        <v>2015</v>
      </c>
      <c r="B1007" s="1" t="s">
        <v>35</v>
      </c>
      <c r="C1007" s="1" t="s">
        <v>18</v>
      </c>
      <c r="D1007" s="1" t="s">
        <v>24</v>
      </c>
      <c r="E1007" s="1">
        <v>29.4</v>
      </c>
      <c r="F1007" s="1">
        <v>90.52</v>
      </c>
      <c r="G1007" s="1">
        <v>40</v>
      </c>
      <c r="H1007" s="1">
        <v>0.73499999999999999</v>
      </c>
    </row>
    <row r="1008" spans="1:8" ht="15.75" thickBot="1" x14ac:dyDescent="0.3">
      <c r="A1008" s="1">
        <v>2014</v>
      </c>
      <c r="B1008" s="1" t="s">
        <v>16</v>
      </c>
      <c r="C1008" s="1" t="s">
        <v>26</v>
      </c>
      <c r="D1008" s="1" t="s">
        <v>24</v>
      </c>
      <c r="E1008" s="1">
        <v>26196790.390000001</v>
      </c>
      <c r="F1008" s="1">
        <v>938518.48</v>
      </c>
      <c r="G1008" s="1">
        <v>159364</v>
      </c>
      <c r="H1008" s="1">
        <v>164.38336380000001</v>
      </c>
    </row>
    <row r="1009" spans="1:8" ht="15.75" thickBot="1" x14ac:dyDescent="0.3">
      <c r="A1009" s="1">
        <v>2015</v>
      </c>
      <c r="B1009" s="1" t="s">
        <v>11</v>
      </c>
      <c r="C1009" s="1" t="s">
        <v>15</v>
      </c>
      <c r="D1009" s="1" t="s">
        <v>24</v>
      </c>
      <c r="E1009" s="1">
        <v>3770554.64</v>
      </c>
      <c r="F1009" s="1">
        <v>116445.06</v>
      </c>
      <c r="G1009" s="1">
        <v>12330</v>
      </c>
      <c r="H1009" s="1">
        <v>305.80329599999999</v>
      </c>
    </row>
    <row r="1010" spans="1:8" ht="15.75" thickBot="1" x14ac:dyDescent="0.3">
      <c r="A1010" s="1">
        <v>2015</v>
      </c>
      <c r="B1010" s="1" t="s">
        <v>35</v>
      </c>
      <c r="C1010" s="1" t="s">
        <v>18</v>
      </c>
      <c r="D1010" s="1" t="s">
        <v>19</v>
      </c>
      <c r="E1010" s="1">
        <v>9322.77</v>
      </c>
      <c r="F1010" s="1">
        <v>311.86</v>
      </c>
      <c r="G1010" s="1">
        <v>333</v>
      </c>
      <c r="H1010" s="1">
        <v>27.996306310000001</v>
      </c>
    </row>
    <row r="1011" spans="1:8" ht="15.75" thickBot="1" x14ac:dyDescent="0.3">
      <c r="A1011" s="1">
        <v>2016</v>
      </c>
      <c r="B1011" s="1" t="s">
        <v>16</v>
      </c>
      <c r="C1011" s="1" t="s">
        <v>28</v>
      </c>
      <c r="D1011" s="1" t="s">
        <v>22</v>
      </c>
      <c r="E1011" s="1">
        <v>159020.17000000001</v>
      </c>
      <c r="F1011" s="1">
        <v>6329.92</v>
      </c>
      <c r="G1011" s="1">
        <v>8784</v>
      </c>
      <c r="H1011" s="1">
        <v>18.103389119999999</v>
      </c>
    </row>
    <row r="1012" spans="1:8" ht="15.75" thickBot="1" x14ac:dyDescent="0.3">
      <c r="A1012" s="1">
        <v>2017</v>
      </c>
      <c r="B1012" s="1" t="s">
        <v>11</v>
      </c>
      <c r="C1012" s="1" t="s">
        <v>26</v>
      </c>
      <c r="D1012" s="1" t="s">
        <v>22</v>
      </c>
      <c r="E1012" s="1">
        <v>57483374.210000001</v>
      </c>
      <c r="F1012" s="1">
        <v>1695706.07</v>
      </c>
      <c r="G1012" s="1">
        <v>4235945</v>
      </c>
      <c r="H1012" s="1">
        <v>13.57037785</v>
      </c>
    </row>
    <row r="1013" spans="1:8" ht="15.75" thickBot="1" x14ac:dyDescent="0.3">
      <c r="A1013" s="1">
        <v>2016</v>
      </c>
      <c r="B1013" s="1" t="s">
        <v>35</v>
      </c>
      <c r="C1013" s="1" t="s">
        <v>28</v>
      </c>
      <c r="D1013" s="1" t="s">
        <v>31</v>
      </c>
      <c r="E1013" s="1">
        <v>1.22</v>
      </c>
      <c r="F1013" s="1">
        <v>0.53</v>
      </c>
      <c r="G1013" s="1">
        <v>203</v>
      </c>
      <c r="H1013" s="1">
        <v>6.009852217E-3</v>
      </c>
    </row>
    <row r="1014" spans="1:8" ht="15.75" thickBot="1" x14ac:dyDescent="0.3">
      <c r="A1014" s="1">
        <v>2016</v>
      </c>
      <c r="B1014" s="1" t="s">
        <v>14</v>
      </c>
      <c r="C1014" s="1" t="s">
        <v>33</v>
      </c>
      <c r="D1014" s="1" t="s">
        <v>10</v>
      </c>
      <c r="E1014" s="1">
        <v>10802186.289999999</v>
      </c>
      <c r="F1014" s="1">
        <v>407532.97</v>
      </c>
      <c r="G1014" s="1">
        <v>214509</v>
      </c>
      <c r="H1014" s="1">
        <v>50.357729929999998</v>
      </c>
    </row>
    <row r="1015" spans="1:8" ht="15.75" thickBot="1" x14ac:dyDescent="0.3">
      <c r="A1015" s="1">
        <v>2015</v>
      </c>
      <c r="B1015" s="1" t="s">
        <v>14</v>
      </c>
      <c r="C1015" s="1" t="s">
        <v>15</v>
      </c>
      <c r="D1015" s="1" t="s">
        <v>29</v>
      </c>
      <c r="E1015" s="1">
        <v>14780447.73</v>
      </c>
      <c r="F1015" s="1">
        <v>476350.38</v>
      </c>
      <c r="G1015" s="1">
        <v>57437</v>
      </c>
      <c r="H1015" s="1">
        <v>257.33321260000002</v>
      </c>
    </row>
    <row r="1016" spans="1:8" ht="15.75" thickBot="1" x14ac:dyDescent="0.3">
      <c r="A1016" s="1">
        <v>2014</v>
      </c>
      <c r="B1016" s="1" t="s">
        <v>35</v>
      </c>
      <c r="C1016" s="1" t="s">
        <v>18</v>
      </c>
      <c r="D1016" s="1" t="s">
        <v>27</v>
      </c>
      <c r="E1016" s="1">
        <v>6794.53</v>
      </c>
      <c r="F1016" s="1">
        <v>342.13</v>
      </c>
      <c r="G1016" s="1">
        <v>158</v>
      </c>
      <c r="H1016" s="1">
        <v>43.003354430000002</v>
      </c>
    </row>
    <row r="1017" spans="1:8" ht="15.75" thickBot="1" x14ac:dyDescent="0.3">
      <c r="A1017" s="1">
        <v>2017</v>
      </c>
      <c r="B1017" s="1" t="s">
        <v>11</v>
      </c>
      <c r="C1017" s="1" t="s">
        <v>9</v>
      </c>
      <c r="D1017" s="1" t="s">
        <v>10</v>
      </c>
      <c r="E1017" s="1">
        <v>154538.43</v>
      </c>
      <c r="F1017" s="1">
        <v>5259.7</v>
      </c>
      <c r="G1017" s="1">
        <v>106994</v>
      </c>
      <c r="H1017" s="1">
        <v>1.444365385</v>
      </c>
    </row>
    <row r="1018" spans="1:8" ht="15.75" thickBot="1" x14ac:dyDescent="0.3">
      <c r="A1018" s="1">
        <v>2014</v>
      </c>
      <c r="B1018" s="1" t="s">
        <v>30</v>
      </c>
      <c r="C1018" s="1" t="s">
        <v>26</v>
      </c>
      <c r="D1018" s="1" t="s">
        <v>24</v>
      </c>
      <c r="E1018" s="1">
        <v>18975494.210000001</v>
      </c>
      <c r="F1018" s="1">
        <v>609212.56999999995</v>
      </c>
      <c r="G1018" s="1">
        <v>143161</v>
      </c>
      <c r="H1018" s="1">
        <v>132.54653300000001</v>
      </c>
    </row>
    <row r="1019" spans="1:8" ht="15.75" thickBot="1" x14ac:dyDescent="0.3">
      <c r="A1019" s="1">
        <v>2014</v>
      </c>
      <c r="B1019" s="1" t="s">
        <v>20</v>
      </c>
      <c r="C1019" s="1" t="s">
        <v>12</v>
      </c>
      <c r="D1019" s="1" t="s">
        <v>32</v>
      </c>
      <c r="E1019" s="1">
        <v>4710988.53</v>
      </c>
      <c r="F1019" s="1">
        <v>194650.08</v>
      </c>
      <c r="G1019" s="1">
        <v>153061</v>
      </c>
      <c r="H1019" s="1">
        <v>30.778503539999999</v>
      </c>
    </row>
    <row r="1020" spans="1:8" ht="15.75" thickBot="1" x14ac:dyDescent="0.3">
      <c r="A1020" s="1">
        <v>2014</v>
      </c>
      <c r="B1020" s="1" t="s">
        <v>16</v>
      </c>
      <c r="C1020" s="1" t="s">
        <v>12</v>
      </c>
      <c r="D1020" s="1" t="s">
        <v>31</v>
      </c>
      <c r="E1020" s="1">
        <v>1542557.1</v>
      </c>
      <c r="F1020" s="1">
        <v>59470.43</v>
      </c>
      <c r="G1020" s="1">
        <v>28117</v>
      </c>
      <c r="H1020" s="1">
        <v>54.862079880000003</v>
      </c>
    </row>
    <row r="1021" spans="1:8" ht="15.75" thickBot="1" x14ac:dyDescent="0.3">
      <c r="A1021" s="1">
        <v>2016</v>
      </c>
      <c r="B1021" s="1" t="s">
        <v>14</v>
      </c>
      <c r="C1021" s="1" t="s">
        <v>23</v>
      </c>
      <c r="D1021" s="1" t="s">
        <v>19</v>
      </c>
      <c r="E1021" s="1">
        <v>24528234.960000001</v>
      </c>
      <c r="F1021" s="1">
        <v>863031.45</v>
      </c>
      <c r="G1021" s="1">
        <v>415288</v>
      </c>
      <c r="H1021" s="1">
        <v>59.063192190000002</v>
      </c>
    </row>
    <row r="1022" spans="1:8" ht="15.75" thickBot="1" x14ac:dyDescent="0.3">
      <c r="A1022" s="1">
        <v>2017</v>
      </c>
      <c r="B1022" s="1" t="s">
        <v>20</v>
      </c>
      <c r="C1022" s="1" t="s">
        <v>9</v>
      </c>
      <c r="D1022" s="1" t="s">
        <v>31</v>
      </c>
      <c r="E1022" s="1">
        <v>2339171.67</v>
      </c>
      <c r="F1022" s="1">
        <v>90526.81</v>
      </c>
      <c r="G1022" s="1">
        <v>101829</v>
      </c>
      <c r="H1022" s="1">
        <v>22.97156674</v>
      </c>
    </row>
    <row r="1023" spans="1:8" ht="15.75" thickBot="1" x14ac:dyDescent="0.3">
      <c r="A1023" s="1">
        <v>2015</v>
      </c>
      <c r="B1023" s="1" t="s">
        <v>11</v>
      </c>
      <c r="C1023" s="1" t="s">
        <v>9</v>
      </c>
      <c r="D1023" s="1" t="s">
        <v>22</v>
      </c>
      <c r="E1023" s="1">
        <v>1882.28</v>
      </c>
      <c r="F1023" s="1">
        <v>42.98</v>
      </c>
      <c r="G1023" s="1">
        <v>170</v>
      </c>
      <c r="H1023" s="1">
        <v>11.07223529</v>
      </c>
    </row>
    <row r="1024" spans="1:8" ht="15.75" thickBot="1" x14ac:dyDescent="0.3">
      <c r="A1024" s="1">
        <v>2014</v>
      </c>
      <c r="B1024" s="1" t="s">
        <v>17</v>
      </c>
      <c r="C1024" s="1" t="s">
        <v>33</v>
      </c>
      <c r="D1024" s="1" t="s">
        <v>22</v>
      </c>
      <c r="E1024" s="1">
        <v>1349483.28</v>
      </c>
      <c r="F1024" s="1">
        <v>42373.62</v>
      </c>
      <c r="G1024" s="1">
        <v>93562</v>
      </c>
      <c r="H1024" s="1">
        <v>14.423412069999999</v>
      </c>
    </row>
    <row r="1025" spans="1:8" ht="15.75" thickBot="1" x14ac:dyDescent="0.3">
      <c r="A1025" s="1">
        <v>2017</v>
      </c>
      <c r="B1025" s="1" t="s">
        <v>16</v>
      </c>
      <c r="C1025" s="1" t="s">
        <v>26</v>
      </c>
      <c r="D1025" s="1" t="s">
        <v>10</v>
      </c>
      <c r="E1025" s="1">
        <v>25239030</v>
      </c>
      <c r="F1025" s="1">
        <v>945657</v>
      </c>
      <c r="G1025" s="1">
        <v>484972</v>
      </c>
      <c r="H1025" s="1">
        <v>52.042241609999998</v>
      </c>
    </row>
    <row r="1026" spans="1:8" ht="15.75" thickBot="1" x14ac:dyDescent="0.3">
      <c r="A1026" s="1">
        <v>2017</v>
      </c>
      <c r="B1026" s="1" t="s">
        <v>40</v>
      </c>
      <c r="C1026" s="1" t="s">
        <v>23</v>
      </c>
      <c r="D1026" s="1" t="s">
        <v>31</v>
      </c>
      <c r="E1026" s="1">
        <v>515.63</v>
      </c>
      <c r="F1026" s="1">
        <v>16.46</v>
      </c>
      <c r="G1026" s="1">
        <v>5</v>
      </c>
      <c r="H1026" s="1">
        <v>103.126</v>
      </c>
    </row>
    <row r="1027" spans="1:8" ht="15.75" thickBot="1" x14ac:dyDescent="0.3">
      <c r="A1027" s="1">
        <v>2017</v>
      </c>
      <c r="B1027" s="1" t="s">
        <v>17</v>
      </c>
      <c r="C1027" s="1" t="s">
        <v>21</v>
      </c>
      <c r="D1027" s="1" t="s">
        <v>10</v>
      </c>
      <c r="E1027" s="1">
        <v>147577176.90000001</v>
      </c>
      <c r="F1027" s="1">
        <v>4845192.82</v>
      </c>
      <c r="G1027" s="1">
        <v>2828376</v>
      </c>
      <c r="H1027" s="1">
        <v>52.177354379999997</v>
      </c>
    </row>
    <row r="1028" spans="1:8" ht="15.75" thickBot="1" x14ac:dyDescent="0.3">
      <c r="A1028" s="1">
        <v>2015</v>
      </c>
      <c r="B1028" s="1" t="s">
        <v>17</v>
      </c>
      <c r="C1028" s="1" t="s">
        <v>23</v>
      </c>
      <c r="D1028" s="1" t="s">
        <v>29</v>
      </c>
      <c r="E1028" s="1">
        <v>7526056.2199999997</v>
      </c>
      <c r="F1028" s="1">
        <v>265495.39</v>
      </c>
      <c r="G1028" s="1">
        <v>28472</v>
      </c>
      <c r="H1028" s="1">
        <v>264.33184249999999</v>
      </c>
    </row>
    <row r="1029" spans="1:8" ht="15.75" thickBot="1" x14ac:dyDescent="0.3">
      <c r="A1029" s="1">
        <v>2016</v>
      </c>
      <c r="B1029" s="1" t="s">
        <v>35</v>
      </c>
      <c r="C1029" s="1" t="s">
        <v>23</v>
      </c>
      <c r="D1029" s="1" t="s">
        <v>32</v>
      </c>
      <c r="E1029" s="1">
        <v>1932.83</v>
      </c>
      <c r="F1029" s="1">
        <v>80.400000000000006</v>
      </c>
      <c r="G1029" s="1">
        <v>152</v>
      </c>
      <c r="H1029" s="1">
        <v>12.715986839999999</v>
      </c>
    </row>
    <row r="1030" spans="1:8" ht="15.75" thickBot="1" x14ac:dyDescent="0.3">
      <c r="A1030" s="1">
        <v>2017</v>
      </c>
      <c r="B1030" s="1" t="s">
        <v>20</v>
      </c>
      <c r="C1030" s="1" t="s">
        <v>33</v>
      </c>
      <c r="D1030" s="1" t="s">
        <v>31</v>
      </c>
      <c r="E1030" s="1">
        <v>78278.47</v>
      </c>
      <c r="F1030" s="1">
        <v>3311.48</v>
      </c>
      <c r="G1030" s="1">
        <v>3060</v>
      </c>
      <c r="H1030" s="1">
        <v>25.581199349999999</v>
      </c>
    </row>
    <row r="1031" spans="1:8" ht="15.75" thickBot="1" x14ac:dyDescent="0.3">
      <c r="A1031" s="1">
        <v>2014</v>
      </c>
      <c r="B1031" s="1" t="s">
        <v>8</v>
      </c>
      <c r="C1031" s="1" t="s">
        <v>28</v>
      </c>
      <c r="D1031" s="1" t="s">
        <v>13</v>
      </c>
      <c r="E1031" s="1">
        <v>40</v>
      </c>
      <c r="F1031" s="1">
        <v>0</v>
      </c>
      <c r="G1031" s="1">
        <v>1</v>
      </c>
      <c r="H1031" s="1">
        <v>40</v>
      </c>
    </row>
    <row r="1032" spans="1:8" ht="15.75" thickBot="1" x14ac:dyDescent="0.3">
      <c r="A1032" s="1">
        <v>2017</v>
      </c>
      <c r="B1032" s="1" t="s">
        <v>14</v>
      </c>
      <c r="C1032" s="1" t="s">
        <v>33</v>
      </c>
      <c r="D1032" s="1" t="s">
        <v>22</v>
      </c>
      <c r="E1032" s="1">
        <v>15956.56</v>
      </c>
      <c r="F1032" s="1">
        <v>617.47</v>
      </c>
      <c r="G1032" s="1">
        <v>990</v>
      </c>
      <c r="H1032" s="1">
        <v>16.11773737</v>
      </c>
    </row>
    <row r="1033" spans="1:8" ht="15.75" thickBot="1" x14ac:dyDescent="0.3">
      <c r="A1033" s="1">
        <v>2015</v>
      </c>
      <c r="B1033" s="1" t="s">
        <v>11</v>
      </c>
      <c r="C1033" s="1" t="s">
        <v>15</v>
      </c>
      <c r="D1033" s="1" t="s">
        <v>19</v>
      </c>
      <c r="E1033" s="1">
        <v>3902115.81</v>
      </c>
      <c r="F1033" s="1">
        <v>124447.33</v>
      </c>
      <c r="G1033" s="1">
        <v>20801</v>
      </c>
      <c r="H1033" s="1">
        <v>187.59270280000001</v>
      </c>
    </row>
    <row r="1034" spans="1:8" ht="15.75" thickBot="1" x14ac:dyDescent="0.3">
      <c r="A1034" s="1">
        <v>2015</v>
      </c>
      <c r="B1034" s="1" t="s">
        <v>16</v>
      </c>
      <c r="C1034" s="1" t="s">
        <v>18</v>
      </c>
      <c r="D1034" s="1" t="s">
        <v>10</v>
      </c>
      <c r="E1034" s="1">
        <v>2692033.76</v>
      </c>
      <c r="F1034" s="1">
        <v>97915.51</v>
      </c>
      <c r="G1034" s="1">
        <v>42399</v>
      </c>
      <c r="H1034" s="1">
        <v>63.49285974</v>
      </c>
    </row>
    <row r="1035" spans="1:8" ht="15.75" thickBot="1" x14ac:dyDescent="0.3">
      <c r="A1035" s="1">
        <v>2015</v>
      </c>
      <c r="B1035" s="1" t="s">
        <v>16</v>
      </c>
      <c r="C1035" s="1" t="s">
        <v>25</v>
      </c>
      <c r="D1035" s="1" t="s">
        <v>27</v>
      </c>
      <c r="E1035" s="1">
        <v>720185742.10000002</v>
      </c>
      <c r="F1035" s="1">
        <v>28895430.760000002</v>
      </c>
      <c r="G1035" s="1">
        <v>14903286</v>
      </c>
      <c r="H1035" s="1">
        <v>48.323956350000003</v>
      </c>
    </row>
    <row r="1036" spans="1:8" ht="15.75" thickBot="1" x14ac:dyDescent="0.3">
      <c r="A1036" s="1">
        <v>2014</v>
      </c>
      <c r="B1036" s="1" t="s">
        <v>8</v>
      </c>
      <c r="C1036" s="1" t="s">
        <v>25</v>
      </c>
      <c r="D1036" s="1" t="s">
        <v>19</v>
      </c>
      <c r="E1036" s="1">
        <v>8016.24</v>
      </c>
      <c r="F1036" s="1">
        <v>106</v>
      </c>
      <c r="G1036" s="1">
        <v>106</v>
      </c>
      <c r="H1036" s="1">
        <v>75.624905659999996</v>
      </c>
    </row>
    <row r="1037" spans="1:8" ht="15.75" thickBot="1" x14ac:dyDescent="0.3">
      <c r="A1037" s="1">
        <v>2015</v>
      </c>
      <c r="B1037" s="1" t="s">
        <v>11</v>
      </c>
      <c r="C1037" s="1" t="s">
        <v>9</v>
      </c>
      <c r="D1037" s="1" t="s">
        <v>13</v>
      </c>
      <c r="E1037" s="1">
        <v>181.46</v>
      </c>
      <c r="F1037" s="1">
        <v>4.34</v>
      </c>
      <c r="G1037" s="1">
        <v>56</v>
      </c>
      <c r="H1037" s="1">
        <v>3.2403571430000002</v>
      </c>
    </row>
    <row r="1038" spans="1:8" ht="15.75" thickBot="1" x14ac:dyDescent="0.3">
      <c r="A1038" s="1">
        <v>2017</v>
      </c>
      <c r="B1038" s="1" t="s">
        <v>16</v>
      </c>
      <c r="C1038" s="1" t="s">
        <v>25</v>
      </c>
      <c r="D1038" s="1" t="s">
        <v>34</v>
      </c>
      <c r="E1038" s="1">
        <v>1744114.51</v>
      </c>
      <c r="F1038" s="1">
        <v>66475.67</v>
      </c>
      <c r="G1038" s="1">
        <v>45598</v>
      </c>
      <c r="H1038" s="1">
        <v>38.249802840000001</v>
      </c>
    </row>
    <row r="1039" spans="1:8" ht="15.75" thickBot="1" x14ac:dyDescent="0.3">
      <c r="A1039" s="1">
        <v>2015</v>
      </c>
      <c r="B1039" s="1" t="s">
        <v>17</v>
      </c>
      <c r="C1039" s="1" t="s">
        <v>15</v>
      </c>
      <c r="D1039" s="1" t="s">
        <v>29</v>
      </c>
      <c r="E1039" s="1">
        <v>8870245.6099999994</v>
      </c>
      <c r="F1039" s="1">
        <v>293850.27</v>
      </c>
      <c r="G1039" s="1">
        <v>23765</v>
      </c>
      <c r="H1039" s="1">
        <v>373.24828989999997</v>
      </c>
    </row>
    <row r="1040" spans="1:8" ht="15.75" thickBot="1" x14ac:dyDescent="0.3">
      <c r="A1040" s="1">
        <v>2017</v>
      </c>
      <c r="B1040" s="1" t="s">
        <v>12</v>
      </c>
      <c r="C1040" s="1" t="s">
        <v>21</v>
      </c>
      <c r="D1040" s="1" t="s">
        <v>27</v>
      </c>
      <c r="E1040" s="1">
        <v>16328021.24</v>
      </c>
      <c r="F1040" s="1">
        <v>641829.69999999995</v>
      </c>
      <c r="G1040" s="1">
        <v>399136</v>
      </c>
      <c r="H1040" s="1">
        <v>40.90841528</v>
      </c>
    </row>
    <row r="1041" spans="1:8" ht="15.75" thickBot="1" x14ac:dyDescent="0.3">
      <c r="A1041" s="1">
        <v>2017</v>
      </c>
      <c r="B1041" s="1" t="s">
        <v>40</v>
      </c>
      <c r="C1041" s="1" t="s">
        <v>26</v>
      </c>
      <c r="D1041" s="1" t="s">
        <v>27</v>
      </c>
      <c r="E1041" s="1">
        <v>35629.29</v>
      </c>
      <c r="F1041" s="1">
        <v>1329.08</v>
      </c>
      <c r="G1041" s="1">
        <v>666</v>
      </c>
      <c r="H1041" s="1">
        <v>53.497432430000003</v>
      </c>
    </row>
    <row r="1042" spans="1:8" ht="15.75" thickBot="1" x14ac:dyDescent="0.3">
      <c r="A1042" s="1">
        <v>2016</v>
      </c>
      <c r="B1042" s="1" t="s">
        <v>14</v>
      </c>
      <c r="C1042" s="1" t="s">
        <v>18</v>
      </c>
      <c r="D1042" s="1" t="s">
        <v>19</v>
      </c>
      <c r="E1042" s="1">
        <v>11532944.800000001</v>
      </c>
      <c r="F1042" s="1">
        <v>343236.33</v>
      </c>
      <c r="G1042" s="1">
        <v>63945</v>
      </c>
      <c r="H1042" s="1">
        <v>180.357257</v>
      </c>
    </row>
    <row r="1043" spans="1:8" ht="15.75" thickBot="1" x14ac:dyDescent="0.3">
      <c r="A1043" s="1">
        <v>2016</v>
      </c>
      <c r="B1043" s="1" t="s">
        <v>20</v>
      </c>
      <c r="C1043" s="1" t="s">
        <v>9</v>
      </c>
      <c r="D1043" s="1" t="s">
        <v>27</v>
      </c>
      <c r="E1043" s="1">
        <v>1010165.78</v>
      </c>
      <c r="F1043" s="1">
        <v>37478.81</v>
      </c>
      <c r="G1043" s="1">
        <v>23910</v>
      </c>
      <c r="H1043" s="1">
        <v>42.248673359999998</v>
      </c>
    </row>
    <row r="1044" spans="1:8" ht="15.75" thickBot="1" x14ac:dyDescent="0.3">
      <c r="A1044" s="1">
        <v>2015</v>
      </c>
      <c r="B1044" s="1" t="s">
        <v>8</v>
      </c>
      <c r="C1044" s="1" t="s">
        <v>23</v>
      </c>
      <c r="D1044" s="1" t="s">
        <v>19</v>
      </c>
      <c r="E1044" s="1">
        <v>1279.56</v>
      </c>
      <c r="F1044" s="1">
        <v>18.100000000000001</v>
      </c>
      <c r="G1044" s="1">
        <v>28</v>
      </c>
      <c r="H1044" s="1">
        <v>45.698571430000001</v>
      </c>
    </row>
    <row r="1045" spans="1:8" ht="15.75" thickBot="1" x14ac:dyDescent="0.3">
      <c r="A1045" s="1">
        <v>2017</v>
      </c>
      <c r="B1045" s="1" t="s">
        <v>17</v>
      </c>
      <c r="C1045" s="1" t="s">
        <v>9</v>
      </c>
      <c r="D1045" s="1" t="s">
        <v>24</v>
      </c>
      <c r="E1045" s="1">
        <v>105181.06</v>
      </c>
      <c r="F1045" s="1">
        <v>1593.18</v>
      </c>
      <c r="G1045" s="1">
        <v>606</v>
      </c>
      <c r="H1045" s="1">
        <v>173.56610559999999</v>
      </c>
    </row>
    <row r="1046" spans="1:8" ht="15.75" thickBot="1" x14ac:dyDescent="0.3">
      <c r="A1046" s="1">
        <v>2016</v>
      </c>
      <c r="B1046" s="1" t="s">
        <v>35</v>
      </c>
      <c r="C1046" s="1" t="s">
        <v>18</v>
      </c>
      <c r="D1046" s="1" t="s">
        <v>19</v>
      </c>
      <c r="E1046" s="1">
        <v>17027.37</v>
      </c>
      <c r="F1046" s="1">
        <v>147.37</v>
      </c>
      <c r="G1046" s="1">
        <v>382</v>
      </c>
      <c r="H1046" s="1">
        <v>44.574267020000001</v>
      </c>
    </row>
    <row r="1047" spans="1:8" ht="15.75" thickBot="1" x14ac:dyDescent="0.3">
      <c r="A1047" s="1">
        <v>2017</v>
      </c>
      <c r="B1047" s="1" t="s">
        <v>11</v>
      </c>
      <c r="C1047" s="1" t="s">
        <v>23</v>
      </c>
      <c r="D1047" s="1" t="s">
        <v>27</v>
      </c>
      <c r="E1047" s="1">
        <v>239796903.30000001</v>
      </c>
      <c r="F1047" s="1">
        <v>6967218.5499999998</v>
      </c>
      <c r="G1047" s="1">
        <v>4957159</v>
      </c>
      <c r="H1047" s="1">
        <v>48.373857540000003</v>
      </c>
    </row>
    <row r="1048" spans="1:8" ht="15.75" thickBot="1" x14ac:dyDescent="0.3">
      <c r="A1048" s="1">
        <v>2017</v>
      </c>
      <c r="B1048" s="1" t="s">
        <v>30</v>
      </c>
      <c r="C1048" s="1" t="s">
        <v>9</v>
      </c>
      <c r="D1048" s="1" t="s">
        <v>19</v>
      </c>
      <c r="E1048" s="1">
        <v>2154247.21</v>
      </c>
      <c r="F1048" s="1">
        <v>27860.27</v>
      </c>
      <c r="G1048" s="1">
        <v>41493</v>
      </c>
      <c r="H1048" s="1">
        <v>51.918328629999998</v>
      </c>
    </row>
    <row r="1049" spans="1:8" ht="15.75" thickBot="1" x14ac:dyDescent="0.3">
      <c r="A1049" s="1">
        <v>2015</v>
      </c>
      <c r="B1049" s="1" t="s">
        <v>8</v>
      </c>
      <c r="C1049" s="1" t="s">
        <v>26</v>
      </c>
      <c r="D1049" s="1" t="s">
        <v>19</v>
      </c>
      <c r="E1049" s="1">
        <v>5998.99</v>
      </c>
      <c r="F1049" s="1">
        <v>112.41</v>
      </c>
      <c r="G1049" s="1">
        <v>36</v>
      </c>
      <c r="H1049" s="1">
        <v>166.63861109999999</v>
      </c>
    </row>
    <row r="1050" spans="1:8" ht="15.75" thickBot="1" x14ac:dyDescent="0.3">
      <c r="A1050" s="1">
        <v>2014</v>
      </c>
      <c r="B1050" s="1" t="s">
        <v>20</v>
      </c>
      <c r="C1050" s="1" t="s">
        <v>9</v>
      </c>
      <c r="D1050" s="1" t="s">
        <v>32</v>
      </c>
      <c r="E1050" s="1">
        <v>22689112.949999999</v>
      </c>
      <c r="F1050" s="1">
        <v>839141.24</v>
      </c>
      <c r="G1050" s="1">
        <v>544789</v>
      </c>
      <c r="H1050" s="1">
        <v>41.647523999999997</v>
      </c>
    </row>
    <row r="1051" spans="1:8" ht="15.75" thickBot="1" x14ac:dyDescent="0.3">
      <c r="A1051" s="1">
        <v>2017</v>
      </c>
      <c r="B1051" s="1" t="s">
        <v>30</v>
      </c>
      <c r="C1051" s="1" t="s">
        <v>12</v>
      </c>
      <c r="D1051" s="1" t="s">
        <v>32</v>
      </c>
      <c r="E1051" s="1">
        <v>26720203.039999999</v>
      </c>
      <c r="F1051" s="1">
        <v>1013451.8</v>
      </c>
      <c r="G1051" s="1">
        <v>520252</v>
      </c>
      <c r="H1051" s="1">
        <v>51.36011594</v>
      </c>
    </row>
    <row r="1052" spans="1:8" ht="15.75" thickBot="1" x14ac:dyDescent="0.3">
      <c r="A1052" s="1">
        <v>2015</v>
      </c>
      <c r="B1052" s="1" t="s">
        <v>11</v>
      </c>
      <c r="C1052" s="1" t="s">
        <v>23</v>
      </c>
      <c r="D1052" s="1" t="s">
        <v>29</v>
      </c>
      <c r="E1052" s="1">
        <v>1120872.42</v>
      </c>
      <c r="F1052" s="1">
        <v>34147.980000000003</v>
      </c>
      <c r="G1052" s="1">
        <v>2906</v>
      </c>
      <c r="H1052" s="1">
        <v>385.7097109</v>
      </c>
    </row>
    <row r="1053" spans="1:8" ht="15.75" thickBot="1" x14ac:dyDescent="0.3">
      <c r="A1053" s="1">
        <v>2015</v>
      </c>
      <c r="B1053" s="1" t="s">
        <v>11</v>
      </c>
      <c r="C1053" s="1" t="s">
        <v>26</v>
      </c>
      <c r="D1053" s="1" t="s">
        <v>10</v>
      </c>
      <c r="E1053" s="1">
        <v>172914183.5</v>
      </c>
      <c r="F1053" s="1">
        <v>3832385.79</v>
      </c>
      <c r="G1053" s="1">
        <v>2412002</v>
      </c>
      <c r="H1053" s="1">
        <v>71.68907136</v>
      </c>
    </row>
    <row r="1054" spans="1:8" ht="15.75" thickBot="1" x14ac:dyDescent="0.3">
      <c r="A1054" s="1">
        <v>2016</v>
      </c>
      <c r="B1054" s="1" t="s">
        <v>17</v>
      </c>
      <c r="C1054" s="1" t="s">
        <v>21</v>
      </c>
      <c r="D1054" s="1" t="s">
        <v>32</v>
      </c>
      <c r="E1054" s="1">
        <v>200363951.59999999</v>
      </c>
      <c r="F1054" s="1">
        <v>7307730.1600000001</v>
      </c>
      <c r="G1054" s="1">
        <v>3815466</v>
      </c>
      <c r="H1054" s="1">
        <v>52.513625220000002</v>
      </c>
    </row>
    <row r="1055" spans="1:8" ht="15.75" thickBot="1" x14ac:dyDescent="0.3">
      <c r="A1055" s="1">
        <v>2014</v>
      </c>
      <c r="B1055" s="1" t="s">
        <v>8</v>
      </c>
      <c r="C1055" s="1" t="s">
        <v>33</v>
      </c>
      <c r="D1055" s="1" t="s">
        <v>24</v>
      </c>
      <c r="E1055" s="1">
        <v>203.06</v>
      </c>
      <c r="F1055" s="1">
        <v>2.76</v>
      </c>
      <c r="G1055" s="1">
        <v>3</v>
      </c>
      <c r="H1055" s="1">
        <v>67.686666669999994</v>
      </c>
    </row>
    <row r="1056" spans="1:8" ht="15.75" thickBot="1" x14ac:dyDescent="0.3">
      <c r="A1056" s="1">
        <v>2015</v>
      </c>
      <c r="B1056" s="1" t="s">
        <v>20</v>
      </c>
      <c r="C1056" s="1" t="s">
        <v>25</v>
      </c>
      <c r="D1056" s="1" t="s">
        <v>32</v>
      </c>
      <c r="E1056" s="1">
        <v>3673786.3</v>
      </c>
      <c r="F1056" s="1">
        <v>155744.49</v>
      </c>
      <c r="G1056" s="1">
        <v>142260</v>
      </c>
      <c r="H1056" s="1">
        <v>25.824450299999999</v>
      </c>
    </row>
    <row r="1057" spans="1:8" ht="15.75" thickBot="1" x14ac:dyDescent="0.3">
      <c r="A1057" s="1">
        <v>2015</v>
      </c>
      <c r="B1057" s="1" t="s">
        <v>35</v>
      </c>
      <c r="C1057" s="1" t="s">
        <v>23</v>
      </c>
      <c r="D1057" s="1" t="s">
        <v>29</v>
      </c>
      <c r="E1057" s="1">
        <v>26.69</v>
      </c>
      <c r="F1057" s="1">
        <v>1.07</v>
      </c>
      <c r="G1057" s="1">
        <v>1</v>
      </c>
      <c r="H1057" s="1">
        <v>26.69</v>
      </c>
    </row>
    <row r="1058" spans="1:8" ht="15.75" thickBot="1" x14ac:dyDescent="0.3">
      <c r="A1058" s="1">
        <v>2014</v>
      </c>
      <c r="B1058" s="1" t="s">
        <v>14</v>
      </c>
      <c r="C1058" s="1" t="s">
        <v>23</v>
      </c>
      <c r="D1058" s="1" t="s">
        <v>27</v>
      </c>
      <c r="E1058" s="1">
        <v>322887145.30000001</v>
      </c>
      <c r="F1058" s="1">
        <v>14433877.74</v>
      </c>
      <c r="G1058" s="1">
        <v>12513196</v>
      </c>
      <c r="H1058" s="1">
        <v>25.80373114</v>
      </c>
    </row>
    <row r="1059" spans="1:8" ht="15.75" thickBot="1" x14ac:dyDescent="0.3">
      <c r="A1059" s="1">
        <v>2017</v>
      </c>
      <c r="B1059" s="1" t="s">
        <v>20</v>
      </c>
      <c r="C1059" s="1" t="s">
        <v>33</v>
      </c>
      <c r="D1059" s="1" t="s">
        <v>13</v>
      </c>
      <c r="E1059" s="1">
        <v>356002.22</v>
      </c>
      <c r="F1059" s="1">
        <v>8905.81</v>
      </c>
      <c r="G1059" s="1">
        <v>7678</v>
      </c>
      <c r="H1059" s="1">
        <v>46.366530349999998</v>
      </c>
    </row>
    <row r="1060" spans="1:8" ht="15.75" thickBot="1" x14ac:dyDescent="0.3">
      <c r="A1060" s="1">
        <v>2015</v>
      </c>
      <c r="B1060" s="1" t="s">
        <v>20</v>
      </c>
      <c r="C1060" s="1" t="s">
        <v>9</v>
      </c>
      <c r="D1060" s="1" t="s">
        <v>37</v>
      </c>
      <c r="E1060" s="1">
        <v>2809123.65</v>
      </c>
      <c r="F1060" s="1">
        <v>98117.17</v>
      </c>
      <c r="G1060" s="1">
        <v>36789</v>
      </c>
      <c r="H1060" s="1">
        <v>76.357706109999995</v>
      </c>
    </row>
    <row r="1061" spans="1:8" ht="15.75" thickBot="1" x14ac:dyDescent="0.3">
      <c r="A1061" s="1">
        <v>2017</v>
      </c>
      <c r="B1061" s="1" t="s">
        <v>35</v>
      </c>
      <c r="C1061" s="1" t="s">
        <v>18</v>
      </c>
      <c r="D1061" s="1" t="s">
        <v>13</v>
      </c>
      <c r="E1061" s="1">
        <v>57.99</v>
      </c>
      <c r="F1061" s="1">
        <v>2.59</v>
      </c>
      <c r="G1061" s="1">
        <v>14</v>
      </c>
      <c r="H1061" s="1">
        <v>4.1421428569999996</v>
      </c>
    </row>
    <row r="1062" spans="1:8" ht="15.75" thickBot="1" x14ac:dyDescent="0.3">
      <c r="A1062" s="1">
        <v>2015</v>
      </c>
      <c r="B1062" s="1" t="s">
        <v>16</v>
      </c>
      <c r="C1062" s="1" t="s">
        <v>28</v>
      </c>
      <c r="D1062" s="1" t="s">
        <v>10</v>
      </c>
      <c r="E1062" s="1">
        <v>11260699.23</v>
      </c>
      <c r="F1062" s="1">
        <v>403412.82</v>
      </c>
      <c r="G1062" s="1">
        <v>170925</v>
      </c>
      <c r="H1062" s="1">
        <v>65.880937430000003</v>
      </c>
    </row>
    <row r="1063" spans="1:8" ht="15.75" thickBot="1" x14ac:dyDescent="0.3">
      <c r="A1063" s="1">
        <v>2016</v>
      </c>
      <c r="B1063" s="1" t="s">
        <v>40</v>
      </c>
      <c r="C1063" s="1" t="s">
        <v>28</v>
      </c>
      <c r="D1063" s="1" t="s">
        <v>32</v>
      </c>
      <c r="E1063" s="1">
        <v>2100.6799999999998</v>
      </c>
      <c r="F1063" s="1">
        <v>159.69</v>
      </c>
      <c r="G1063" s="1">
        <v>138</v>
      </c>
      <c r="H1063" s="1">
        <v>15.22231884</v>
      </c>
    </row>
    <row r="1064" spans="1:8" ht="15.75" thickBot="1" x14ac:dyDescent="0.3">
      <c r="A1064" s="1">
        <v>2017</v>
      </c>
      <c r="B1064" s="1" t="s">
        <v>16</v>
      </c>
      <c r="C1064" s="1" t="s">
        <v>9</v>
      </c>
      <c r="D1064" s="1" t="s">
        <v>32</v>
      </c>
      <c r="E1064" s="1">
        <v>450319.73</v>
      </c>
      <c r="F1064" s="1">
        <v>14732.35</v>
      </c>
      <c r="G1064" s="1">
        <v>70475</v>
      </c>
      <c r="H1064" s="1">
        <v>6.3897797799999996</v>
      </c>
    </row>
    <row r="1065" spans="1:8" ht="15.75" thickBot="1" x14ac:dyDescent="0.3">
      <c r="A1065" s="1">
        <v>2017</v>
      </c>
      <c r="B1065" s="1" t="s">
        <v>17</v>
      </c>
      <c r="C1065" s="1" t="s">
        <v>18</v>
      </c>
      <c r="D1065" s="1" t="s">
        <v>32</v>
      </c>
      <c r="E1065" s="1">
        <v>33742996.109999999</v>
      </c>
      <c r="F1065" s="1">
        <v>1151433.8799999999</v>
      </c>
      <c r="G1065" s="1">
        <v>453709</v>
      </c>
      <c r="H1065" s="1">
        <v>74.371449780000006</v>
      </c>
    </row>
    <row r="1066" spans="1:8" ht="15.75" thickBot="1" x14ac:dyDescent="0.3">
      <c r="A1066" s="1">
        <v>2015</v>
      </c>
      <c r="B1066" s="1" t="s">
        <v>16</v>
      </c>
      <c r="C1066" s="1" t="s">
        <v>21</v>
      </c>
      <c r="D1066" s="1" t="s">
        <v>24</v>
      </c>
      <c r="E1066" s="1">
        <v>40524712.880000003</v>
      </c>
      <c r="F1066" s="1">
        <v>1424496.29</v>
      </c>
      <c r="G1066" s="1">
        <v>200193</v>
      </c>
      <c r="H1066" s="1">
        <v>202.4282212</v>
      </c>
    </row>
    <row r="1067" spans="1:8" ht="15.75" thickBot="1" x14ac:dyDescent="0.3">
      <c r="A1067" s="1">
        <v>2015</v>
      </c>
      <c r="B1067" s="1" t="s">
        <v>12</v>
      </c>
      <c r="C1067" s="1" t="s">
        <v>15</v>
      </c>
      <c r="D1067" s="1" t="s">
        <v>32</v>
      </c>
      <c r="E1067" s="1">
        <v>11777399.060000001</v>
      </c>
      <c r="F1067" s="1">
        <v>402888.89</v>
      </c>
      <c r="G1067" s="1">
        <v>187099</v>
      </c>
      <c r="H1067" s="1">
        <v>62.94741853</v>
      </c>
    </row>
    <row r="1068" spans="1:8" ht="15.75" thickBot="1" x14ac:dyDescent="0.3">
      <c r="A1068" s="1">
        <v>2016</v>
      </c>
      <c r="B1068" s="1" t="s">
        <v>16</v>
      </c>
      <c r="C1068" s="1" t="s">
        <v>18</v>
      </c>
      <c r="D1068" s="1" t="s">
        <v>29</v>
      </c>
      <c r="E1068" s="1">
        <v>7821205.3200000003</v>
      </c>
      <c r="F1068" s="1">
        <v>252842.71</v>
      </c>
      <c r="G1068" s="1">
        <v>23549</v>
      </c>
      <c r="H1068" s="1">
        <v>332.12473230000001</v>
      </c>
    </row>
    <row r="1069" spans="1:8" ht="15.75" thickBot="1" x14ac:dyDescent="0.3">
      <c r="A1069" s="1">
        <v>2017</v>
      </c>
      <c r="B1069" s="1" t="s">
        <v>17</v>
      </c>
      <c r="C1069" s="1" t="s">
        <v>25</v>
      </c>
      <c r="D1069" s="1" t="s">
        <v>34</v>
      </c>
      <c r="E1069" s="1">
        <v>2279082.2400000002</v>
      </c>
      <c r="F1069" s="1">
        <v>79661.84</v>
      </c>
      <c r="G1069" s="1">
        <v>57001</v>
      </c>
      <c r="H1069" s="1">
        <v>39.983197490000002</v>
      </c>
    </row>
    <row r="1070" spans="1:8" ht="15.75" thickBot="1" x14ac:dyDescent="0.3">
      <c r="A1070" s="1">
        <v>2017</v>
      </c>
      <c r="B1070" s="1" t="s">
        <v>16</v>
      </c>
      <c r="C1070" s="1" t="s">
        <v>12</v>
      </c>
      <c r="D1070" s="1" t="s">
        <v>34</v>
      </c>
      <c r="E1070" s="1">
        <v>323026.38</v>
      </c>
      <c r="F1070" s="1">
        <v>12794.72</v>
      </c>
      <c r="G1070" s="1">
        <v>10537</v>
      </c>
      <c r="H1070" s="1">
        <v>30.656389860000001</v>
      </c>
    </row>
    <row r="1071" spans="1:8" ht="15.75" thickBot="1" x14ac:dyDescent="0.3">
      <c r="A1071" s="1">
        <v>2016</v>
      </c>
      <c r="B1071" s="1" t="s">
        <v>14</v>
      </c>
      <c r="C1071" s="1" t="s">
        <v>21</v>
      </c>
      <c r="D1071" s="1" t="s">
        <v>19</v>
      </c>
      <c r="E1071" s="1">
        <v>57389712.200000003</v>
      </c>
      <c r="F1071" s="1">
        <v>1800933.85</v>
      </c>
      <c r="G1071" s="1">
        <v>445776</v>
      </c>
      <c r="H1071" s="1">
        <v>128.74114399999999</v>
      </c>
    </row>
    <row r="1072" spans="1:8" ht="15.75" thickBot="1" x14ac:dyDescent="0.3">
      <c r="A1072" s="1">
        <v>2017</v>
      </c>
      <c r="B1072" s="1" t="s">
        <v>16</v>
      </c>
      <c r="C1072" s="1" t="s">
        <v>26</v>
      </c>
      <c r="D1072" s="1" t="s">
        <v>19</v>
      </c>
      <c r="E1072" s="1">
        <v>91117857.670000002</v>
      </c>
      <c r="F1072" s="1">
        <v>2718986.79</v>
      </c>
      <c r="G1072" s="1">
        <v>495738</v>
      </c>
      <c r="H1072" s="1">
        <v>183.80244740000001</v>
      </c>
    </row>
    <row r="1073" spans="1:8" ht="15.75" thickBot="1" x14ac:dyDescent="0.3">
      <c r="A1073" s="1">
        <v>2014</v>
      </c>
      <c r="B1073" s="1" t="s">
        <v>12</v>
      </c>
      <c r="C1073" s="1" t="s">
        <v>33</v>
      </c>
      <c r="D1073" s="1" t="s">
        <v>10</v>
      </c>
      <c r="E1073" s="1">
        <v>7363441.4800000004</v>
      </c>
      <c r="F1073" s="1">
        <v>156717.54</v>
      </c>
      <c r="G1073" s="1">
        <v>96382</v>
      </c>
      <c r="H1073" s="1">
        <v>76.398512999999994</v>
      </c>
    </row>
    <row r="1074" spans="1:8" ht="15.75" thickBot="1" x14ac:dyDescent="0.3">
      <c r="A1074" s="1">
        <v>2016</v>
      </c>
      <c r="B1074" s="1" t="s">
        <v>14</v>
      </c>
      <c r="C1074" s="1" t="s">
        <v>25</v>
      </c>
      <c r="D1074" s="1" t="s">
        <v>27</v>
      </c>
      <c r="E1074" s="1">
        <v>290985850.39999998</v>
      </c>
      <c r="F1074" s="1">
        <v>12854210.27</v>
      </c>
      <c r="G1074" s="1">
        <v>11131483</v>
      </c>
      <c r="H1074" s="1">
        <v>26.14079817</v>
      </c>
    </row>
    <row r="1075" spans="1:8" ht="15.75" thickBot="1" x14ac:dyDescent="0.3">
      <c r="A1075" s="1">
        <v>2014</v>
      </c>
      <c r="B1075" s="1" t="s">
        <v>14</v>
      </c>
      <c r="C1075" s="1" t="s">
        <v>12</v>
      </c>
      <c r="D1075" s="1" t="s">
        <v>31</v>
      </c>
      <c r="E1075" s="1">
        <v>493953.98</v>
      </c>
      <c r="F1075" s="1">
        <v>19393.349999999999</v>
      </c>
      <c r="G1075" s="1">
        <v>10788</v>
      </c>
      <c r="H1075" s="1">
        <v>45.787354469999997</v>
      </c>
    </row>
    <row r="1076" spans="1:8" ht="15.75" thickBot="1" x14ac:dyDescent="0.3">
      <c r="A1076" s="1">
        <v>2017</v>
      </c>
      <c r="B1076" s="1" t="s">
        <v>40</v>
      </c>
      <c r="C1076" s="1" t="s">
        <v>21</v>
      </c>
      <c r="D1076" s="1" t="s">
        <v>19</v>
      </c>
      <c r="E1076" s="1">
        <v>139830.03</v>
      </c>
      <c r="F1076" s="1">
        <v>1950.71</v>
      </c>
      <c r="G1076" s="1">
        <v>627</v>
      </c>
      <c r="H1076" s="1">
        <v>223.0144019</v>
      </c>
    </row>
    <row r="1077" spans="1:8" ht="15.75" thickBot="1" x14ac:dyDescent="0.3">
      <c r="A1077" s="1">
        <v>2015</v>
      </c>
      <c r="B1077" s="1" t="s">
        <v>14</v>
      </c>
      <c r="C1077" s="1" t="s">
        <v>9</v>
      </c>
      <c r="D1077" s="1" t="s">
        <v>19</v>
      </c>
      <c r="E1077" s="1">
        <v>155342.84</v>
      </c>
      <c r="F1077" s="1">
        <v>4029.39</v>
      </c>
      <c r="G1077" s="1">
        <v>6473</v>
      </c>
      <c r="H1077" s="1">
        <v>23.99858489</v>
      </c>
    </row>
    <row r="1078" spans="1:8" ht="15.75" thickBot="1" x14ac:dyDescent="0.3">
      <c r="A1078" s="1">
        <v>2014</v>
      </c>
      <c r="B1078" s="1" t="s">
        <v>16</v>
      </c>
      <c r="C1078" s="1" t="s">
        <v>28</v>
      </c>
      <c r="D1078" s="1" t="s">
        <v>36</v>
      </c>
      <c r="E1078" s="1">
        <v>107909252.5</v>
      </c>
      <c r="F1078" s="1">
        <v>107907.44</v>
      </c>
      <c r="G1078" s="1">
        <v>323591</v>
      </c>
      <c r="H1078" s="1">
        <v>333.4742081</v>
      </c>
    </row>
    <row r="1079" spans="1:8" ht="15.75" thickBot="1" x14ac:dyDescent="0.3">
      <c r="A1079" s="1">
        <v>2017</v>
      </c>
      <c r="B1079" s="1" t="s">
        <v>40</v>
      </c>
      <c r="C1079" s="1" t="s">
        <v>33</v>
      </c>
      <c r="D1079" s="1" t="s">
        <v>19</v>
      </c>
      <c r="E1079" s="1">
        <v>109565.84</v>
      </c>
      <c r="F1079" s="1">
        <v>1310.1500000000001</v>
      </c>
      <c r="G1079" s="1">
        <v>745</v>
      </c>
      <c r="H1079" s="1">
        <v>147.06824159999999</v>
      </c>
    </row>
    <row r="1080" spans="1:8" ht="15.75" thickBot="1" x14ac:dyDescent="0.3">
      <c r="A1080" s="1">
        <v>2014</v>
      </c>
      <c r="B1080" s="1" t="s">
        <v>8</v>
      </c>
      <c r="C1080" s="1" t="s">
        <v>25</v>
      </c>
      <c r="D1080" s="1" t="s">
        <v>32</v>
      </c>
      <c r="E1080" s="1">
        <v>278.37</v>
      </c>
      <c r="F1080" s="1">
        <v>12.94</v>
      </c>
      <c r="G1080" s="1">
        <v>13</v>
      </c>
      <c r="H1080" s="1">
        <v>21.413076920000002</v>
      </c>
    </row>
    <row r="1081" spans="1:8" ht="15.75" thickBot="1" x14ac:dyDescent="0.3">
      <c r="A1081" s="1">
        <v>2016</v>
      </c>
      <c r="B1081" s="1" t="s">
        <v>14</v>
      </c>
      <c r="C1081" s="1" t="s">
        <v>26</v>
      </c>
      <c r="D1081" s="1" t="s">
        <v>13</v>
      </c>
      <c r="E1081" s="1">
        <v>1567236.51</v>
      </c>
      <c r="F1081" s="1">
        <v>58620.4</v>
      </c>
      <c r="G1081" s="1">
        <v>59724</v>
      </c>
      <c r="H1081" s="1">
        <v>26.241318570000001</v>
      </c>
    </row>
    <row r="1082" spans="1:8" ht="15.75" thickBot="1" x14ac:dyDescent="0.3">
      <c r="A1082" s="1">
        <v>2015</v>
      </c>
      <c r="B1082" s="1" t="s">
        <v>40</v>
      </c>
      <c r="C1082" s="1" t="s">
        <v>18</v>
      </c>
      <c r="D1082" s="1" t="s">
        <v>32</v>
      </c>
      <c r="E1082" s="1">
        <v>2603.9299999999998</v>
      </c>
      <c r="F1082" s="1">
        <v>142.24</v>
      </c>
      <c r="G1082" s="1">
        <v>53</v>
      </c>
      <c r="H1082" s="1">
        <v>49.130754719999999</v>
      </c>
    </row>
    <row r="1083" spans="1:8" ht="15.75" thickBot="1" x14ac:dyDescent="0.3">
      <c r="A1083" s="1">
        <v>2016</v>
      </c>
      <c r="B1083" s="1" t="s">
        <v>20</v>
      </c>
      <c r="C1083" s="1" t="s">
        <v>26</v>
      </c>
      <c r="D1083" s="1" t="s">
        <v>29</v>
      </c>
      <c r="E1083" s="1">
        <v>364786</v>
      </c>
      <c r="F1083" s="1">
        <v>13521.32</v>
      </c>
      <c r="G1083" s="1">
        <v>4870</v>
      </c>
      <c r="H1083" s="1">
        <v>74.904722789999994</v>
      </c>
    </row>
    <row r="1084" spans="1:8" ht="15.75" thickBot="1" x14ac:dyDescent="0.3">
      <c r="A1084" s="1">
        <v>2016</v>
      </c>
      <c r="B1084" s="1" t="s">
        <v>16</v>
      </c>
      <c r="C1084" s="1" t="s">
        <v>9</v>
      </c>
      <c r="D1084" s="1" t="s">
        <v>24</v>
      </c>
      <c r="E1084" s="1">
        <v>22497917.129999999</v>
      </c>
      <c r="F1084" s="1">
        <v>727927.2</v>
      </c>
      <c r="G1084" s="1">
        <v>69901</v>
      </c>
      <c r="H1084" s="1">
        <v>321.85400970000001</v>
      </c>
    </row>
    <row r="1085" spans="1:8" ht="15.75" thickBot="1" x14ac:dyDescent="0.3">
      <c r="A1085" s="1">
        <v>2015</v>
      </c>
      <c r="B1085" s="1" t="s">
        <v>16</v>
      </c>
      <c r="C1085" s="1" t="s">
        <v>33</v>
      </c>
      <c r="D1085" s="1" t="s">
        <v>22</v>
      </c>
      <c r="E1085" s="1">
        <v>256017.17</v>
      </c>
      <c r="F1085" s="1">
        <v>7348.89</v>
      </c>
      <c r="G1085" s="1">
        <v>14060</v>
      </c>
      <c r="H1085" s="1">
        <v>18.208902559999999</v>
      </c>
    </row>
    <row r="1086" spans="1:8" ht="15.75" thickBot="1" x14ac:dyDescent="0.3">
      <c r="A1086" s="1">
        <v>2014</v>
      </c>
      <c r="B1086" s="1" t="s">
        <v>17</v>
      </c>
      <c r="C1086" s="1" t="s">
        <v>33</v>
      </c>
      <c r="D1086" s="1" t="s">
        <v>10</v>
      </c>
      <c r="E1086" s="1">
        <v>36913945.689999998</v>
      </c>
      <c r="F1086" s="1">
        <v>1110010.6200000001</v>
      </c>
      <c r="G1086" s="1">
        <v>615277</v>
      </c>
      <c r="H1086" s="1">
        <v>59.995653490000002</v>
      </c>
    </row>
    <row r="1087" spans="1:8" ht="15.75" thickBot="1" x14ac:dyDescent="0.3">
      <c r="A1087" s="1">
        <v>2017</v>
      </c>
      <c r="B1087" s="1" t="s">
        <v>20</v>
      </c>
      <c r="C1087" s="1" t="s">
        <v>26</v>
      </c>
      <c r="D1087" s="1" t="s">
        <v>13</v>
      </c>
      <c r="E1087" s="1">
        <v>341787.05</v>
      </c>
      <c r="F1087" s="1">
        <v>10748.78</v>
      </c>
      <c r="G1087" s="1">
        <v>10867</v>
      </c>
      <c r="H1087" s="1">
        <v>31.45183123</v>
      </c>
    </row>
    <row r="1088" spans="1:8" ht="15.75" thickBot="1" x14ac:dyDescent="0.3">
      <c r="A1088" s="1">
        <v>2017</v>
      </c>
      <c r="B1088" s="1" t="s">
        <v>16</v>
      </c>
      <c r="C1088" s="1" t="s">
        <v>12</v>
      </c>
      <c r="D1088" s="1" t="s">
        <v>31</v>
      </c>
      <c r="E1088" s="1">
        <v>3510908.43</v>
      </c>
      <c r="F1088" s="1">
        <v>136245.96</v>
      </c>
      <c r="G1088" s="1">
        <v>67418</v>
      </c>
      <c r="H1088" s="1">
        <v>52.076721800000001</v>
      </c>
    </row>
    <row r="1089" spans="1:8" ht="15.75" thickBot="1" x14ac:dyDescent="0.3">
      <c r="A1089" s="1">
        <v>2015</v>
      </c>
      <c r="B1089" s="1" t="s">
        <v>20</v>
      </c>
      <c r="C1089" s="1" t="s">
        <v>23</v>
      </c>
      <c r="D1089" s="1" t="s">
        <v>24</v>
      </c>
      <c r="E1089" s="1">
        <v>266356.98</v>
      </c>
      <c r="F1089" s="1">
        <v>10462.73</v>
      </c>
      <c r="G1089" s="1">
        <v>7195</v>
      </c>
      <c r="H1089" s="1">
        <v>37.01973315</v>
      </c>
    </row>
    <row r="1090" spans="1:8" ht="15.75" thickBot="1" x14ac:dyDescent="0.3">
      <c r="A1090" s="1">
        <v>2014</v>
      </c>
      <c r="B1090" s="1" t="s">
        <v>12</v>
      </c>
      <c r="C1090" s="1" t="s">
        <v>15</v>
      </c>
      <c r="D1090" s="1" t="s">
        <v>31</v>
      </c>
      <c r="E1090" s="1">
        <v>209930.61</v>
      </c>
      <c r="F1090" s="1">
        <v>6646.89</v>
      </c>
      <c r="G1090" s="1">
        <v>3301</v>
      </c>
      <c r="H1090" s="1">
        <v>63.596064830000003</v>
      </c>
    </row>
    <row r="1091" spans="1:8" ht="15.75" thickBot="1" x14ac:dyDescent="0.3">
      <c r="A1091" s="1">
        <v>2015</v>
      </c>
      <c r="B1091" s="1" t="s">
        <v>17</v>
      </c>
      <c r="C1091" s="1" t="s">
        <v>21</v>
      </c>
      <c r="D1091" s="1" t="s">
        <v>19</v>
      </c>
      <c r="E1091" s="1">
        <v>37701802.789999999</v>
      </c>
      <c r="F1091" s="1">
        <v>1318089.33</v>
      </c>
      <c r="G1091" s="1">
        <v>208281</v>
      </c>
      <c r="H1091" s="1">
        <v>181.0141241</v>
      </c>
    </row>
    <row r="1092" spans="1:8" ht="15.75" thickBot="1" x14ac:dyDescent="0.3">
      <c r="A1092" s="1">
        <v>2016</v>
      </c>
      <c r="B1092" s="1" t="s">
        <v>17</v>
      </c>
      <c r="C1092" s="1" t="s">
        <v>33</v>
      </c>
      <c r="D1092" s="1" t="s">
        <v>29</v>
      </c>
      <c r="E1092" s="1">
        <v>19210958.050000001</v>
      </c>
      <c r="F1092" s="1">
        <v>656763.69999999995</v>
      </c>
      <c r="G1092" s="1">
        <v>61057</v>
      </c>
      <c r="H1092" s="1">
        <v>314.63973090000002</v>
      </c>
    </row>
    <row r="1093" spans="1:8" ht="15.75" thickBot="1" x14ac:dyDescent="0.3">
      <c r="A1093" s="1">
        <v>2014</v>
      </c>
      <c r="B1093" s="1" t="s">
        <v>8</v>
      </c>
      <c r="C1093" s="1" t="s">
        <v>15</v>
      </c>
      <c r="D1093" s="1" t="s">
        <v>24</v>
      </c>
      <c r="E1093" s="1">
        <v>359</v>
      </c>
      <c r="F1093" s="1">
        <v>11.01</v>
      </c>
      <c r="G1093" s="1">
        <v>2</v>
      </c>
      <c r="H1093" s="1">
        <v>179.5</v>
      </c>
    </row>
    <row r="1094" spans="1:8" ht="15.75" thickBot="1" x14ac:dyDescent="0.3">
      <c r="A1094" s="1">
        <v>2014</v>
      </c>
      <c r="B1094" s="1" t="s">
        <v>16</v>
      </c>
      <c r="C1094" s="1" t="s">
        <v>21</v>
      </c>
      <c r="D1094" s="1" t="s">
        <v>22</v>
      </c>
      <c r="E1094" s="1">
        <v>222612.72</v>
      </c>
      <c r="F1094" s="1">
        <v>6673.75</v>
      </c>
      <c r="G1094" s="1">
        <v>12106</v>
      </c>
      <c r="H1094" s="1">
        <v>18.38862713</v>
      </c>
    </row>
    <row r="1095" spans="1:8" ht="15.75" thickBot="1" x14ac:dyDescent="0.3">
      <c r="A1095" s="1">
        <v>2016</v>
      </c>
      <c r="B1095" s="1" t="s">
        <v>30</v>
      </c>
      <c r="C1095" s="1" t="s">
        <v>28</v>
      </c>
      <c r="D1095" s="1" t="s">
        <v>19</v>
      </c>
      <c r="E1095" s="1">
        <v>484410253.10000002</v>
      </c>
      <c r="F1095" s="1">
        <v>11388254.859999999</v>
      </c>
      <c r="G1095" s="1">
        <v>3293529</v>
      </c>
      <c r="H1095" s="1">
        <v>147.0793951</v>
      </c>
    </row>
    <row r="1096" spans="1:8" ht="15.75" thickBot="1" x14ac:dyDescent="0.3">
      <c r="A1096" s="1">
        <v>2015</v>
      </c>
      <c r="B1096" s="1" t="s">
        <v>40</v>
      </c>
      <c r="C1096" s="1" t="s">
        <v>23</v>
      </c>
      <c r="D1096" s="1" t="s">
        <v>27</v>
      </c>
      <c r="E1096" s="1">
        <v>48740.52</v>
      </c>
      <c r="F1096" s="1">
        <v>1448.65</v>
      </c>
      <c r="G1096" s="1">
        <v>985</v>
      </c>
      <c r="H1096" s="1">
        <v>49.482761420000003</v>
      </c>
    </row>
    <row r="1097" spans="1:8" ht="15.75" thickBot="1" x14ac:dyDescent="0.3">
      <c r="A1097" s="1">
        <v>2015</v>
      </c>
      <c r="B1097" s="1" t="s">
        <v>14</v>
      </c>
      <c r="C1097" s="1" t="s">
        <v>15</v>
      </c>
      <c r="D1097" s="1" t="s">
        <v>32</v>
      </c>
      <c r="E1097" s="1">
        <v>66875405.119999997</v>
      </c>
      <c r="F1097" s="1">
        <v>2431506.81</v>
      </c>
      <c r="G1097" s="1">
        <v>1242477</v>
      </c>
      <c r="H1097" s="1">
        <v>53.824260019999997</v>
      </c>
    </row>
    <row r="1098" spans="1:8" ht="15.75" thickBot="1" x14ac:dyDescent="0.3">
      <c r="A1098" s="1">
        <v>2017</v>
      </c>
      <c r="B1098" s="1" t="s">
        <v>20</v>
      </c>
      <c r="C1098" s="1" t="s">
        <v>9</v>
      </c>
      <c r="D1098" s="1" t="s">
        <v>19</v>
      </c>
      <c r="E1098" s="1">
        <v>10742.91</v>
      </c>
      <c r="F1098" s="1">
        <v>349.37</v>
      </c>
      <c r="G1098" s="1">
        <v>3301</v>
      </c>
      <c r="H1098" s="1">
        <v>3.2544410780000002</v>
      </c>
    </row>
    <row r="1099" spans="1:8" ht="15.75" thickBot="1" x14ac:dyDescent="0.3">
      <c r="A1099" s="1">
        <v>2016</v>
      </c>
      <c r="B1099" s="1" t="s">
        <v>35</v>
      </c>
      <c r="C1099" s="1" t="s">
        <v>9</v>
      </c>
      <c r="D1099" s="1" t="s">
        <v>29</v>
      </c>
      <c r="E1099" s="1">
        <v>1101.68</v>
      </c>
      <c r="F1099" s="1">
        <v>36.17</v>
      </c>
      <c r="G1099" s="1">
        <v>43</v>
      </c>
      <c r="H1099" s="1">
        <v>25.620465119999999</v>
      </c>
    </row>
    <row r="1100" spans="1:8" ht="15.75" thickBot="1" x14ac:dyDescent="0.3">
      <c r="A1100" s="1">
        <v>2017</v>
      </c>
      <c r="B1100" s="1" t="s">
        <v>35</v>
      </c>
      <c r="C1100" s="1" t="s">
        <v>25</v>
      </c>
      <c r="D1100" s="1" t="s">
        <v>32</v>
      </c>
      <c r="E1100" s="1">
        <v>8000.61</v>
      </c>
      <c r="F1100" s="1">
        <v>494.44</v>
      </c>
      <c r="G1100" s="1">
        <v>912</v>
      </c>
      <c r="H1100" s="1">
        <v>8.7725986840000001</v>
      </c>
    </row>
    <row r="1101" spans="1:8" ht="15.75" thickBot="1" x14ac:dyDescent="0.3">
      <c r="A1101" s="1">
        <v>2014</v>
      </c>
      <c r="B1101" s="1" t="s">
        <v>40</v>
      </c>
      <c r="C1101" s="1" t="s">
        <v>28</v>
      </c>
      <c r="D1101" s="1" t="s">
        <v>36</v>
      </c>
      <c r="E1101" s="1">
        <v>125913.71</v>
      </c>
      <c r="F1101" s="1">
        <v>842.38</v>
      </c>
      <c r="G1101" s="1">
        <v>4006</v>
      </c>
      <c r="H1101" s="1">
        <v>31.431280579999999</v>
      </c>
    </row>
    <row r="1102" spans="1:8" ht="15.75" thickBot="1" x14ac:dyDescent="0.3">
      <c r="A1102" s="1">
        <v>2014</v>
      </c>
      <c r="B1102" s="1" t="s">
        <v>16</v>
      </c>
      <c r="C1102" s="1" t="s">
        <v>25</v>
      </c>
      <c r="D1102" s="1" t="s">
        <v>19</v>
      </c>
      <c r="E1102" s="1">
        <v>84628775.25</v>
      </c>
      <c r="F1102" s="1">
        <v>2754181.09</v>
      </c>
      <c r="G1102" s="1">
        <v>433487</v>
      </c>
      <c r="H1102" s="1">
        <v>195.22794279999999</v>
      </c>
    </row>
    <row r="1103" spans="1:8" ht="15.75" thickBot="1" x14ac:dyDescent="0.3">
      <c r="A1103" s="1">
        <v>2016</v>
      </c>
      <c r="B1103" s="1" t="s">
        <v>20</v>
      </c>
      <c r="C1103" s="1" t="s">
        <v>15</v>
      </c>
      <c r="D1103" s="1" t="s">
        <v>22</v>
      </c>
      <c r="E1103" s="1">
        <v>188.24</v>
      </c>
      <c r="F1103" s="1">
        <v>10.68</v>
      </c>
      <c r="G1103" s="1">
        <v>22</v>
      </c>
      <c r="H1103" s="1">
        <v>8.5563636360000004</v>
      </c>
    </row>
    <row r="1104" spans="1:8" ht="15.75" thickBot="1" x14ac:dyDescent="0.3">
      <c r="A1104" s="1">
        <v>2015</v>
      </c>
      <c r="B1104" s="1" t="s">
        <v>11</v>
      </c>
      <c r="C1104" s="1" t="s">
        <v>9</v>
      </c>
      <c r="D1104" s="1" t="s">
        <v>27</v>
      </c>
      <c r="E1104" s="1">
        <v>42614558.899999999</v>
      </c>
      <c r="F1104" s="1">
        <v>1125787.8400000001</v>
      </c>
      <c r="G1104" s="1">
        <v>425533</v>
      </c>
      <c r="H1104" s="1">
        <v>100.143958</v>
      </c>
    </row>
    <row r="1105" spans="1:8" ht="15.75" thickBot="1" x14ac:dyDescent="0.3">
      <c r="A1105" s="1">
        <v>2017</v>
      </c>
      <c r="B1105" s="1" t="s">
        <v>20</v>
      </c>
      <c r="C1105" s="1" t="s">
        <v>15</v>
      </c>
      <c r="D1105" s="1" t="s">
        <v>13</v>
      </c>
      <c r="E1105" s="1">
        <v>126935.13</v>
      </c>
      <c r="F1105" s="1">
        <v>2853.83</v>
      </c>
      <c r="G1105" s="1">
        <v>2393</v>
      </c>
      <c r="H1105" s="1">
        <v>53.044350190000003</v>
      </c>
    </row>
    <row r="1106" spans="1:8" ht="15.75" thickBot="1" x14ac:dyDescent="0.3">
      <c r="A1106" s="1">
        <v>2016</v>
      </c>
      <c r="B1106" s="1" t="s">
        <v>17</v>
      </c>
      <c r="C1106" s="1" t="s">
        <v>25</v>
      </c>
      <c r="D1106" s="1" t="s">
        <v>29</v>
      </c>
      <c r="E1106" s="1">
        <v>20382942.890000001</v>
      </c>
      <c r="F1106" s="1">
        <v>692162.9</v>
      </c>
      <c r="G1106" s="1">
        <v>69638</v>
      </c>
      <c r="H1106" s="1">
        <v>292.69856820000001</v>
      </c>
    </row>
    <row r="1107" spans="1:8" ht="15.75" thickBot="1" x14ac:dyDescent="0.3">
      <c r="A1107" s="1">
        <v>2014</v>
      </c>
      <c r="B1107" s="1" t="s">
        <v>35</v>
      </c>
      <c r="C1107" s="1" t="s">
        <v>15</v>
      </c>
      <c r="D1107" s="1" t="s">
        <v>29</v>
      </c>
      <c r="E1107" s="1">
        <v>5944.99</v>
      </c>
      <c r="F1107" s="1">
        <v>168.28</v>
      </c>
      <c r="G1107" s="1">
        <v>19</v>
      </c>
      <c r="H1107" s="1">
        <v>312.89421049999999</v>
      </c>
    </row>
    <row r="1108" spans="1:8" ht="15.75" thickBot="1" x14ac:dyDescent="0.3">
      <c r="A1108" s="1">
        <v>2016</v>
      </c>
      <c r="B1108" s="1" t="s">
        <v>16</v>
      </c>
      <c r="C1108" s="1" t="s">
        <v>9</v>
      </c>
      <c r="D1108" s="1" t="s">
        <v>22</v>
      </c>
      <c r="E1108" s="1">
        <v>136.74</v>
      </c>
      <c r="F1108" s="1">
        <v>7.44</v>
      </c>
      <c r="G1108" s="1">
        <v>219</v>
      </c>
      <c r="H1108" s="1">
        <v>0.62438356159999997</v>
      </c>
    </row>
    <row r="1109" spans="1:8" ht="15.75" thickBot="1" x14ac:dyDescent="0.3">
      <c r="A1109" s="1">
        <v>2014</v>
      </c>
      <c r="B1109" s="1" t="s">
        <v>12</v>
      </c>
      <c r="C1109" s="1" t="s">
        <v>23</v>
      </c>
      <c r="D1109" s="1" t="s">
        <v>24</v>
      </c>
      <c r="E1109" s="1">
        <v>621587.86</v>
      </c>
      <c r="F1109" s="1">
        <v>20817.13</v>
      </c>
      <c r="G1109" s="1">
        <v>3948</v>
      </c>
      <c r="H1109" s="1">
        <v>157.44373350000001</v>
      </c>
    </row>
    <row r="1110" spans="1:8" ht="15.75" thickBot="1" x14ac:dyDescent="0.3">
      <c r="A1110" s="1">
        <v>2017</v>
      </c>
      <c r="B1110" s="1" t="s">
        <v>20</v>
      </c>
      <c r="C1110" s="1" t="s">
        <v>28</v>
      </c>
      <c r="D1110" s="1" t="s">
        <v>27</v>
      </c>
      <c r="E1110" s="1">
        <v>7777815.2699999996</v>
      </c>
      <c r="F1110" s="1">
        <v>276692.39</v>
      </c>
      <c r="G1110" s="1">
        <v>213038</v>
      </c>
      <c r="H1110" s="1">
        <v>36.509051300000003</v>
      </c>
    </row>
    <row r="1111" spans="1:8" ht="15.75" thickBot="1" x14ac:dyDescent="0.3">
      <c r="A1111" s="1">
        <v>2016</v>
      </c>
      <c r="B1111" s="1" t="s">
        <v>11</v>
      </c>
      <c r="C1111" s="1" t="s">
        <v>9</v>
      </c>
      <c r="D1111" s="1" t="s">
        <v>37</v>
      </c>
      <c r="E1111" s="1">
        <v>636683940</v>
      </c>
      <c r="F1111" s="1">
        <v>15749809.02</v>
      </c>
      <c r="G1111" s="1">
        <v>946289</v>
      </c>
      <c r="H1111" s="1">
        <v>672.82187569999996</v>
      </c>
    </row>
    <row r="1112" spans="1:8" ht="15.75" thickBot="1" x14ac:dyDescent="0.3">
      <c r="A1112" s="1">
        <v>2014</v>
      </c>
      <c r="B1112" s="1" t="s">
        <v>8</v>
      </c>
      <c r="C1112" s="1" t="s">
        <v>28</v>
      </c>
      <c r="D1112" s="1" t="s">
        <v>29</v>
      </c>
      <c r="E1112" s="1">
        <v>850</v>
      </c>
      <c r="F1112" s="1">
        <v>26.47</v>
      </c>
      <c r="G1112" s="1">
        <v>6</v>
      </c>
      <c r="H1112" s="1">
        <v>141.66666670000001</v>
      </c>
    </row>
    <row r="1113" spans="1:8" ht="15.75" thickBot="1" x14ac:dyDescent="0.3">
      <c r="A1113" s="1">
        <v>2016</v>
      </c>
      <c r="B1113" s="1" t="s">
        <v>17</v>
      </c>
      <c r="C1113" s="1" t="s">
        <v>26</v>
      </c>
      <c r="D1113" s="1" t="s">
        <v>29</v>
      </c>
      <c r="E1113" s="1">
        <v>15639199.880000001</v>
      </c>
      <c r="F1113" s="1">
        <v>548946.73</v>
      </c>
      <c r="G1113" s="1">
        <v>54859</v>
      </c>
      <c r="H1113" s="1">
        <v>285.07992999999999</v>
      </c>
    </row>
    <row r="1114" spans="1:8" ht="15.75" thickBot="1" x14ac:dyDescent="0.3">
      <c r="A1114" s="1">
        <v>2014</v>
      </c>
      <c r="B1114" s="1" t="s">
        <v>17</v>
      </c>
      <c r="C1114" s="1" t="s">
        <v>23</v>
      </c>
      <c r="D1114" s="1" t="s">
        <v>22</v>
      </c>
      <c r="E1114" s="1">
        <v>423558.7</v>
      </c>
      <c r="F1114" s="1">
        <v>16333.81</v>
      </c>
      <c r="G1114" s="1">
        <v>24919</v>
      </c>
      <c r="H1114" s="1">
        <v>16.99741964</v>
      </c>
    </row>
    <row r="1115" spans="1:8" ht="15.75" thickBot="1" x14ac:dyDescent="0.3">
      <c r="A1115" s="1">
        <v>2016</v>
      </c>
      <c r="B1115" s="1" t="s">
        <v>12</v>
      </c>
      <c r="C1115" s="1" t="s">
        <v>15</v>
      </c>
      <c r="D1115" s="1" t="s">
        <v>24</v>
      </c>
      <c r="E1115" s="1">
        <v>4017593.56</v>
      </c>
      <c r="F1115" s="1">
        <v>122575.54</v>
      </c>
      <c r="G1115" s="1">
        <v>9079</v>
      </c>
      <c r="H1115" s="1">
        <v>442.51498620000001</v>
      </c>
    </row>
    <row r="1116" spans="1:8" ht="15.75" thickBot="1" x14ac:dyDescent="0.3">
      <c r="A1116" s="1">
        <v>2017</v>
      </c>
      <c r="B1116" s="1" t="s">
        <v>14</v>
      </c>
      <c r="C1116" s="1" t="s">
        <v>9</v>
      </c>
      <c r="D1116" s="1" t="s">
        <v>34</v>
      </c>
      <c r="E1116" s="1">
        <v>2853.21</v>
      </c>
      <c r="F1116" s="1">
        <v>108.65</v>
      </c>
      <c r="G1116" s="1">
        <v>137</v>
      </c>
      <c r="H1116" s="1">
        <v>20.826350359999999</v>
      </c>
    </row>
    <row r="1117" spans="1:8" ht="15.75" thickBot="1" x14ac:dyDescent="0.3">
      <c r="A1117" s="1">
        <v>2016</v>
      </c>
      <c r="B1117" s="1" t="s">
        <v>30</v>
      </c>
      <c r="C1117" s="1" t="s">
        <v>23</v>
      </c>
      <c r="D1117" s="1" t="s">
        <v>27</v>
      </c>
      <c r="E1117" s="1">
        <v>557606102.29999995</v>
      </c>
      <c r="F1117" s="1">
        <v>21811912.920000002</v>
      </c>
      <c r="G1117" s="1">
        <v>12932685</v>
      </c>
      <c r="H1117" s="1">
        <v>43.116035240000002</v>
      </c>
    </row>
    <row r="1118" spans="1:8" ht="15.75" thickBot="1" x14ac:dyDescent="0.3">
      <c r="A1118" s="1">
        <v>2016</v>
      </c>
      <c r="B1118" s="1" t="s">
        <v>8</v>
      </c>
      <c r="C1118" s="1" t="s">
        <v>33</v>
      </c>
      <c r="D1118" s="1" t="s">
        <v>24</v>
      </c>
      <c r="E1118" s="1">
        <v>470</v>
      </c>
      <c r="F1118" s="1">
        <v>13.93</v>
      </c>
      <c r="G1118" s="1">
        <v>1</v>
      </c>
      <c r="H1118" s="1">
        <v>470</v>
      </c>
    </row>
    <row r="1119" spans="1:8" ht="15.75" thickBot="1" x14ac:dyDescent="0.3">
      <c r="A1119" s="1">
        <v>2016</v>
      </c>
      <c r="B1119" s="1" t="s">
        <v>11</v>
      </c>
      <c r="C1119" s="1" t="s">
        <v>28</v>
      </c>
      <c r="D1119" s="1" t="s">
        <v>36</v>
      </c>
      <c r="E1119" s="1">
        <v>275303221</v>
      </c>
      <c r="F1119" s="1">
        <v>56606.27</v>
      </c>
      <c r="G1119" s="1">
        <v>622807</v>
      </c>
      <c r="H1119" s="1">
        <v>442.03617009999999</v>
      </c>
    </row>
    <row r="1120" spans="1:8" ht="15.75" thickBot="1" x14ac:dyDescent="0.3">
      <c r="A1120" s="1">
        <v>2017</v>
      </c>
      <c r="B1120" s="1" t="s">
        <v>17</v>
      </c>
      <c r="C1120" s="1" t="s">
        <v>28</v>
      </c>
      <c r="D1120" s="1" t="s">
        <v>22</v>
      </c>
      <c r="E1120" s="1">
        <v>1323533.6100000001</v>
      </c>
      <c r="F1120" s="1">
        <v>55251.040000000001</v>
      </c>
      <c r="G1120" s="1">
        <v>75179</v>
      </c>
      <c r="H1120" s="1">
        <v>17.605097300000001</v>
      </c>
    </row>
    <row r="1121" spans="1:8" ht="15.75" thickBot="1" x14ac:dyDescent="0.3">
      <c r="A1121" s="1">
        <v>2016</v>
      </c>
      <c r="B1121" s="1" t="s">
        <v>8</v>
      </c>
      <c r="C1121" s="1" t="s">
        <v>25</v>
      </c>
      <c r="D1121" s="1" t="s">
        <v>32</v>
      </c>
      <c r="E1121" s="1">
        <v>441.08</v>
      </c>
      <c r="F1121" s="1">
        <v>21.21</v>
      </c>
      <c r="G1121" s="1">
        <v>13</v>
      </c>
      <c r="H1121" s="1">
        <v>33.929230769999997</v>
      </c>
    </row>
    <row r="1122" spans="1:8" ht="15.75" thickBot="1" x14ac:dyDescent="0.3">
      <c r="A1122" s="1">
        <v>2017</v>
      </c>
      <c r="B1122" s="1" t="s">
        <v>16</v>
      </c>
      <c r="C1122" s="1" t="s">
        <v>18</v>
      </c>
      <c r="D1122" s="1" t="s">
        <v>32</v>
      </c>
      <c r="E1122" s="1">
        <v>42770966.079999998</v>
      </c>
      <c r="F1122" s="1">
        <v>1475362.57</v>
      </c>
      <c r="G1122" s="1">
        <v>549774</v>
      </c>
      <c r="H1122" s="1">
        <v>77.797360519999998</v>
      </c>
    </row>
    <row r="1123" spans="1:8" ht="15.75" thickBot="1" x14ac:dyDescent="0.3">
      <c r="A1123" s="1">
        <v>2017</v>
      </c>
      <c r="B1123" s="1" t="s">
        <v>16</v>
      </c>
      <c r="C1123" s="1" t="s">
        <v>25</v>
      </c>
      <c r="D1123" s="1" t="s">
        <v>31</v>
      </c>
      <c r="E1123" s="1">
        <v>11229700.24</v>
      </c>
      <c r="F1123" s="1">
        <v>411075.97</v>
      </c>
      <c r="G1123" s="1">
        <v>235089</v>
      </c>
      <c r="H1123" s="1">
        <v>47.76786766</v>
      </c>
    </row>
    <row r="1124" spans="1:8" ht="15.75" thickBot="1" x14ac:dyDescent="0.3">
      <c r="A1124" s="1">
        <v>2014</v>
      </c>
      <c r="B1124" s="1" t="s">
        <v>17</v>
      </c>
      <c r="C1124" s="1" t="s">
        <v>33</v>
      </c>
      <c r="D1124" s="1" t="s">
        <v>13</v>
      </c>
      <c r="E1124" s="1">
        <v>37135.019999999997</v>
      </c>
      <c r="F1124" s="1">
        <v>1124.93</v>
      </c>
      <c r="G1124" s="1">
        <v>640</v>
      </c>
      <c r="H1124" s="1">
        <v>58.023468749999999</v>
      </c>
    </row>
    <row r="1125" spans="1:8" ht="15.75" thickBot="1" x14ac:dyDescent="0.3">
      <c r="A1125" s="1">
        <v>2014</v>
      </c>
      <c r="B1125" s="1" t="s">
        <v>17</v>
      </c>
      <c r="C1125" s="1" t="s">
        <v>25</v>
      </c>
      <c r="D1125" s="1" t="s">
        <v>24</v>
      </c>
      <c r="E1125" s="1">
        <v>26707427.260000002</v>
      </c>
      <c r="F1125" s="1">
        <v>878186.26</v>
      </c>
      <c r="G1125" s="1">
        <v>122402</v>
      </c>
      <c r="H1125" s="1">
        <v>218.1943699</v>
      </c>
    </row>
    <row r="1126" spans="1:8" ht="15.75" thickBot="1" x14ac:dyDescent="0.3">
      <c r="A1126" s="1">
        <v>2017</v>
      </c>
      <c r="B1126" s="1" t="s">
        <v>16</v>
      </c>
      <c r="C1126" s="1" t="s">
        <v>15</v>
      </c>
      <c r="D1126" s="1" t="s">
        <v>22</v>
      </c>
      <c r="E1126" s="1">
        <v>78657.460000000006</v>
      </c>
      <c r="F1126" s="1">
        <v>2559.4899999999998</v>
      </c>
      <c r="G1126" s="1">
        <v>4405</v>
      </c>
      <c r="H1126" s="1">
        <v>17.856404090000002</v>
      </c>
    </row>
    <row r="1127" spans="1:8" ht="15.75" thickBot="1" x14ac:dyDescent="0.3">
      <c r="A1127" s="1">
        <v>2016</v>
      </c>
      <c r="B1127" s="1" t="s">
        <v>11</v>
      </c>
      <c r="C1127" s="1" t="s">
        <v>33</v>
      </c>
      <c r="D1127" s="1" t="s">
        <v>29</v>
      </c>
      <c r="E1127" s="1">
        <v>3732653.67</v>
      </c>
      <c r="F1127" s="1">
        <v>108901.01</v>
      </c>
      <c r="G1127" s="1">
        <v>8951</v>
      </c>
      <c r="H1127" s="1">
        <v>417.00968269999998</v>
      </c>
    </row>
    <row r="1128" spans="1:8" ht="15.75" thickBot="1" x14ac:dyDescent="0.3">
      <c r="A1128" s="1">
        <v>2015</v>
      </c>
      <c r="B1128" s="1" t="s">
        <v>30</v>
      </c>
      <c r="C1128" s="1" t="s">
        <v>9</v>
      </c>
      <c r="D1128" s="1" t="s">
        <v>32</v>
      </c>
      <c r="E1128" s="1">
        <v>62215645.270000003</v>
      </c>
      <c r="F1128" s="1">
        <v>2202486.09</v>
      </c>
      <c r="G1128" s="1">
        <v>938033</v>
      </c>
      <c r="H1128" s="1">
        <v>66.325646610000007</v>
      </c>
    </row>
    <row r="1129" spans="1:8" ht="15.75" thickBot="1" x14ac:dyDescent="0.3">
      <c r="A1129" s="1">
        <v>2017</v>
      </c>
      <c r="B1129" s="1" t="s">
        <v>17</v>
      </c>
      <c r="C1129" s="1" t="s">
        <v>21</v>
      </c>
      <c r="D1129" s="1" t="s">
        <v>32</v>
      </c>
      <c r="E1129" s="1">
        <v>249124363.90000001</v>
      </c>
      <c r="F1129" s="1">
        <v>8991901.5399999991</v>
      </c>
      <c r="G1129" s="1">
        <v>4426367</v>
      </c>
      <c r="H1129" s="1">
        <v>56.28190429</v>
      </c>
    </row>
    <row r="1130" spans="1:8" ht="15.75" thickBot="1" x14ac:dyDescent="0.3">
      <c r="A1130" s="1">
        <v>2014</v>
      </c>
      <c r="B1130" s="1" t="s">
        <v>40</v>
      </c>
      <c r="C1130" s="1" t="s">
        <v>9</v>
      </c>
      <c r="D1130" s="1" t="s">
        <v>32</v>
      </c>
      <c r="E1130" s="1">
        <v>1054.56</v>
      </c>
      <c r="F1130" s="1">
        <v>55.39</v>
      </c>
      <c r="G1130" s="1">
        <v>43</v>
      </c>
      <c r="H1130" s="1">
        <v>24.524651160000001</v>
      </c>
    </row>
    <row r="1131" spans="1:8" ht="15.75" thickBot="1" x14ac:dyDescent="0.3">
      <c r="A1131" s="1">
        <v>2016</v>
      </c>
      <c r="B1131" s="1" t="s">
        <v>8</v>
      </c>
      <c r="C1131" s="1" t="s">
        <v>21</v>
      </c>
      <c r="D1131" s="1" t="s">
        <v>19</v>
      </c>
      <c r="E1131" s="1">
        <v>2169.21</v>
      </c>
      <c r="F1131" s="1">
        <v>54.55</v>
      </c>
      <c r="G1131" s="1">
        <v>15</v>
      </c>
      <c r="H1131" s="1">
        <v>144.614</v>
      </c>
    </row>
    <row r="1132" spans="1:8" ht="15.75" thickBot="1" x14ac:dyDescent="0.3">
      <c r="A1132" s="1">
        <v>2016</v>
      </c>
      <c r="B1132" s="1" t="s">
        <v>11</v>
      </c>
      <c r="C1132" s="1" t="s">
        <v>28</v>
      </c>
      <c r="D1132" s="1" t="s">
        <v>10</v>
      </c>
      <c r="E1132" s="1">
        <v>328905681.60000002</v>
      </c>
      <c r="F1132" s="1">
        <v>7306520.6799999997</v>
      </c>
      <c r="G1132" s="1">
        <v>3931652</v>
      </c>
      <c r="H1132" s="1">
        <v>83.655847870000002</v>
      </c>
    </row>
    <row r="1133" spans="1:8" ht="15.75" thickBot="1" x14ac:dyDescent="0.3">
      <c r="A1133" s="1">
        <v>2015</v>
      </c>
      <c r="B1133" s="1" t="s">
        <v>17</v>
      </c>
      <c r="C1133" s="1" t="s">
        <v>23</v>
      </c>
      <c r="D1133" s="1" t="s">
        <v>32</v>
      </c>
      <c r="E1133" s="1">
        <v>50692285.469999999</v>
      </c>
      <c r="F1133" s="1">
        <v>1918090.76</v>
      </c>
      <c r="G1133" s="1">
        <v>1035698</v>
      </c>
      <c r="H1133" s="1">
        <v>48.945045239999999</v>
      </c>
    </row>
    <row r="1134" spans="1:8" ht="15.75" thickBot="1" x14ac:dyDescent="0.3">
      <c r="A1134" s="1">
        <v>2017</v>
      </c>
      <c r="B1134" s="1" t="s">
        <v>35</v>
      </c>
      <c r="C1134" s="1" t="s">
        <v>9</v>
      </c>
      <c r="D1134" s="1" t="s">
        <v>27</v>
      </c>
      <c r="E1134" s="1">
        <v>2275.62</v>
      </c>
      <c r="F1134" s="1">
        <v>117.83</v>
      </c>
      <c r="G1134" s="1">
        <v>101</v>
      </c>
      <c r="H1134" s="1">
        <v>22.530891090000001</v>
      </c>
    </row>
    <row r="1135" spans="1:8" ht="15.75" thickBot="1" x14ac:dyDescent="0.3">
      <c r="A1135" s="1">
        <v>2014</v>
      </c>
      <c r="B1135" s="1" t="s">
        <v>16</v>
      </c>
      <c r="C1135" s="1" t="s">
        <v>23</v>
      </c>
      <c r="D1135" s="1" t="s">
        <v>32</v>
      </c>
      <c r="E1135" s="1">
        <v>30837313.260000002</v>
      </c>
      <c r="F1135" s="1">
        <v>1236925.32</v>
      </c>
      <c r="G1135" s="1">
        <v>706170</v>
      </c>
      <c r="H1135" s="1">
        <v>43.668398910000001</v>
      </c>
    </row>
    <row r="1136" spans="1:8" ht="15.75" thickBot="1" x14ac:dyDescent="0.3">
      <c r="A1136" s="1">
        <v>2015</v>
      </c>
      <c r="B1136" s="1" t="s">
        <v>12</v>
      </c>
      <c r="C1136" s="1" t="s">
        <v>26</v>
      </c>
      <c r="D1136" s="1" t="s">
        <v>22</v>
      </c>
      <c r="E1136" s="1">
        <v>638.54999999999995</v>
      </c>
      <c r="F1136" s="1">
        <v>15.95</v>
      </c>
      <c r="G1136" s="1">
        <v>55</v>
      </c>
      <c r="H1136" s="1">
        <v>11.61</v>
      </c>
    </row>
    <row r="1137" spans="1:8" ht="15.75" thickBot="1" x14ac:dyDescent="0.3">
      <c r="A1137" s="1">
        <v>2014</v>
      </c>
      <c r="B1137" s="1" t="s">
        <v>12</v>
      </c>
      <c r="C1137" s="1" t="s">
        <v>12</v>
      </c>
      <c r="D1137" s="1" t="s">
        <v>29</v>
      </c>
      <c r="E1137" s="1">
        <v>2760960.64</v>
      </c>
      <c r="F1137" s="1">
        <v>86499.02</v>
      </c>
      <c r="G1137" s="1">
        <v>7270</v>
      </c>
      <c r="H1137" s="1">
        <v>379.77450340000001</v>
      </c>
    </row>
    <row r="1138" spans="1:8" ht="15.75" thickBot="1" x14ac:dyDescent="0.3">
      <c r="A1138" s="1">
        <v>2015</v>
      </c>
      <c r="B1138" s="1" t="s">
        <v>14</v>
      </c>
      <c r="C1138" s="1" t="s">
        <v>9</v>
      </c>
      <c r="D1138" s="1" t="s">
        <v>29</v>
      </c>
      <c r="E1138" s="1">
        <v>26769324.140000001</v>
      </c>
      <c r="F1138" s="1">
        <v>842721.74</v>
      </c>
      <c r="G1138" s="1">
        <v>94871</v>
      </c>
      <c r="H1138" s="1">
        <v>282.16551040000002</v>
      </c>
    </row>
    <row r="1139" spans="1:8" ht="15.75" thickBot="1" x14ac:dyDescent="0.3">
      <c r="A1139" s="1">
        <v>2016</v>
      </c>
      <c r="B1139" s="1" t="s">
        <v>20</v>
      </c>
      <c r="C1139" s="1" t="s">
        <v>25</v>
      </c>
      <c r="D1139" s="1" t="s">
        <v>24</v>
      </c>
      <c r="E1139" s="1">
        <v>989623.42</v>
      </c>
      <c r="F1139" s="1">
        <v>34894.550000000003</v>
      </c>
      <c r="G1139" s="1">
        <v>11426</v>
      </c>
      <c r="H1139" s="1">
        <v>86.611536849999993</v>
      </c>
    </row>
    <row r="1140" spans="1:8" ht="15.75" thickBot="1" x14ac:dyDescent="0.3">
      <c r="A1140" s="1">
        <v>2015</v>
      </c>
      <c r="B1140" s="1" t="s">
        <v>14</v>
      </c>
      <c r="C1140" s="1" t="s">
        <v>12</v>
      </c>
      <c r="D1140" s="1" t="s">
        <v>32</v>
      </c>
      <c r="E1140" s="1">
        <v>66156097.340000004</v>
      </c>
      <c r="F1140" s="1">
        <v>2521791.21</v>
      </c>
      <c r="G1140" s="1">
        <v>1263919</v>
      </c>
      <c r="H1140" s="1">
        <v>52.342038799999997</v>
      </c>
    </row>
    <row r="1141" spans="1:8" ht="15.75" thickBot="1" x14ac:dyDescent="0.3">
      <c r="A1141" s="1">
        <v>2016</v>
      </c>
      <c r="B1141" s="1" t="s">
        <v>17</v>
      </c>
      <c r="C1141" s="1" t="s">
        <v>28</v>
      </c>
      <c r="D1141" s="1" t="s">
        <v>27</v>
      </c>
      <c r="E1141" s="1">
        <v>538605488.79999995</v>
      </c>
      <c r="F1141" s="1">
        <v>16717620.210000001</v>
      </c>
      <c r="G1141" s="1">
        <v>5516017</v>
      </c>
      <c r="H1141" s="1">
        <v>97.643913859999998</v>
      </c>
    </row>
    <row r="1142" spans="1:8" ht="15.75" thickBot="1" x14ac:dyDescent="0.3">
      <c r="A1142" s="1">
        <v>2017</v>
      </c>
      <c r="B1142" s="1" t="s">
        <v>17</v>
      </c>
      <c r="C1142" s="1" t="s">
        <v>23</v>
      </c>
      <c r="D1142" s="1" t="s">
        <v>22</v>
      </c>
      <c r="E1142" s="1">
        <v>652161.75</v>
      </c>
      <c r="F1142" s="1">
        <v>27102.560000000001</v>
      </c>
      <c r="G1142" s="1">
        <v>41827</v>
      </c>
      <c r="H1142" s="1">
        <v>15.59188443</v>
      </c>
    </row>
    <row r="1143" spans="1:8" ht="15.75" thickBot="1" x14ac:dyDescent="0.3">
      <c r="A1143" s="1">
        <v>2016</v>
      </c>
      <c r="B1143" s="1" t="s">
        <v>12</v>
      </c>
      <c r="C1143" s="1" t="s">
        <v>23</v>
      </c>
      <c r="D1143" s="1" t="s">
        <v>13</v>
      </c>
      <c r="E1143" s="1">
        <v>58169.71</v>
      </c>
      <c r="F1143" s="1">
        <v>2179.04</v>
      </c>
      <c r="G1143" s="1">
        <v>5122</v>
      </c>
      <c r="H1143" s="1">
        <v>11.356835220000001</v>
      </c>
    </row>
    <row r="1144" spans="1:8" ht="15.75" thickBot="1" x14ac:dyDescent="0.3">
      <c r="A1144" s="1">
        <v>2014</v>
      </c>
      <c r="B1144" s="1" t="s">
        <v>11</v>
      </c>
      <c r="C1144" s="1" t="s">
        <v>28</v>
      </c>
      <c r="D1144" s="1" t="s">
        <v>36</v>
      </c>
      <c r="E1144" s="1">
        <v>99496096.5</v>
      </c>
      <c r="F1144" s="1">
        <v>23550.27</v>
      </c>
      <c r="G1144" s="1">
        <v>210930</v>
      </c>
      <c r="H1144" s="1">
        <v>471.70196979999997</v>
      </c>
    </row>
    <row r="1145" spans="1:8" ht="15.75" thickBot="1" x14ac:dyDescent="0.3">
      <c r="A1145" s="1">
        <v>2014</v>
      </c>
      <c r="B1145" s="1" t="s">
        <v>11</v>
      </c>
      <c r="C1145" s="1" t="s">
        <v>18</v>
      </c>
      <c r="D1145" s="1" t="s">
        <v>32</v>
      </c>
      <c r="E1145" s="1">
        <v>9394521.7400000002</v>
      </c>
      <c r="F1145" s="1">
        <v>278189.42</v>
      </c>
      <c r="G1145" s="1">
        <v>140580</v>
      </c>
      <c r="H1145" s="1">
        <v>66.826872530000003</v>
      </c>
    </row>
    <row r="1146" spans="1:8" ht="15.75" thickBot="1" x14ac:dyDescent="0.3">
      <c r="A1146" s="1">
        <v>2015</v>
      </c>
      <c r="B1146" s="1" t="s">
        <v>35</v>
      </c>
      <c r="C1146" s="1" t="s">
        <v>23</v>
      </c>
      <c r="D1146" s="1" t="s">
        <v>19</v>
      </c>
      <c r="E1146" s="1">
        <v>-3368.2</v>
      </c>
      <c r="F1146" s="1">
        <v>87.09</v>
      </c>
      <c r="G1146" s="1">
        <v>235</v>
      </c>
      <c r="H1146" s="1">
        <v>-14.33276596</v>
      </c>
    </row>
    <row r="1147" spans="1:8" ht="15.75" thickBot="1" x14ac:dyDescent="0.3">
      <c r="A1147" s="1">
        <v>2015</v>
      </c>
      <c r="B1147" s="1" t="s">
        <v>8</v>
      </c>
      <c r="C1147" s="1" t="s">
        <v>21</v>
      </c>
      <c r="D1147" s="1" t="s">
        <v>32</v>
      </c>
      <c r="E1147" s="1">
        <v>291.07</v>
      </c>
      <c r="F1147" s="1">
        <v>11.62</v>
      </c>
      <c r="G1147" s="1">
        <v>11</v>
      </c>
      <c r="H1147" s="1">
        <v>26.460909090000001</v>
      </c>
    </row>
    <row r="1148" spans="1:8" ht="15.75" thickBot="1" x14ac:dyDescent="0.3">
      <c r="A1148" s="1">
        <v>2017</v>
      </c>
      <c r="B1148" s="1" t="s">
        <v>14</v>
      </c>
      <c r="C1148" s="1" t="s">
        <v>12</v>
      </c>
      <c r="D1148" s="1" t="s">
        <v>31</v>
      </c>
      <c r="E1148" s="1">
        <v>788228.83</v>
      </c>
      <c r="F1148" s="1">
        <v>32106.12</v>
      </c>
      <c r="G1148" s="1">
        <v>17933</v>
      </c>
      <c r="H1148" s="1">
        <v>43.954097470000001</v>
      </c>
    </row>
    <row r="1149" spans="1:8" ht="15.75" thickBot="1" x14ac:dyDescent="0.3">
      <c r="A1149" s="1">
        <v>2016</v>
      </c>
      <c r="B1149" s="1" t="s">
        <v>30</v>
      </c>
      <c r="C1149" s="1" t="s">
        <v>33</v>
      </c>
      <c r="D1149" s="1" t="s">
        <v>27</v>
      </c>
      <c r="E1149" s="1">
        <v>525622343.10000002</v>
      </c>
      <c r="F1149" s="1">
        <v>18715660.75</v>
      </c>
      <c r="G1149" s="1">
        <v>7341950</v>
      </c>
      <c r="H1149" s="1">
        <v>71.591653870000002</v>
      </c>
    </row>
    <row r="1150" spans="1:8" ht="15.75" thickBot="1" x14ac:dyDescent="0.3">
      <c r="A1150" s="1">
        <v>2015</v>
      </c>
      <c r="B1150" s="1" t="s">
        <v>16</v>
      </c>
      <c r="C1150" s="1" t="s">
        <v>26</v>
      </c>
      <c r="D1150" s="1" t="s">
        <v>27</v>
      </c>
      <c r="E1150" s="1">
        <v>619739904.89999998</v>
      </c>
      <c r="F1150" s="1">
        <v>25239932.550000001</v>
      </c>
      <c r="G1150" s="1">
        <v>13374358</v>
      </c>
      <c r="H1150" s="1">
        <v>46.337918049999999</v>
      </c>
    </row>
    <row r="1151" spans="1:8" ht="15.75" thickBot="1" x14ac:dyDescent="0.3">
      <c r="A1151" s="1">
        <v>2015</v>
      </c>
      <c r="B1151" s="1" t="s">
        <v>30</v>
      </c>
      <c r="C1151" s="1" t="s">
        <v>15</v>
      </c>
      <c r="D1151" s="1" t="s">
        <v>13</v>
      </c>
      <c r="E1151" s="1">
        <v>520982.88</v>
      </c>
      <c r="F1151" s="1">
        <v>14555.69</v>
      </c>
      <c r="G1151" s="1">
        <v>5861</v>
      </c>
      <c r="H1151" s="1">
        <v>88.889759429999998</v>
      </c>
    </row>
    <row r="1152" spans="1:8" ht="15.75" thickBot="1" x14ac:dyDescent="0.3">
      <c r="A1152" s="1">
        <v>2017</v>
      </c>
      <c r="B1152" s="1" t="s">
        <v>12</v>
      </c>
      <c r="C1152" s="1" t="s">
        <v>28</v>
      </c>
      <c r="D1152" s="1" t="s">
        <v>27</v>
      </c>
      <c r="E1152" s="1">
        <v>17385900.620000001</v>
      </c>
      <c r="F1152" s="1">
        <v>607120.4</v>
      </c>
      <c r="G1152" s="1">
        <v>253193</v>
      </c>
      <c r="H1152" s="1">
        <v>68.66659276</v>
      </c>
    </row>
    <row r="1153" spans="1:8" ht="15.75" thickBot="1" x14ac:dyDescent="0.3">
      <c r="A1153" s="1">
        <v>2015</v>
      </c>
      <c r="B1153" s="1" t="s">
        <v>35</v>
      </c>
      <c r="C1153" s="1" t="s">
        <v>15</v>
      </c>
      <c r="D1153" s="1" t="s">
        <v>13</v>
      </c>
      <c r="E1153" s="1">
        <v>579</v>
      </c>
      <c r="F1153" s="1">
        <v>22.34</v>
      </c>
      <c r="G1153" s="1">
        <v>7</v>
      </c>
      <c r="H1153" s="1">
        <v>82.714285709999999</v>
      </c>
    </row>
    <row r="1154" spans="1:8" ht="15.75" thickBot="1" x14ac:dyDescent="0.3">
      <c r="A1154" s="1">
        <v>2016</v>
      </c>
      <c r="B1154" s="1" t="s">
        <v>40</v>
      </c>
      <c r="C1154" s="1" t="s">
        <v>26</v>
      </c>
      <c r="D1154" s="1" t="s">
        <v>32</v>
      </c>
      <c r="E1154" s="1">
        <v>1127.42</v>
      </c>
      <c r="F1154" s="1">
        <v>54.39</v>
      </c>
      <c r="G1154" s="1">
        <v>46</v>
      </c>
      <c r="H1154" s="1">
        <v>24.509130429999999</v>
      </c>
    </row>
    <row r="1155" spans="1:8" ht="15.75" thickBot="1" x14ac:dyDescent="0.3">
      <c r="A1155" s="1">
        <v>2017</v>
      </c>
      <c r="B1155" s="1" t="s">
        <v>14</v>
      </c>
      <c r="C1155" s="1" t="s">
        <v>23</v>
      </c>
      <c r="D1155" s="1" t="s">
        <v>32</v>
      </c>
      <c r="E1155" s="1">
        <v>35669414.640000001</v>
      </c>
      <c r="F1155" s="1">
        <v>1547037.83</v>
      </c>
      <c r="G1155" s="1">
        <v>1172357</v>
      </c>
      <c r="H1155" s="1">
        <v>30.425386329999998</v>
      </c>
    </row>
    <row r="1156" spans="1:8" ht="15.75" thickBot="1" x14ac:dyDescent="0.3">
      <c r="A1156" s="1">
        <v>2016</v>
      </c>
      <c r="B1156" s="1" t="s">
        <v>17</v>
      </c>
      <c r="C1156" s="1" t="s">
        <v>23</v>
      </c>
      <c r="D1156" s="1" t="s">
        <v>24</v>
      </c>
      <c r="E1156" s="1">
        <v>19145313.239999998</v>
      </c>
      <c r="F1156" s="1">
        <v>647349.67000000004</v>
      </c>
      <c r="G1156" s="1">
        <v>91917</v>
      </c>
      <c r="H1156" s="1">
        <v>208.2891439</v>
      </c>
    </row>
    <row r="1157" spans="1:8" ht="15.75" thickBot="1" x14ac:dyDescent="0.3">
      <c r="A1157" s="1">
        <v>2017</v>
      </c>
      <c r="B1157" s="1" t="s">
        <v>20</v>
      </c>
      <c r="C1157" s="1" t="s">
        <v>9</v>
      </c>
      <c r="D1157" s="1" t="s">
        <v>31</v>
      </c>
      <c r="E1157" s="1">
        <v>131.46</v>
      </c>
      <c r="F1157" s="1">
        <v>11.07</v>
      </c>
      <c r="G1157" s="1">
        <v>110</v>
      </c>
      <c r="H1157" s="1">
        <v>1.1950909089999999</v>
      </c>
    </row>
    <row r="1158" spans="1:8" ht="15.75" thickBot="1" x14ac:dyDescent="0.3">
      <c r="A1158" s="1">
        <v>2014</v>
      </c>
      <c r="B1158" s="1" t="s">
        <v>20</v>
      </c>
      <c r="C1158" s="1" t="s">
        <v>12</v>
      </c>
      <c r="D1158" s="1" t="s">
        <v>29</v>
      </c>
      <c r="E1158" s="1">
        <v>799210.57</v>
      </c>
      <c r="F1158" s="1">
        <v>26950.11</v>
      </c>
      <c r="G1158" s="1">
        <v>6579</v>
      </c>
      <c r="H1158" s="1">
        <v>121.47903479999999</v>
      </c>
    </row>
    <row r="1159" spans="1:8" ht="15.75" thickBot="1" x14ac:dyDescent="0.3">
      <c r="A1159" s="1">
        <v>2017</v>
      </c>
      <c r="B1159" s="1" t="s">
        <v>35</v>
      </c>
      <c r="C1159" s="1" t="s">
        <v>26</v>
      </c>
      <c r="D1159" s="1" t="s">
        <v>24</v>
      </c>
      <c r="E1159" s="1">
        <v>1027.1500000000001</v>
      </c>
      <c r="F1159" s="1">
        <v>130.84</v>
      </c>
      <c r="G1159" s="1">
        <v>25</v>
      </c>
      <c r="H1159" s="1">
        <v>41.085999999999999</v>
      </c>
    </row>
    <row r="1160" spans="1:8" ht="15.75" thickBot="1" x14ac:dyDescent="0.3">
      <c r="A1160" s="1">
        <v>2017</v>
      </c>
      <c r="B1160" s="1" t="s">
        <v>35</v>
      </c>
      <c r="C1160" s="1" t="s">
        <v>33</v>
      </c>
      <c r="D1160" s="1" t="s">
        <v>29</v>
      </c>
      <c r="E1160" s="1">
        <v>1203.82</v>
      </c>
      <c r="F1160" s="1">
        <v>39.49</v>
      </c>
      <c r="G1160" s="1">
        <v>27</v>
      </c>
      <c r="H1160" s="1">
        <v>44.585925930000002</v>
      </c>
    </row>
    <row r="1161" spans="1:8" ht="15.75" thickBot="1" x14ac:dyDescent="0.3">
      <c r="A1161" s="1">
        <v>2014</v>
      </c>
      <c r="B1161" s="1" t="s">
        <v>14</v>
      </c>
      <c r="C1161" s="1" t="s">
        <v>33</v>
      </c>
      <c r="D1161" s="1" t="s">
        <v>27</v>
      </c>
      <c r="E1161" s="1">
        <v>226340148.69999999</v>
      </c>
      <c r="F1161" s="1">
        <v>9399160.6899999995</v>
      </c>
      <c r="G1161" s="1">
        <v>6783232</v>
      </c>
      <c r="H1161" s="1">
        <v>33.367596560000003</v>
      </c>
    </row>
    <row r="1162" spans="1:8" ht="15.75" thickBot="1" x14ac:dyDescent="0.3">
      <c r="A1162" s="1">
        <v>2014</v>
      </c>
      <c r="B1162" s="1" t="s">
        <v>8</v>
      </c>
      <c r="C1162" s="1" t="s">
        <v>18</v>
      </c>
      <c r="D1162" s="1" t="s">
        <v>32</v>
      </c>
      <c r="E1162" s="1">
        <v>310.69</v>
      </c>
      <c r="F1162" s="1">
        <v>16.82</v>
      </c>
      <c r="G1162" s="1">
        <v>4</v>
      </c>
      <c r="H1162" s="1">
        <v>77.672499999999999</v>
      </c>
    </row>
    <row r="1163" spans="1:8" ht="15.75" thickBot="1" x14ac:dyDescent="0.3">
      <c r="A1163" s="1">
        <v>2014</v>
      </c>
      <c r="B1163" s="1" t="s">
        <v>12</v>
      </c>
      <c r="C1163" s="1" t="s">
        <v>33</v>
      </c>
      <c r="D1163" s="1" t="s">
        <v>13</v>
      </c>
      <c r="E1163" s="1">
        <v>5579.58</v>
      </c>
      <c r="F1163" s="1">
        <v>177.43</v>
      </c>
      <c r="G1163" s="1">
        <v>103</v>
      </c>
      <c r="H1163" s="1">
        <v>54.170679610000001</v>
      </c>
    </row>
    <row r="1164" spans="1:8" ht="15.75" thickBot="1" x14ac:dyDescent="0.3">
      <c r="A1164" s="1">
        <v>2016</v>
      </c>
      <c r="B1164" s="1" t="s">
        <v>11</v>
      </c>
      <c r="C1164" s="1" t="s">
        <v>28</v>
      </c>
      <c r="D1164" s="1" t="s">
        <v>13</v>
      </c>
      <c r="E1164" s="1">
        <v>594944.03</v>
      </c>
      <c r="F1164" s="1">
        <v>17074.78</v>
      </c>
      <c r="G1164" s="1">
        <v>47950</v>
      </c>
      <c r="H1164" s="1">
        <v>12.407591869999999</v>
      </c>
    </row>
    <row r="1165" spans="1:8" ht="15.75" thickBot="1" x14ac:dyDescent="0.3">
      <c r="A1165" s="1">
        <v>2015</v>
      </c>
      <c r="B1165" s="1" t="s">
        <v>14</v>
      </c>
      <c r="C1165" s="1" t="s">
        <v>28</v>
      </c>
      <c r="D1165" s="1" t="s">
        <v>22</v>
      </c>
      <c r="E1165" s="1">
        <v>9924.9</v>
      </c>
      <c r="F1165" s="1">
        <v>284.83</v>
      </c>
      <c r="G1165" s="1">
        <v>523</v>
      </c>
      <c r="H1165" s="1">
        <v>18.976864240000001</v>
      </c>
    </row>
    <row r="1166" spans="1:8" ht="15.75" thickBot="1" x14ac:dyDescent="0.3">
      <c r="A1166" s="1">
        <v>2014</v>
      </c>
      <c r="B1166" s="1" t="s">
        <v>17</v>
      </c>
      <c r="C1166" s="1" t="s">
        <v>15</v>
      </c>
      <c r="D1166" s="1" t="s">
        <v>19</v>
      </c>
      <c r="E1166" s="1">
        <v>14630056.199999999</v>
      </c>
      <c r="F1166" s="1">
        <v>487106.29</v>
      </c>
      <c r="G1166" s="1">
        <v>79762</v>
      </c>
      <c r="H1166" s="1">
        <v>183.42138109999999</v>
      </c>
    </row>
    <row r="1167" spans="1:8" ht="15.75" thickBot="1" x14ac:dyDescent="0.3">
      <c r="A1167" s="1">
        <v>2015</v>
      </c>
      <c r="B1167" s="1" t="s">
        <v>17</v>
      </c>
      <c r="C1167" s="1" t="s">
        <v>26</v>
      </c>
      <c r="D1167" s="1" t="s">
        <v>32</v>
      </c>
      <c r="E1167" s="1">
        <v>86660703.069999993</v>
      </c>
      <c r="F1167" s="1">
        <v>3245546.4</v>
      </c>
      <c r="G1167" s="1">
        <v>1748120</v>
      </c>
      <c r="H1167" s="1">
        <v>49.573658029999997</v>
      </c>
    </row>
    <row r="1168" spans="1:8" ht="15.75" thickBot="1" x14ac:dyDescent="0.3">
      <c r="A1168" s="1">
        <v>2014</v>
      </c>
      <c r="B1168" s="1" t="s">
        <v>16</v>
      </c>
      <c r="C1168" s="1" t="s">
        <v>26</v>
      </c>
      <c r="D1168" s="1" t="s">
        <v>32</v>
      </c>
      <c r="E1168" s="1">
        <v>50949995.409999996</v>
      </c>
      <c r="F1168" s="1">
        <v>2011211.22</v>
      </c>
      <c r="G1168" s="1">
        <v>1075453</v>
      </c>
      <c r="H1168" s="1">
        <v>47.375380800000002</v>
      </c>
    </row>
    <row r="1169" spans="1:8" ht="15.75" thickBot="1" x14ac:dyDescent="0.3">
      <c r="A1169" s="1">
        <v>2017</v>
      </c>
      <c r="B1169" s="1" t="s">
        <v>12</v>
      </c>
      <c r="C1169" s="1" t="s">
        <v>23</v>
      </c>
      <c r="D1169" s="1" t="s">
        <v>32</v>
      </c>
      <c r="E1169" s="1">
        <v>2898366.7</v>
      </c>
      <c r="F1169" s="1">
        <v>113025.54</v>
      </c>
      <c r="G1169" s="1">
        <v>69545</v>
      </c>
      <c r="H1169" s="1">
        <v>41.676133440000001</v>
      </c>
    </row>
    <row r="1170" spans="1:8" ht="15.75" thickBot="1" x14ac:dyDescent="0.3">
      <c r="A1170" s="1">
        <v>2014</v>
      </c>
      <c r="B1170" s="1" t="s">
        <v>30</v>
      </c>
      <c r="C1170" s="1" t="s">
        <v>33</v>
      </c>
      <c r="D1170" s="1" t="s">
        <v>19</v>
      </c>
      <c r="E1170" s="1">
        <v>236675628.90000001</v>
      </c>
      <c r="F1170" s="1">
        <v>6323186.96</v>
      </c>
      <c r="G1170" s="1">
        <v>1579056</v>
      </c>
      <c r="H1170" s="1">
        <v>149.88425290000001</v>
      </c>
    </row>
    <row r="1171" spans="1:8" ht="15.75" thickBot="1" x14ac:dyDescent="0.3">
      <c r="A1171" s="1">
        <v>2016</v>
      </c>
      <c r="B1171" s="1" t="s">
        <v>11</v>
      </c>
      <c r="C1171" s="1" t="s">
        <v>15</v>
      </c>
      <c r="D1171" s="1" t="s">
        <v>10</v>
      </c>
      <c r="E1171" s="1">
        <v>209330003.69999999</v>
      </c>
      <c r="F1171" s="1">
        <v>4456350.5199999996</v>
      </c>
      <c r="G1171" s="1">
        <v>2870630</v>
      </c>
      <c r="H1171" s="1">
        <v>72.921276410000004</v>
      </c>
    </row>
    <row r="1172" spans="1:8" ht="15.75" thickBot="1" x14ac:dyDescent="0.3">
      <c r="A1172" s="1">
        <v>2017</v>
      </c>
      <c r="B1172" s="1" t="s">
        <v>20</v>
      </c>
      <c r="C1172" s="1" t="s">
        <v>25</v>
      </c>
      <c r="D1172" s="1" t="s">
        <v>22</v>
      </c>
      <c r="E1172" s="1">
        <v>550.64</v>
      </c>
      <c r="F1172" s="1">
        <v>22.26</v>
      </c>
      <c r="G1172" s="1">
        <v>41</v>
      </c>
      <c r="H1172" s="1">
        <v>13.430243900000001</v>
      </c>
    </row>
    <row r="1173" spans="1:8" ht="15.75" thickBot="1" x14ac:dyDescent="0.3">
      <c r="A1173" s="1">
        <v>2017</v>
      </c>
      <c r="B1173" s="1" t="s">
        <v>30</v>
      </c>
      <c r="C1173" s="1" t="s">
        <v>28</v>
      </c>
      <c r="D1173" s="1" t="s">
        <v>31</v>
      </c>
      <c r="E1173" s="1">
        <v>311.98</v>
      </c>
      <c r="F1173" s="1">
        <v>11.98</v>
      </c>
      <c r="G1173" s="1">
        <v>11</v>
      </c>
      <c r="H1173" s="1">
        <v>28.36181818</v>
      </c>
    </row>
    <row r="1174" spans="1:8" ht="15.75" thickBot="1" x14ac:dyDescent="0.3">
      <c r="A1174" s="1">
        <v>2016</v>
      </c>
      <c r="B1174" s="1" t="s">
        <v>16</v>
      </c>
      <c r="C1174" s="1" t="s">
        <v>21</v>
      </c>
      <c r="D1174" s="1" t="s">
        <v>22</v>
      </c>
      <c r="E1174" s="1">
        <v>268780.64</v>
      </c>
      <c r="F1174" s="1">
        <v>7783.85</v>
      </c>
      <c r="G1174" s="1">
        <v>14950</v>
      </c>
      <c r="H1174" s="1">
        <v>17.97863813</v>
      </c>
    </row>
    <row r="1175" spans="1:8" ht="15.75" thickBot="1" x14ac:dyDescent="0.3">
      <c r="A1175" s="1">
        <v>2016</v>
      </c>
      <c r="B1175" s="1" t="s">
        <v>30</v>
      </c>
      <c r="C1175" s="1" t="s">
        <v>26</v>
      </c>
      <c r="D1175" s="1" t="s">
        <v>19</v>
      </c>
      <c r="E1175" s="1">
        <v>182663423.59999999</v>
      </c>
      <c r="F1175" s="1">
        <v>5055075.1399999997</v>
      </c>
      <c r="G1175" s="1">
        <v>1635736</v>
      </c>
      <c r="H1175" s="1">
        <v>111.67047959999999</v>
      </c>
    </row>
    <row r="1176" spans="1:8" ht="15.75" thickBot="1" x14ac:dyDescent="0.3">
      <c r="A1176" s="1">
        <v>2016</v>
      </c>
      <c r="B1176" s="1" t="s">
        <v>11</v>
      </c>
      <c r="C1176" s="1" t="s">
        <v>12</v>
      </c>
      <c r="D1176" s="1" t="s">
        <v>19</v>
      </c>
      <c r="E1176" s="1">
        <v>2815438.19</v>
      </c>
      <c r="F1176" s="1">
        <v>104581.43</v>
      </c>
      <c r="G1176" s="1">
        <v>25459</v>
      </c>
      <c r="H1176" s="1">
        <v>110.58714759999999</v>
      </c>
    </row>
    <row r="1177" spans="1:8" ht="15.75" thickBot="1" x14ac:dyDescent="0.3">
      <c r="A1177" s="1">
        <v>2015</v>
      </c>
      <c r="B1177" s="1" t="s">
        <v>17</v>
      </c>
      <c r="C1177" s="1" t="s">
        <v>12</v>
      </c>
      <c r="D1177" s="1" t="s">
        <v>24</v>
      </c>
      <c r="E1177" s="1">
        <v>13171260.66</v>
      </c>
      <c r="F1177" s="1">
        <v>491363.97</v>
      </c>
      <c r="G1177" s="1">
        <v>61077</v>
      </c>
      <c r="H1177" s="1">
        <v>215.65009190000001</v>
      </c>
    </row>
    <row r="1178" spans="1:8" ht="15.75" thickBot="1" x14ac:dyDescent="0.3">
      <c r="A1178" s="1">
        <v>2017</v>
      </c>
      <c r="B1178" s="1" t="s">
        <v>14</v>
      </c>
      <c r="C1178" s="1" t="s">
        <v>26</v>
      </c>
      <c r="D1178" s="1" t="s">
        <v>13</v>
      </c>
      <c r="E1178" s="1">
        <v>7734120.9800000004</v>
      </c>
      <c r="F1178" s="1">
        <v>297687.98</v>
      </c>
      <c r="G1178" s="1">
        <v>318480</v>
      </c>
      <c r="H1178" s="1">
        <v>24.284479340000001</v>
      </c>
    </row>
    <row r="1179" spans="1:8" ht="15.75" thickBot="1" x14ac:dyDescent="0.3">
      <c r="A1179" s="1">
        <v>2015</v>
      </c>
      <c r="B1179" s="1" t="s">
        <v>20</v>
      </c>
      <c r="C1179" s="1" t="s">
        <v>12</v>
      </c>
      <c r="D1179" s="1" t="s">
        <v>24</v>
      </c>
      <c r="E1179" s="1">
        <v>1367163.47</v>
      </c>
      <c r="F1179" s="1">
        <v>47712.639999999999</v>
      </c>
      <c r="G1179" s="1">
        <v>12116</v>
      </c>
      <c r="H1179" s="1">
        <v>112.83950729999999</v>
      </c>
    </row>
    <row r="1180" spans="1:8" ht="15.75" thickBot="1" x14ac:dyDescent="0.3">
      <c r="A1180" s="1">
        <v>2015</v>
      </c>
      <c r="B1180" s="1" t="s">
        <v>14</v>
      </c>
      <c r="C1180" s="1" t="s">
        <v>28</v>
      </c>
      <c r="D1180" s="1" t="s">
        <v>19</v>
      </c>
      <c r="E1180" s="1">
        <v>159335067.90000001</v>
      </c>
      <c r="F1180" s="1">
        <v>5089373.63</v>
      </c>
      <c r="G1180" s="1">
        <v>990427</v>
      </c>
      <c r="H1180" s="1">
        <v>160.8751255</v>
      </c>
    </row>
    <row r="1181" spans="1:8" ht="15.75" thickBot="1" x14ac:dyDescent="0.3">
      <c r="A1181" s="1">
        <v>2017</v>
      </c>
      <c r="B1181" s="1" t="s">
        <v>14</v>
      </c>
      <c r="C1181" s="1" t="s">
        <v>9</v>
      </c>
      <c r="D1181" s="1" t="s">
        <v>32</v>
      </c>
      <c r="E1181" s="1">
        <v>547356684.10000002</v>
      </c>
      <c r="F1181" s="1">
        <v>17896062.670000002</v>
      </c>
      <c r="G1181" s="1">
        <v>7142439</v>
      </c>
      <c r="H1181" s="1">
        <v>76.634421950000004</v>
      </c>
    </row>
    <row r="1182" spans="1:8" ht="15.75" thickBot="1" x14ac:dyDescent="0.3">
      <c r="A1182" s="1">
        <v>2017</v>
      </c>
      <c r="B1182" s="1" t="s">
        <v>30</v>
      </c>
      <c r="C1182" s="1" t="s">
        <v>12</v>
      </c>
      <c r="D1182" s="1" t="s">
        <v>31</v>
      </c>
      <c r="E1182" s="1">
        <v>406.1</v>
      </c>
      <c r="F1182" s="1">
        <v>19.09</v>
      </c>
      <c r="G1182" s="1">
        <v>24</v>
      </c>
      <c r="H1182" s="1">
        <v>16.920833330000001</v>
      </c>
    </row>
    <row r="1183" spans="1:8" ht="15.75" thickBot="1" x14ac:dyDescent="0.3">
      <c r="A1183" s="1">
        <v>2014</v>
      </c>
      <c r="B1183" s="1" t="s">
        <v>35</v>
      </c>
      <c r="C1183" s="1" t="s">
        <v>18</v>
      </c>
      <c r="D1183" s="1" t="s">
        <v>13</v>
      </c>
      <c r="E1183" s="1">
        <v>200</v>
      </c>
      <c r="F1183" s="1">
        <v>6.1</v>
      </c>
      <c r="G1183" s="1">
        <v>1</v>
      </c>
      <c r="H1183" s="1">
        <v>200</v>
      </c>
    </row>
    <row r="1184" spans="1:8" ht="15.75" thickBot="1" x14ac:dyDescent="0.3">
      <c r="A1184" s="1">
        <v>2015</v>
      </c>
      <c r="B1184" s="1" t="s">
        <v>8</v>
      </c>
      <c r="C1184" s="1" t="s">
        <v>15</v>
      </c>
      <c r="D1184" s="1" t="s">
        <v>24</v>
      </c>
      <c r="E1184" s="1">
        <v>194</v>
      </c>
      <c r="F1184" s="1">
        <v>5.93</v>
      </c>
      <c r="G1184" s="1">
        <v>1</v>
      </c>
      <c r="H1184" s="1">
        <v>194</v>
      </c>
    </row>
    <row r="1185" spans="1:8" ht="15.75" thickBot="1" x14ac:dyDescent="0.3">
      <c r="A1185" s="1">
        <v>2016</v>
      </c>
      <c r="B1185" s="1" t="s">
        <v>14</v>
      </c>
      <c r="C1185" s="1" t="s">
        <v>18</v>
      </c>
      <c r="D1185" s="1" t="s">
        <v>24</v>
      </c>
      <c r="E1185" s="1">
        <v>10665958.279999999</v>
      </c>
      <c r="F1185" s="1">
        <v>339319.32</v>
      </c>
      <c r="G1185" s="1">
        <v>36063</v>
      </c>
      <c r="H1185" s="1">
        <v>295.75904059999999</v>
      </c>
    </row>
    <row r="1186" spans="1:8" ht="15.75" thickBot="1" x14ac:dyDescent="0.3">
      <c r="A1186" s="1">
        <v>2015</v>
      </c>
      <c r="B1186" s="1" t="s">
        <v>40</v>
      </c>
      <c r="C1186" s="1" t="s">
        <v>25</v>
      </c>
      <c r="D1186" s="1" t="s">
        <v>27</v>
      </c>
      <c r="E1186" s="1">
        <v>77577.98</v>
      </c>
      <c r="F1186" s="1">
        <v>2189.9899999999998</v>
      </c>
      <c r="G1186" s="1">
        <v>1137</v>
      </c>
      <c r="H1186" s="1">
        <v>68.230413369999994</v>
      </c>
    </row>
    <row r="1187" spans="1:8" ht="15.75" thickBot="1" x14ac:dyDescent="0.3">
      <c r="A1187" s="1">
        <v>2017</v>
      </c>
      <c r="B1187" s="1" t="s">
        <v>12</v>
      </c>
      <c r="C1187" s="1" t="s">
        <v>25</v>
      </c>
      <c r="D1187" s="1" t="s">
        <v>29</v>
      </c>
      <c r="E1187" s="1">
        <v>2423093.73</v>
      </c>
      <c r="F1187" s="1">
        <v>78874</v>
      </c>
      <c r="G1187" s="1">
        <v>8239</v>
      </c>
      <c r="H1187" s="1">
        <v>294.10046490000002</v>
      </c>
    </row>
    <row r="1188" spans="1:8" ht="15.75" thickBot="1" x14ac:dyDescent="0.3">
      <c r="A1188" s="1">
        <v>2016</v>
      </c>
      <c r="B1188" s="1" t="s">
        <v>40</v>
      </c>
      <c r="C1188" s="1" t="s">
        <v>26</v>
      </c>
      <c r="D1188" s="1" t="s">
        <v>13</v>
      </c>
      <c r="E1188" s="1">
        <v>521</v>
      </c>
      <c r="F1188" s="1">
        <v>0.88</v>
      </c>
      <c r="G1188" s="1">
        <v>7</v>
      </c>
      <c r="H1188" s="1">
        <v>74.428571430000005</v>
      </c>
    </row>
    <row r="1189" spans="1:8" ht="15.75" thickBot="1" x14ac:dyDescent="0.3">
      <c r="A1189" s="1">
        <v>2015</v>
      </c>
      <c r="B1189" s="1" t="s">
        <v>16</v>
      </c>
      <c r="C1189" s="1" t="s">
        <v>28</v>
      </c>
      <c r="D1189" s="1" t="s">
        <v>22</v>
      </c>
      <c r="E1189" s="1">
        <v>174477.81</v>
      </c>
      <c r="F1189" s="1">
        <v>7626.8</v>
      </c>
      <c r="G1189" s="1">
        <v>10921</v>
      </c>
      <c r="H1189" s="1">
        <v>15.97635839</v>
      </c>
    </row>
    <row r="1190" spans="1:8" ht="15.75" thickBot="1" x14ac:dyDescent="0.3">
      <c r="A1190" s="1">
        <v>2017</v>
      </c>
      <c r="B1190" s="1" t="s">
        <v>17</v>
      </c>
      <c r="C1190" s="1" t="s">
        <v>15</v>
      </c>
      <c r="D1190" s="1" t="s">
        <v>27</v>
      </c>
      <c r="E1190" s="1">
        <v>271169439.89999998</v>
      </c>
      <c r="F1190" s="1">
        <v>9361702.0500000007</v>
      </c>
      <c r="G1190" s="1">
        <v>3795526</v>
      </c>
      <c r="H1190" s="1">
        <v>71.444495410000002</v>
      </c>
    </row>
    <row r="1191" spans="1:8" ht="15.75" thickBot="1" x14ac:dyDescent="0.3">
      <c r="A1191" s="1">
        <v>2015</v>
      </c>
      <c r="B1191" s="1" t="s">
        <v>14</v>
      </c>
      <c r="C1191" s="1" t="s">
        <v>26</v>
      </c>
      <c r="D1191" s="1" t="s">
        <v>32</v>
      </c>
      <c r="E1191" s="1">
        <v>34248703.359999999</v>
      </c>
      <c r="F1191" s="1">
        <v>1425202.76</v>
      </c>
      <c r="G1191" s="1">
        <v>991792</v>
      </c>
      <c r="H1191" s="1">
        <v>34.532143189999999</v>
      </c>
    </row>
    <row r="1192" spans="1:8" ht="15.75" thickBot="1" x14ac:dyDescent="0.3">
      <c r="A1192" s="1">
        <v>2014</v>
      </c>
      <c r="B1192" s="1" t="s">
        <v>12</v>
      </c>
      <c r="C1192" s="1" t="s">
        <v>26</v>
      </c>
      <c r="D1192" s="1" t="s">
        <v>13</v>
      </c>
      <c r="E1192" s="1">
        <v>6791.07</v>
      </c>
      <c r="F1192" s="1">
        <v>224.02</v>
      </c>
      <c r="G1192" s="1">
        <v>95</v>
      </c>
      <c r="H1192" s="1">
        <v>71.48494737</v>
      </c>
    </row>
    <row r="1193" spans="1:8" ht="15.75" thickBot="1" x14ac:dyDescent="0.3">
      <c r="A1193" s="1">
        <v>2016</v>
      </c>
      <c r="B1193" s="1" t="s">
        <v>35</v>
      </c>
      <c r="C1193" s="1" t="s">
        <v>21</v>
      </c>
      <c r="D1193" s="1" t="s">
        <v>13</v>
      </c>
      <c r="E1193" s="1">
        <v>55.68</v>
      </c>
      <c r="F1193" s="1">
        <v>2.2200000000000002</v>
      </c>
      <c r="G1193" s="1">
        <v>14</v>
      </c>
      <c r="H1193" s="1">
        <v>3.977142857</v>
      </c>
    </row>
    <row r="1194" spans="1:8" ht="15.75" thickBot="1" x14ac:dyDescent="0.3">
      <c r="A1194" s="1">
        <v>2017</v>
      </c>
      <c r="B1194" s="1" t="s">
        <v>30</v>
      </c>
      <c r="C1194" s="1" t="s">
        <v>21</v>
      </c>
      <c r="D1194" s="1" t="s">
        <v>32</v>
      </c>
      <c r="E1194" s="1">
        <v>38628089.100000001</v>
      </c>
      <c r="F1194" s="1">
        <v>1493851.97</v>
      </c>
      <c r="G1194" s="1">
        <v>835170</v>
      </c>
      <c r="H1194" s="1">
        <v>46.25176802</v>
      </c>
    </row>
    <row r="1195" spans="1:8" ht="15.75" thickBot="1" x14ac:dyDescent="0.3">
      <c r="A1195" s="1">
        <v>2017</v>
      </c>
      <c r="B1195" s="1" t="s">
        <v>14</v>
      </c>
      <c r="C1195" s="1" t="s">
        <v>12</v>
      </c>
      <c r="D1195" s="1" t="s">
        <v>27</v>
      </c>
      <c r="E1195" s="1">
        <v>81467087.530000001</v>
      </c>
      <c r="F1195" s="1">
        <v>3717986.11</v>
      </c>
      <c r="G1195" s="1">
        <v>3275378</v>
      </c>
      <c r="H1195" s="1">
        <v>24.872575789999999</v>
      </c>
    </row>
    <row r="1196" spans="1:8" ht="15.75" thickBot="1" x14ac:dyDescent="0.3">
      <c r="A1196" s="1">
        <v>2016</v>
      </c>
      <c r="B1196" s="1" t="s">
        <v>20</v>
      </c>
      <c r="C1196" s="1" t="s">
        <v>9</v>
      </c>
      <c r="D1196" s="1" t="s">
        <v>19</v>
      </c>
      <c r="E1196" s="1">
        <v>2154.69</v>
      </c>
      <c r="F1196" s="1">
        <v>79.319999999999993</v>
      </c>
      <c r="G1196" s="1">
        <v>1824</v>
      </c>
      <c r="H1196" s="1">
        <v>1.181299342</v>
      </c>
    </row>
    <row r="1197" spans="1:8" ht="15.75" thickBot="1" x14ac:dyDescent="0.3">
      <c r="A1197" s="1">
        <v>2015</v>
      </c>
      <c r="B1197" s="1" t="s">
        <v>12</v>
      </c>
      <c r="C1197" s="1" t="s">
        <v>21</v>
      </c>
      <c r="D1197" s="1" t="s">
        <v>10</v>
      </c>
      <c r="E1197" s="1">
        <v>8042101.75</v>
      </c>
      <c r="F1197" s="1">
        <v>200078.03</v>
      </c>
      <c r="G1197" s="1">
        <v>108383</v>
      </c>
      <c r="H1197" s="1">
        <v>74.200767189999993</v>
      </c>
    </row>
    <row r="1198" spans="1:8" ht="15.75" thickBot="1" x14ac:dyDescent="0.3">
      <c r="A1198" s="1">
        <v>2014</v>
      </c>
      <c r="B1198" s="1" t="s">
        <v>16</v>
      </c>
      <c r="C1198" s="1" t="s">
        <v>33</v>
      </c>
      <c r="D1198" s="1" t="s">
        <v>19</v>
      </c>
      <c r="E1198" s="1">
        <v>76649623.450000003</v>
      </c>
      <c r="F1198" s="1">
        <v>2429583.6</v>
      </c>
      <c r="G1198" s="1">
        <v>346244</v>
      </c>
      <c r="H1198" s="1">
        <v>221.3745897</v>
      </c>
    </row>
    <row r="1199" spans="1:8" ht="15.75" thickBot="1" x14ac:dyDescent="0.3">
      <c r="A1199" s="1">
        <v>2015</v>
      </c>
      <c r="B1199" s="1" t="s">
        <v>14</v>
      </c>
      <c r="C1199" s="1" t="s">
        <v>9</v>
      </c>
      <c r="D1199" s="1" t="s">
        <v>31</v>
      </c>
      <c r="E1199" s="1">
        <v>1180.94</v>
      </c>
      <c r="F1199" s="1">
        <v>66.650000000000006</v>
      </c>
      <c r="G1199" s="1">
        <v>548</v>
      </c>
      <c r="H1199" s="1">
        <v>2.1549999999999998</v>
      </c>
    </row>
    <row r="1200" spans="1:8" ht="15.75" thickBot="1" x14ac:dyDescent="0.3">
      <c r="A1200" s="1">
        <v>2014</v>
      </c>
      <c r="B1200" s="1" t="s">
        <v>11</v>
      </c>
      <c r="C1200" s="1" t="s">
        <v>15</v>
      </c>
      <c r="D1200" s="1" t="s">
        <v>31</v>
      </c>
      <c r="E1200" s="1">
        <v>5759966.8600000003</v>
      </c>
      <c r="F1200" s="1">
        <v>170467.55</v>
      </c>
      <c r="G1200" s="1">
        <v>134938</v>
      </c>
      <c r="H1200" s="1">
        <v>42.686025139999998</v>
      </c>
    </row>
    <row r="1201" spans="1:8" ht="15.75" thickBot="1" x14ac:dyDescent="0.3">
      <c r="A1201" s="1">
        <v>2017</v>
      </c>
      <c r="B1201" s="1" t="s">
        <v>14</v>
      </c>
      <c r="C1201" s="1" t="s">
        <v>12</v>
      </c>
      <c r="D1201" s="1" t="s">
        <v>19</v>
      </c>
      <c r="E1201" s="1">
        <v>32336411.629999999</v>
      </c>
      <c r="F1201" s="1">
        <v>1024659.12</v>
      </c>
      <c r="G1201" s="1">
        <v>230623</v>
      </c>
      <c r="H1201" s="1">
        <v>140.21329890000001</v>
      </c>
    </row>
    <row r="1202" spans="1:8" ht="15.75" thickBot="1" x14ac:dyDescent="0.3">
      <c r="A1202" s="1">
        <v>2014</v>
      </c>
      <c r="B1202" s="1" t="s">
        <v>11</v>
      </c>
      <c r="C1202" s="1" t="s">
        <v>33</v>
      </c>
      <c r="D1202" s="1" t="s">
        <v>32</v>
      </c>
      <c r="E1202" s="1">
        <v>101215572.2</v>
      </c>
      <c r="F1202" s="1">
        <v>3147105.31</v>
      </c>
      <c r="G1202" s="1">
        <v>1645132</v>
      </c>
      <c r="H1202" s="1">
        <v>61.524286330000002</v>
      </c>
    </row>
    <row r="1203" spans="1:8" ht="15.75" thickBot="1" x14ac:dyDescent="0.3">
      <c r="A1203" s="1">
        <v>2014</v>
      </c>
      <c r="B1203" s="1" t="s">
        <v>14</v>
      </c>
      <c r="C1203" s="1" t="s">
        <v>12</v>
      </c>
      <c r="D1203" s="1" t="s">
        <v>22</v>
      </c>
      <c r="E1203" s="1">
        <v>10328.44</v>
      </c>
      <c r="F1203" s="1">
        <v>433.97</v>
      </c>
      <c r="G1203" s="1">
        <v>1052</v>
      </c>
      <c r="H1203" s="1">
        <v>9.8179087450000004</v>
      </c>
    </row>
    <row r="1204" spans="1:8" ht="15.75" thickBot="1" x14ac:dyDescent="0.3">
      <c r="A1204" s="1">
        <v>2016</v>
      </c>
      <c r="B1204" s="1" t="s">
        <v>16</v>
      </c>
      <c r="C1204" s="1" t="s">
        <v>25</v>
      </c>
      <c r="D1204" s="1" t="s">
        <v>10</v>
      </c>
      <c r="E1204" s="1">
        <v>27392020.84</v>
      </c>
      <c r="F1204" s="1">
        <v>990730.12</v>
      </c>
      <c r="G1204" s="1">
        <v>504395</v>
      </c>
      <c r="H1204" s="1">
        <v>54.306685909999999</v>
      </c>
    </row>
    <row r="1205" spans="1:8" ht="15.75" thickBot="1" x14ac:dyDescent="0.3">
      <c r="A1205" s="1">
        <v>2017</v>
      </c>
      <c r="B1205" s="1" t="s">
        <v>11</v>
      </c>
      <c r="C1205" s="1" t="s">
        <v>28</v>
      </c>
      <c r="D1205" s="1" t="s">
        <v>31</v>
      </c>
      <c r="E1205" s="1">
        <v>44053871.090000004</v>
      </c>
      <c r="F1205" s="1">
        <v>1214731.42</v>
      </c>
      <c r="G1205" s="1">
        <v>601895</v>
      </c>
      <c r="H1205" s="1">
        <v>73.191953900000001</v>
      </c>
    </row>
    <row r="1206" spans="1:8" ht="15.75" thickBot="1" x14ac:dyDescent="0.3">
      <c r="A1206" s="1">
        <v>2015</v>
      </c>
      <c r="B1206" s="1" t="s">
        <v>16</v>
      </c>
      <c r="C1206" s="1" t="s">
        <v>12</v>
      </c>
      <c r="D1206" s="1" t="s">
        <v>10</v>
      </c>
      <c r="E1206" s="1">
        <v>9966579.6400000006</v>
      </c>
      <c r="F1206" s="1">
        <v>376949.27</v>
      </c>
      <c r="G1206" s="1">
        <v>165677</v>
      </c>
      <c r="H1206" s="1">
        <v>60.156688250000002</v>
      </c>
    </row>
    <row r="1207" spans="1:8" ht="15.75" thickBot="1" x14ac:dyDescent="0.3">
      <c r="A1207" s="1">
        <v>2016</v>
      </c>
      <c r="B1207" s="1" t="s">
        <v>20</v>
      </c>
      <c r="C1207" s="1" t="s">
        <v>9</v>
      </c>
      <c r="D1207" s="1" t="s">
        <v>10</v>
      </c>
      <c r="E1207" s="1">
        <v>966550.19</v>
      </c>
      <c r="F1207" s="1">
        <v>35336.019999999997</v>
      </c>
      <c r="G1207" s="1">
        <v>23468</v>
      </c>
      <c r="H1207" s="1">
        <v>41.185878219999999</v>
      </c>
    </row>
    <row r="1208" spans="1:8" ht="15.75" thickBot="1" x14ac:dyDescent="0.3">
      <c r="A1208" s="1">
        <v>2015</v>
      </c>
      <c r="B1208" s="1" t="s">
        <v>17</v>
      </c>
      <c r="C1208" s="1" t="s">
        <v>28</v>
      </c>
      <c r="D1208" s="1" t="s">
        <v>22</v>
      </c>
      <c r="E1208" s="1">
        <v>1942789.58</v>
      </c>
      <c r="F1208" s="1">
        <v>67974.8</v>
      </c>
      <c r="G1208" s="1">
        <v>100155</v>
      </c>
      <c r="H1208" s="1">
        <v>19.397829160000001</v>
      </c>
    </row>
    <row r="1209" spans="1:8" ht="15.75" thickBot="1" x14ac:dyDescent="0.3">
      <c r="A1209" s="1">
        <v>2014</v>
      </c>
      <c r="B1209" s="1" t="s">
        <v>16</v>
      </c>
      <c r="C1209" s="1" t="s">
        <v>18</v>
      </c>
      <c r="D1209" s="1" t="s">
        <v>27</v>
      </c>
      <c r="E1209" s="1">
        <v>63806433.32</v>
      </c>
      <c r="F1209" s="1">
        <v>2282329.44</v>
      </c>
      <c r="G1209" s="1">
        <v>844331</v>
      </c>
      <c r="H1209" s="1">
        <v>75.570402270000002</v>
      </c>
    </row>
    <row r="1210" spans="1:8" ht="15.75" thickBot="1" x14ac:dyDescent="0.3">
      <c r="A1210" s="1">
        <v>2017</v>
      </c>
      <c r="B1210" s="1" t="s">
        <v>8</v>
      </c>
      <c r="C1210" s="1" t="s">
        <v>26</v>
      </c>
      <c r="D1210" s="1" t="s">
        <v>32</v>
      </c>
      <c r="E1210" s="1">
        <v>2155.69</v>
      </c>
      <c r="F1210" s="1">
        <v>103.33</v>
      </c>
      <c r="G1210" s="1">
        <v>47</v>
      </c>
      <c r="H1210" s="1">
        <v>45.865744679999999</v>
      </c>
    </row>
    <row r="1211" spans="1:8" ht="15.75" thickBot="1" x14ac:dyDescent="0.3">
      <c r="A1211" s="1">
        <v>2016</v>
      </c>
      <c r="B1211" s="1" t="s">
        <v>12</v>
      </c>
      <c r="C1211" s="1" t="s">
        <v>26</v>
      </c>
      <c r="D1211" s="1" t="s">
        <v>10</v>
      </c>
      <c r="E1211" s="1">
        <v>4173213.44</v>
      </c>
      <c r="F1211" s="1">
        <v>107023.76</v>
      </c>
      <c r="G1211" s="1">
        <v>71250</v>
      </c>
      <c r="H1211" s="1">
        <v>58.5714167</v>
      </c>
    </row>
    <row r="1212" spans="1:8" ht="15.75" thickBot="1" x14ac:dyDescent="0.3">
      <c r="A1212" s="1">
        <v>2016</v>
      </c>
      <c r="B1212" s="1" t="s">
        <v>20</v>
      </c>
      <c r="C1212" s="1" t="s">
        <v>26</v>
      </c>
      <c r="D1212" s="1" t="s">
        <v>32</v>
      </c>
      <c r="E1212" s="1">
        <v>2555277.39</v>
      </c>
      <c r="F1212" s="1">
        <v>109419.24</v>
      </c>
      <c r="G1212" s="1">
        <v>102962</v>
      </c>
      <c r="H1212" s="1">
        <v>24.81767438</v>
      </c>
    </row>
    <row r="1213" spans="1:8" ht="15.75" thickBot="1" x14ac:dyDescent="0.3">
      <c r="A1213" s="1">
        <v>2017</v>
      </c>
      <c r="B1213" s="1" t="s">
        <v>12</v>
      </c>
      <c r="C1213" s="1" t="s">
        <v>9</v>
      </c>
      <c r="D1213" s="1" t="s">
        <v>37</v>
      </c>
      <c r="E1213" s="1">
        <v>82439061.829999998</v>
      </c>
      <c r="F1213" s="1">
        <v>2436141.38</v>
      </c>
      <c r="G1213" s="1">
        <v>220153</v>
      </c>
      <c r="H1213" s="1">
        <v>374.46258660000001</v>
      </c>
    </row>
    <row r="1214" spans="1:8" ht="15.75" thickBot="1" x14ac:dyDescent="0.3">
      <c r="A1214" s="1">
        <v>2017</v>
      </c>
      <c r="B1214" s="1" t="s">
        <v>14</v>
      </c>
      <c r="C1214" s="1" t="s">
        <v>25</v>
      </c>
      <c r="D1214" s="1" t="s">
        <v>10</v>
      </c>
      <c r="E1214" s="1">
        <v>15776303.619999999</v>
      </c>
      <c r="F1214" s="1">
        <v>633395.80000000005</v>
      </c>
      <c r="G1214" s="1">
        <v>419523</v>
      </c>
      <c r="H1214" s="1">
        <v>37.605336579999999</v>
      </c>
    </row>
    <row r="1215" spans="1:8" ht="15.75" thickBot="1" x14ac:dyDescent="0.3">
      <c r="A1215" s="1">
        <v>2016</v>
      </c>
      <c r="B1215" s="1" t="s">
        <v>20</v>
      </c>
      <c r="C1215" s="1" t="s">
        <v>28</v>
      </c>
      <c r="D1215" s="1" t="s">
        <v>24</v>
      </c>
      <c r="E1215" s="1">
        <v>2132860.56</v>
      </c>
      <c r="F1215" s="1">
        <v>71868.67</v>
      </c>
      <c r="G1215" s="1">
        <v>19073</v>
      </c>
      <c r="H1215" s="1">
        <v>111.826171</v>
      </c>
    </row>
    <row r="1216" spans="1:8" ht="15.75" thickBot="1" x14ac:dyDescent="0.3">
      <c r="A1216" s="1">
        <v>2017</v>
      </c>
      <c r="B1216" s="1" t="s">
        <v>16</v>
      </c>
      <c r="C1216" s="1" t="s">
        <v>18</v>
      </c>
      <c r="D1216" s="1" t="s">
        <v>24</v>
      </c>
      <c r="E1216" s="1">
        <v>12750164.130000001</v>
      </c>
      <c r="F1216" s="1">
        <v>428671.11</v>
      </c>
      <c r="G1216" s="1">
        <v>34493</v>
      </c>
      <c r="H1216" s="1">
        <v>369.64497519999998</v>
      </c>
    </row>
    <row r="1217" spans="1:8" ht="15.75" thickBot="1" x14ac:dyDescent="0.3">
      <c r="A1217" s="1">
        <v>2014</v>
      </c>
      <c r="B1217" s="1" t="s">
        <v>12</v>
      </c>
      <c r="C1217" s="1" t="s">
        <v>26</v>
      </c>
      <c r="D1217" s="1" t="s">
        <v>22</v>
      </c>
      <c r="E1217" s="1">
        <v>66487.44</v>
      </c>
      <c r="F1217" s="1">
        <v>2460.65</v>
      </c>
      <c r="G1217" s="1">
        <v>3419</v>
      </c>
      <c r="H1217" s="1">
        <v>19.446458029999999</v>
      </c>
    </row>
    <row r="1218" spans="1:8" ht="15.75" thickBot="1" x14ac:dyDescent="0.3">
      <c r="A1218" s="1">
        <v>2017</v>
      </c>
      <c r="B1218" s="1" t="s">
        <v>12</v>
      </c>
      <c r="C1218" s="1" t="s">
        <v>15</v>
      </c>
      <c r="D1218" s="1" t="s">
        <v>29</v>
      </c>
      <c r="E1218" s="1">
        <v>3927486.43</v>
      </c>
      <c r="F1218" s="1">
        <v>122670.38</v>
      </c>
      <c r="G1218" s="1">
        <v>9363</v>
      </c>
      <c r="H1218" s="1">
        <v>419.46880590000001</v>
      </c>
    </row>
    <row r="1219" spans="1:8" ht="15.75" thickBot="1" x14ac:dyDescent="0.3">
      <c r="A1219" s="1">
        <v>2014</v>
      </c>
      <c r="B1219" s="1" t="s">
        <v>17</v>
      </c>
      <c r="C1219" s="1" t="s">
        <v>12</v>
      </c>
      <c r="D1219" s="1" t="s">
        <v>24</v>
      </c>
      <c r="E1219" s="1">
        <v>11969872.210000001</v>
      </c>
      <c r="F1219" s="1">
        <v>418633.99</v>
      </c>
      <c r="G1219" s="1">
        <v>62250</v>
      </c>
      <c r="H1219" s="1">
        <v>192.28710380000001</v>
      </c>
    </row>
    <row r="1220" spans="1:8" ht="15.75" thickBot="1" x14ac:dyDescent="0.3">
      <c r="A1220" s="1">
        <v>2017</v>
      </c>
      <c r="B1220" s="1" t="s">
        <v>16</v>
      </c>
      <c r="C1220" s="1" t="s">
        <v>25</v>
      </c>
      <c r="D1220" s="1" t="s">
        <v>22</v>
      </c>
      <c r="E1220" s="1">
        <v>256724.46</v>
      </c>
      <c r="F1220" s="1">
        <v>9108.86</v>
      </c>
      <c r="G1220" s="1">
        <v>13111</v>
      </c>
      <c r="H1220" s="1">
        <v>19.58084509</v>
      </c>
    </row>
    <row r="1221" spans="1:8" ht="15.75" thickBot="1" x14ac:dyDescent="0.3">
      <c r="A1221" s="1">
        <v>2017</v>
      </c>
      <c r="B1221" s="1" t="s">
        <v>12</v>
      </c>
      <c r="C1221" s="1" t="s">
        <v>21</v>
      </c>
      <c r="D1221" s="1" t="s">
        <v>29</v>
      </c>
      <c r="E1221" s="1">
        <v>3292337.81</v>
      </c>
      <c r="F1221" s="1">
        <v>104792.56</v>
      </c>
      <c r="G1221" s="1">
        <v>9820</v>
      </c>
      <c r="H1221" s="1">
        <v>335.26861609999997</v>
      </c>
    </row>
    <row r="1222" spans="1:8" ht="15.75" thickBot="1" x14ac:dyDescent="0.3">
      <c r="A1222" s="1">
        <v>2017</v>
      </c>
      <c r="B1222" s="1" t="s">
        <v>20</v>
      </c>
      <c r="C1222" s="1" t="s">
        <v>15</v>
      </c>
      <c r="D1222" s="1" t="s">
        <v>32</v>
      </c>
      <c r="E1222" s="1">
        <v>6256446</v>
      </c>
      <c r="F1222" s="1">
        <v>234044.52</v>
      </c>
      <c r="G1222" s="1">
        <v>174568</v>
      </c>
      <c r="H1222" s="1">
        <v>35.839592590000002</v>
      </c>
    </row>
    <row r="1223" spans="1:8" ht="15.75" thickBot="1" x14ac:dyDescent="0.3">
      <c r="A1223" s="1">
        <v>2014</v>
      </c>
      <c r="B1223" s="1" t="s">
        <v>17</v>
      </c>
      <c r="C1223" s="1" t="s">
        <v>28</v>
      </c>
      <c r="D1223" s="1" t="s">
        <v>10</v>
      </c>
      <c r="E1223" s="1">
        <v>20797806.350000001</v>
      </c>
      <c r="F1223" s="1">
        <v>617259.41</v>
      </c>
      <c r="G1223" s="1">
        <v>272661</v>
      </c>
      <c r="H1223" s="1">
        <v>76.277158630000002</v>
      </c>
    </row>
    <row r="1224" spans="1:8" ht="15.75" thickBot="1" x14ac:dyDescent="0.3">
      <c r="A1224" s="1">
        <v>2017</v>
      </c>
      <c r="B1224" s="1" t="s">
        <v>8</v>
      </c>
      <c r="C1224" s="1" t="s">
        <v>12</v>
      </c>
      <c r="D1224" s="1" t="s">
        <v>19</v>
      </c>
      <c r="E1224" s="1">
        <v>3231</v>
      </c>
      <c r="F1224" s="1">
        <v>95.5</v>
      </c>
      <c r="G1224" s="1">
        <v>6</v>
      </c>
      <c r="H1224" s="1">
        <v>538.5</v>
      </c>
    </row>
    <row r="1225" spans="1:8" ht="15.75" thickBot="1" x14ac:dyDescent="0.3">
      <c r="A1225" s="1">
        <v>2016</v>
      </c>
      <c r="B1225" s="1" t="s">
        <v>11</v>
      </c>
      <c r="C1225" s="1" t="s">
        <v>33</v>
      </c>
      <c r="D1225" s="1" t="s">
        <v>27</v>
      </c>
      <c r="E1225" s="1">
        <v>366000358.19999999</v>
      </c>
      <c r="F1225" s="1">
        <v>10082824.779999999</v>
      </c>
      <c r="G1225" s="1">
        <v>5772260</v>
      </c>
      <c r="H1225" s="1">
        <v>63.406769310000001</v>
      </c>
    </row>
    <row r="1226" spans="1:8" ht="15.75" thickBot="1" x14ac:dyDescent="0.3">
      <c r="A1226" s="1">
        <v>2016</v>
      </c>
      <c r="B1226" s="1" t="s">
        <v>8</v>
      </c>
      <c r="C1226" s="1" t="s">
        <v>28</v>
      </c>
      <c r="D1226" s="1" t="s">
        <v>19</v>
      </c>
      <c r="E1226" s="1">
        <v>6546.25</v>
      </c>
      <c r="F1226" s="1">
        <v>146.94999999999999</v>
      </c>
      <c r="G1226" s="1">
        <v>95</v>
      </c>
      <c r="H1226" s="1">
        <v>68.907894740000003</v>
      </c>
    </row>
    <row r="1227" spans="1:8" ht="15.75" thickBot="1" x14ac:dyDescent="0.3">
      <c r="A1227" s="1">
        <v>2017</v>
      </c>
      <c r="B1227" s="1" t="s">
        <v>20</v>
      </c>
      <c r="C1227" s="1" t="s">
        <v>18</v>
      </c>
      <c r="D1227" s="1" t="s">
        <v>22</v>
      </c>
      <c r="E1227" s="1">
        <v>0</v>
      </c>
      <c r="F1227" s="1">
        <v>0</v>
      </c>
      <c r="G1227" s="1">
        <v>3</v>
      </c>
      <c r="H1227" s="1">
        <v>0</v>
      </c>
    </row>
    <row r="1228" spans="1:8" ht="15.75" thickBot="1" x14ac:dyDescent="0.3">
      <c r="A1228" s="1">
        <v>2014</v>
      </c>
      <c r="B1228" s="1" t="s">
        <v>20</v>
      </c>
      <c r="C1228" s="1" t="s">
        <v>21</v>
      </c>
      <c r="D1228" s="1" t="s">
        <v>10</v>
      </c>
      <c r="E1228" s="1">
        <v>183837.43</v>
      </c>
      <c r="F1228" s="1">
        <v>7121.23</v>
      </c>
      <c r="G1228" s="1">
        <v>5237</v>
      </c>
      <c r="H1228" s="1">
        <v>35.103576480000001</v>
      </c>
    </row>
    <row r="1229" spans="1:8" ht="15.75" thickBot="1" x14ac:dyDescent="0.3">
      <c r="A1229" s="1">
        <v>2014</v>
      </c>
      <c r="B1229" s="1" t="s">
        <v>16</v>
      </c>
      <c r="C1229" s="1" t="s">
        <v>12</v>
      </c>
      <c r="D1229" s="1" t="s">
        <v>22</v>
      </c>
      <c r="E1229" s="1">
        <v>69116.509999999995</v>
      </c>
      <c r="F1229" s="1">
        <v>3006.34</v>
      </c>
      <c r="G1229" s="1">
        <v>6738</v>
      </c>
      <c r="H1229" s="1">
        <v>10.257718909999999</v>
      </c>
    </row>
    <row r="1230" spans="1:8" ht="15.75" thickBot="1" x14ac:dyDescent="0.3">
      <c r="A1230" s="1">
        <v>2017</v>
      </c>
      <c r="B1230" s="1" t="s">
        <v>17</v>
      </c>
      <c r="C1230" s="1" t="s">
        <v>15</v>
      </c>
      <c r="D1230" s="1" t="s">
        <v>10</v>
      </c>
      <c r="E1230" s="1">
        <v>49335985.560000002</v>
      </c>
      <c r="F1230" s="1">
        <v>1693432.22</v>
      </c>
      <c r="G1230" s="1">
        <v>864000</v>
      </c>
      <c r="H1230" s="1">
        <v>57.101835139999999</v>
      </c>
    </row>
    <row r="1231" spans="1:8" ht="15.75" thickBot="1" x14ac:dyDescent="0.3">
      <c r="A1231" s="1">
        <v>2016</v>
      </c>
      <c r="B1231" s="1" t="s">
        <v>35</v>
      </c>
      <c r="C1231" s="1" t="s">
        <v>25</v>
      </c>
      <c r="D1231" s="1" t="s">
        <v>27</v>
      </c>
      <c r="E1231" s="1">
        <v>26642.31</v>
      </c>
      <c r="F1231" s="1">
        <v>759.77</v>
      </c>
      <c r="G1231" s="1">
        <v>699</v>
      </c>
      <c r="H1231" s="1">
        <v>38.114892699999999</v>
      </c>
    </row>
    <row r="1232" spans="1:8" ht="15.75" thickBot="1" x14ac:dyDescent="0.3">
      <c r="A1232" s="1">
        <v>2016</v>
      </c>
      <c r="B1232" s="1" t="s">
        <v>17</v>
      </c>
      <c r="C1232" s="1" t="s">
        <v>12</v>
      </c>
      <c r="D1232" s="1" t="s">
        <v>10</v>
      </c>
      <c r="E1232" s="1">
        <v>28343629.510000002</v>
      </c>
      <c r="F1232" s="1">
        <v>990869.23</v>
      </c>
      <c r="G1232" s="1">
        <v>574164</v>
      </c>
      <c r="H1232" s="1">
        <v>49.365041189999999</v>
      </c>
    </row>
    <row r="1233" spans="1:8" ht="15.75" thickBot="1" x14ac:dyDescent="0.3">
      <c r="A1233" s="1">
        <v>2014</v>
      </c>
      <c r="B1233" s="1" t="s">
        <v>40</v>
      </c>
      <c r="C1233" s="1" t="s">
        <v>25</v>
      </c>
      <c r="D1233" s="1" t="s">
        <v>13</v>
      </c>
      <c r="E1233" s="1">
        <v>183</v>
      </c>
      <c r="F1233" s="1">
        <v>0</v>
      </c>
      <c r="G1233" s="1">
        <v>2</v>
      </c>
      <c r="H1233" s="1">
        <v>91.5</v>
      </c>
    </row>
    <row r="1234" spans="1:8" ht="15.75" thickBot="1" x14ac:dyDescent="0.3">
      <c r="A1234" s="1">
        <v>2014</v>
      </c>
      <c r="B1234" s="1" t="s">
        <v>14</v>
      </c>
      <c r="C1234" s="1" t="s">
        <v>25</v>
      </c>
      <c r="D1234" s="1" t="s">
        <v>29</v>
      </c>
      <c r="E1234" s="1">
        <v>6950779.2300000004</v>
      </c>
      <c r="F1234" s="1">
        <v>242838.7</v>
      </c>
      <c r="G1234" s="1">
        <v>56511</v>
      </c>
      <c r="H1234" s="1">
        <v>122.99869459999999</v>
      </c>
    </row>
    <row r="1235" spans="1:8" ht="15.75" thickBot="1" x14ac:dyDescent="0.3">
      <c r="A1235" s="1">
        <v>2016</v>
      </c>
      <c r="B1235" s="1" t="s">
        <v>8</v>
      </c>
      <c r="C1235" s="1" t="s">
        <v>12</v>
      </c>
      <c r="D1235" s="1" t="s">
        <v>24</v>
      </c>
      <c r="E1235" s="1">
        <v>643</v>
      </c>
      <c r="F1235" s="1">
        <v>23.01</v>
      </c>
      <c r="G1235" s="1">
        <v>3</v>
      </c>
      <c r="H1235" s="1">
        <v>214.33333329999999</v>
      </c>
    </row>
    <row r="1236" spans="1:8" ht="15.75" thickBot="1" x14ac:dyDescent="0.3">
      <c r="A1236" s="1">
        <v>2015</v>
      </c>
      <c r="B1236" s="1" t="s">
        <v>20</v>
      </c>
      <c r="C1236" s="1" t="s">
        <v>21</v>
      </c>
      <c r="D1236" s="1" t="s">
        <v>31</v>
      </c>
      <c r="E1236" s="1">
        <v>47699.43</v>
      </c>
      <c r="F1236" s="1">
        <v>1971.72</v>
      </c>
      <c r="G1236" s="1">
        <v>1979</v>
      </c>
      <c r="H1236" s="1">
        <v>24.102794339999999</v>
      </c>
    </row>
    <row r="1237" spans="1:8" ht="15.75" thickBot="1" x14ac:dyDescent="0.3">
      <c r="A1237" s="1">
        <v>2014</v>
      </c>
      <c r="B1237" s="1" t="s">
        <v>17</v>
      </c>
      <c r="C1237" s="1" t="s">
        <v>9</v>
      </c>
      <c r="D1237" s="1" t="s">
        <v>32</v>
      </c>
      <c r="E1237" s="1">
        <v>275688711.10000002</v>
      </c>
      <c r="F1237" s="1">
        <v>8560671.8000000007</v>
      </c>
      <c r="G1237" s="1">
        <v>3258222</v>
      </c>
      <c r="H1237" s="1">
        <v>84.613237240000004</v>
      </c>
    </row>
    <row r="1238" spans="1:8" ht="15.75" thickBot="1" x14ac:dyDescent="0.3">
      <c r="A1238" s="1">
        <v>2017</v>
      </c>
      <c r="B1238" s="1" t="s">
        <v>20</v>
      </c>
      <c r="C1238" s="1" t="s">
        <v>15</v>
      </c>
      <c r="D1238" s="1" t="s">
        <v>34</v>
      </c>
      <c r="E1238" s="1">
        <v>3302.28</v>
      </c>
      <c r="F1238" s="1">
        <v>115.25</v>
      </c>
      <c r="G1238" s="1">
        <v>72</v>
      </c>
      <c r="H1238" s="1">
        <v>45.865000000000002</v>
      </c>
    </row>
    <row r="1239" spans="1:8" ht="15.75" thickBot="1" x14ac:dyDescent="0.3">
      <c r="A1239" s="1">
        <v>2016</v>
      </c>
      <c r="B1239" s="1" t="s">
        <v>11</v>
      </c>
      <c r="C1239" s="1" t="s">
        <v>23</v>
      </c>
      <c r="D1239" s="1" t="s">
        <v>22</v>
      </c>
      <c r="E1239" s="1">
        <v>23691859.57</v>
      </c>
      <c r="F1239" s="1">
        <v>771460.15</v>
      </c>
      <c r="G1239" s="1">
        <v>1507751</v>
      </c>
      <c r="H1239" s="1">
        <v>15.71337679</v>
      </c>
    </row>
    <row r="1240" spans="1:8" ht="15.75" thickBot="1" x14ac:dyDescent="0.3">
      <c r="A1240" s="1">
        <v>2015</v>
      </c>
      <c r="B1240" s="1" t="s">
        <v>30</v>
      </c>
      <c r="C1240" s="1" t="s">
        <v>15</v>
      </c>
      <c r="D1240" s="1" t="s">
        <v>27</v>
      </c>
      <c r="E1240" s="1">
        <v>268945182.10000002</v>
      </c>
      <c r="F1240" s="1">
        <v>9192062.3399999999</v>
      </c>
      <c r="G1240" s="1">
        <v>3034936</v>
      </c>
      <c r="H1240" s="1">
        <v>88.616426200000006</v>
      </c>
    </row>
    <row r="1241" spans="1:8" ht="15.75" thickBot="1" x14ac:dyDescent="0.3">
      <c r="A1241" s="1">
        <v>2017</v>
      </c>
      <c r="B1241" s="1" t="s">
        <v>35</v>
      </c>
      <c r="C1241" s="1" t="s">
        <v>9</v>
      </c>
      <c r="D1241" s="1" t="s">
        <v>32</v>
      </c>
      <c r="E1241" s="1">
        <v>15089.83</v>
      </c>
      <c r="F1241" s="1">
        <v>1494.19</v>
      </c>
      <c r="G1241" s="1">
        <v>3657</v>
      </c>
      <c r="H1241" s="1">
        <v>4.1262865739999999</v>
      </c>
    </row>
    <row r="1242" spans="1:8" ht="15.75" thickBot="1" x14ac:dyDescent="0.3">
      <c r="A1242" s="1">
        <v>2014</v>
      </c>
      <c r="B1242" s="1" t="s">
        <v>16</v>
      </c>
      <c r="C1242" s="1" t="s">
        <v>9</v>
      </c>
      <c r="D1242" s="1" t="s">
        <v>24</v>
      </c>
      <c r="E1242" s="1">
        <v>19019767.649999999</v>
      </c>
      <c r="F1242" s="1">
        <v>612526.75</v>
      </c>
      <c r="G1242" s="1">
        <v>62418</v>
      </c>
      <c r="H1242" s="1">
        <v>304.71606989999998</v>
      </c>
    </row>
    <row r="1243" spans="1:8" ht="15.75" thickBot="1" x14ac:dyDescent="0.3">
      <c r="A1243" s="1">
        <v>2017</v>
      </c>
      <c r="B1243" s="1" t="s">
        <v>35</v>
      </c>
      <c r="C1243" s="1" t="s">
        <v>15</v>
      </c>
      <c r="D1243" s="1" t="s">
        <v>29</v>
      </c>
      <c r="E1243" s="1">
        <v>2027.86</v>
      </c>
      <c r="F1243" s="1">
        <v>64.58</v>
      </c>
      <c r="G1243" s="1">
        <v>24</v>
      </c>
      <c r="H1243" s="1">
        <v>84.494166669999998</v>
      </c>
    </row>
    <row r="1244" spans="1:8" ht="15.75" thickBot="1" x14ac:dyDescent="0.3">
      <c r="A1244" s="1">
        <v>2014</v>
      </c>
      <c r="B1244" s="1" t="s">
        <v>14</v>
      </c>
      <c r="C1244" s="1" t="s">
        <v>21</v>
      </c>
      <c r="D1244" s="1" t="s">
        <v>32</v>
      </c>
      <c r="E1244" s="1">
        <v>61927984.789999999</v>
      </c>
      <c r="F1244" s="1">
        <v>2450499.64</v>
      </c>
      <c r="G1244" s="1">
        <v>1559020</v>
      </c>
      <c r="H1244" s="1">
        <v>39.722379949999997</v>
      </c>
    </row>
    <row r="1245" spans="1:8" ht="15.75" thickBot="1" x14ac:dyDescent="0.3">
      <c r="A1245" s="1">
        <v>2014</v>
      </c>
      <c r="B1245" s="1" t="s">
        <v>16</v>
      </c>
      <c r="C1245" s="1" t="s">
        <v>9</v>
      </c>
      <c r="D1245" s="1" t="s">
        <v>31</v>
      </c>
      <c r="E1245" s="1">
        <v>4275.4799999999996</v>
      </c>
      <c r="F1245" s="1">
        <v>241.02</v>
      </c>
      <c r="G1245" s="1">
        <v>675</v>
      </c>
      <c r="H1245" s="1">
        <v>6.3340444439999999</v>
      </c>
    </row>
    <row r="1246" spans="1:8" ht="15.75" thickBot="1" x14ac:dyDescent="0.3">
      <c r="A1246" s="1">
        <v>2017</v>
      </c>
      <c r="B1246" s="1" t="s">
        <v>20</v>
      </c>
      <c r="C1246" s="1" t="s">
        <v>21</v>
      </c>
      <c r="D1246" s="1" t="s">
        <v>27</v>
      </c>
      <c r="E1246" s="1">
        <v>7441432.5899999999</v>
      </c>
      <c r="F1246" s="1">
        <v>294043.5</v>
      </c>
      <c r="G1246" s="1">
        <v>207839</v>
      </c>
      <c r="H1246" s="1">
        <v>35.803831760000001</v>
      </c>
    </row>
    <row r="1247" spans="1:8" ht="15.75" thickBot="1" x14ac:dyDescent="0.3">
      <c r="A1247" s="1">
        <v>2014</v>
      </c>
      <c r="B1247" s="1" t="s">
        <v>16</v>
      </c>
      <c r="C1247" s="1" t="s">
        <v>9</v>
      </c>
      <c r="D1247" s="1" t="s">
        <v>13</v>
      </c>
      <c r="E1247" s="1">
        <v>0</v>
      </c>
      <c r="F1247" s="1">
        <v>0</v>
      </c>
      <c r="G1247" s="1">
        <v>7</v>
      </c>
      <c r="H1247" s="1">
        <v>0</v>
      </c>
    </row>
    <row r="1248" spans="1:8" ht="15.75" thickBot="1" x14ac:dyDescent="0.3">
      <c r="A1248" s="1">
        <v>2014</v>
      </c>
      <c r="B1248" s="1" t="s">
        <v>11</v>
      </c>
      <c r="C1248" s="1" t="s">
        <v>21</v>
      </c>
      <c r="D1248" s="1" t="s">
        <v>19</v>
      </c>
      <c r="E1248" s="1">
        <v>6510005.7400000002</v>
      </c>
      <c r="F1248" s="1">
        <v>201087.3</v>
      </c>
      <c r="G1248" s="1">
        <v>35776</v>
      </c>
      <c r="H1248" s="1">
        <v>181.9657239</v>
      </c>
    </row>
    <row r="1249" spans="1:8" ht="15.75" thickBot="1" x14ac:dyDescent="0.3">
      <c r="A1249" s="1">
        <v>2016</v>
      </c>
      <c r="B1249" s="1" t="s">
        <v>14</v>
      </c>
      <c r="C1249" s="1" t="s">
        <v>26</v>
      </c>
      <c r="D1249" s="1" t="s">
        <v>29</v>
      </c>
      <c r="E1249" s="1">
        <v>7883528.7999999998</v>
      </c>
      <c r="F1249" s="1">
        <v>282102.96999999997</v>
      </c>
      <c r="G1249" s="1">
        <v>68135</v>
      </c>
      <c r="H1249" s="1">
        <v>115.7045395</v>
      </c>
    </row>
    <row r="1250" spans="1:8" ht="15.75" thickBot="1" x14ac:dyDescent="0.3">
      <c r="A1250" s="1">
        <v>2017</v>
      </c>
      <c r="B1250" s="1" t="s">
        <v>16</v>
      </c>
      <c r="C1250" s="1" t="s">
        <v>9</v>
      </c>
      <c r="D1250" s="1" t="s">
        <v>24</v>
      </c>
      <c r="E1250" s="1">
        <v>202692.38</v>
      </c>
      <c r="F1250" s="1">
        <v>3010.06</v>
      </c>
      <c r="G1250" s="1">
        <v>1077</v>
      </c>
      <c r="H1250" s="1">
        <v>188.2009099</v>
      </c>
    </row>
    <row r="1251" spans="1:8" ht="15.75" thickBot="1" x14ac:dyDescent="0.3">
      <c r="A1251" s="1">
        <v>2016</v>
      </c>
      <c r="B1251" s="1" t="s">
        <v>11</v>
      </c>
      <c r="C1251" s="1" t="s">
        <v>33</v>
      </c>
      <c r="D1251" s="1" t="s">
        <v>13</v>
      </c>
      <c r="E1251" s="1">
        <v>2334734.94</v>
      </c>
      <c r="F1251" s="1">
        <v>75265.41</v>
      </c>
      <c r="G1251" s="1">
        <v>276142</v>
      </c>
      <c r="H1251" s="1">
        <v>8.4548346139999992</v>
      </c>
    </row>
    <row r="1252" spans="1:8" ht="15.75" thickBot="1" x14ac:dyDescent="0.3">
      <c r="A1252" s="1">
        <v>2016</v>
      </c>
      <c r="B1252" s="1" t="s">
        <v>30</v>
      </c>
      <c r="C1252" s="1" t="s">
        <v>23</v>
      </c>
      <c r="D1252" s="1" t="s">
        <v>24</v>
      </c>
      <c r="E1252" s="1">
        <v>19413593.75</v>
      </c>
      <c r="F1252" s="1">
        <v>689648.2</v>
      </c>
      <c r="G1252" s="1">
        <v>158197</v>
      </c>
      <c r="H1252" s="1">
        <v>122.7178376</v>
      </c>
    </row>
    <row r="1253" spans="1:8" ht="15.75" thickBot="1" x14ac:dyDescent="0.3">
      <c r="A1253" s="1">
        <v>2015</v>
      </c>
      <c r="B1253" s="1" t="s">
        <v>11</v>
      </c>
      <c r="C1253" s="1" t="s">
        <v>15</v>
      </c>
      <c r="D1253" s="1" t="s">
        <v>10</v>
      </c>
      <c r="E1253" s="1">
        <v>142724207.40000001</v>
      </c>
      <c r="F1253" s="1">
        <v>3023193.59</v>
      </c>
      <c r="G1253" s="1">
        <v>1772332</v>
      </c>
      <c r="H1253" s="1">
        <v>80.529047239999997</v>
      </c>
    </row>
    <row r="1254" spans="1:8" ht="15.75" thickBot="1" x14ac:dyDescent="0.3">
      <c r="A1254" s="1">
        <v>2014</v>
      </c>
      <c r="B1254" s="1" t="s">
        <v>12</v>
      </c>
      <c r="C1254" s="1" t="s">
        <v>9</v>
      </c>
      <c r="D1254" s="1" t="s">
        <v>37</v>
      </c>
      <c r="E1254" s="1">
        <v>90770292.829999998</v>
      </c>
      <c r="F1254" s="1">
        <v>2602244.84</v>
      </c>
      <c r="G1254" s="1">
        <v>206110</v>
      </c>
      <c r="H1254" s="1">
        <v>440.39732579999998</v>
      </c>
    </row>
    <row r="1255" spans="1:8" ht="15.75" thickBot="1" x14ac:dyDescent="0.3">
      <c r="A1255" s="1">
        <v>2016</v>
      </c>
      <c r="B1255" s="1" t="s">
        <v>14</v>
      </c>
      <c r="C1255" s="1" t="s">
        <v>18</v>
      </c>
      <c r="D1255" s="1" t="s">
        <v>31</v>
      </c>
      <c r="E1255" s="1">
        <v>227146.55</v>
      </c>
      <c r="F1255" s="1">
        <v>8720.4699999999993</v>
      </c>
      <c r="G1255" s="1">
        <v>5028</v>
      </c>
      <c r="H1255" s="1">
        <v>45.176322589999998</v>
      </c>
    </row>
    <row r="1256" spans="1:8" ht="15.75" thickBot="1" x14ac:dyDescent="0.3">
      <c r="A1256" s="1">
        <v>2015</v>
      </c>
      <c r="B1256" s="1" t="s">
        <v>11</v>
      </c>
      <c r="C1256" s="1" t="s">
        <v>9</v>
      </c>
      <c r="D1256" s="1" t="s">
        <v>22</v>
      </c>
      <c r="E1256" s="1">
        <v>575.64</v>
      </c>
      <c r="F1256" s="1">
        <v>195.52</v>
      </c>
      <c r="G1256" s="1">
        <v>35497</v>
      </c>
      <c r="H1256" s="1">
        <v>1.6216581680000001E-2</v>
      </c>
    </row>
    <row r="1257" spans="1:8" ht="15.75" thickBot="1" x14ac:dyDescent="0.3">
      <c r="A1257" s="1">
        <v>2015</v>
      </c>
      <c r="B1257" s="1" t="s">
        <v>30</v>
      </c>
      <c r="C1257" s="1" t="s">
        <v>9</v>
      </c>
      <c r="D1257" s="1" t="s">
        <v>29</v>
      </c>
      <c r="E1257" s="1">
        <v>65912.5</v>
      </c>
      <c r="F1257" s="1">
        <v>1486.9</v>
      </c>
      <c r="G1257" s="1">
        <v>714</v>
      </c>
      <c r="H1257" s="1">
        <v>92.31442577</v>
      </c>
    </row>
    <row r="1258" spans="1:8" ht="15.75" thickBot="1" x14ac:dyDescent="0.3">
      <c r="A1258" s="1">
        <v>2017</v>
      </c>
      <c r="B1258" s="1" t="s">
        <v>16</v>
      </c>
      <c r="C1258" s="1" t="s">
        <v>9</v>
      </c>
      <c r="D1258" s="1" t="s">
        <v>29</v>
      </c>
      <c r="E1258" s="1">
        <v>38448301.189999998</v>
      </c>
      <c r="F1258" s="1">
        <v>1228295.6100000001</v>
      </c>
      <c r="G1258" s="1">
        <v>115672</v>
      </c>
      <c r="H1258" s="1">
        <v>332.39073580000002</v>
      </c>
    </row>
    <row r="1259" spans="1:8" ht="15.75" thickBot="1" x14ac:dyDescent="0.3">
      <c r="A1259" s="1">
        <v>2016</v>
      </c>
      <c r="B1259" s="1" t="s">
        <v>40</v>
      </c>
      <c r="C1259" s="1" t="s">
        <v>33</v>
      </c>
      <c r="D1259" s="1" t="s">
        <v>13</v>
      </c>
      <c r="E1259" s="1">
        <v>813.85</v>
      </c>
      <c r="F1259" s="1">
        <v>0.68</v>
      </c>
      <c r="G1259" s="1">
        <v>17</v>
      </c>
      <c r="H1259" s="1">
        <v>47.873529410000003</v>
      </c>
    </row>
    <row r="1260" spans="1:8" ht="15.75" thickBot="1" x14ac:dyDescent="0.3">
      <c r="A1260" s="1">
        <v>2015</v>
      </c>
      <c r="B1260" s="1" t="s">
        <v>20</v>
      </c>
      <c r="C1260" s="1" t="s">
        <v>21</v>
      </c>
      <c r="D1260" s="1" t="s">
        <v>32</v>
      </c>
      <c r="E1260" s="1">
        <v>5106577.93</v>
      </c>
      <c r="F1260" s="1">
        <v>211895.07</v>
      </c>
      <c r="G1260" s="1">
        <v>186641</v>
      </c>
      <c r="H1260" s="1">
        <v>27.360429539999998</v>
      </c>
    </row>
    <row r="1261" spans="1:8" ht="15.75" thickBot="1" x14ac:dyDescent="0.3">
      <c r="A1261" s="1">
        <v>2016</v>
      </c>
      <c r="B1261" s="1" t="s">
        <v>14</v>
      </c>
      <c r="C1261" s="1" t="s">
        <v>9</v>
      </c>
      <c r="D1261" s="1" t="s">
        <v>37</v>
      </c>
      <c r="E1261" s="1">
        <v>190915599.90000001</v>
      </c>
      <c r="F1261" s="1">
        <v>6208857.9500000002</v>
      </c>
      <c r="G1261" s="1">
        <v>1039537</v>
      </c>
      <c r="H1261" s="1">
        <v>183.6544537</v>
      </c>
    </row>
    <row r="1262" spans="1:8" ht="15.75" thickBot="1" x14ac:dyDescent="0.3">
      <c r="A1262" s="1">
        <v>2016</v>
      </c>
      <c r="B1262" s="1" t="s">
        <v>35</v>
      </c>
      <c r="C1262" s="1" t="s">
        <v>33</v>
      </c>
      <c r="D1262" s="1" t="s">
        <v>19</v>
      </c>
      <c r="E1262" s="1">
        <v>45128.17</v>
      </c>
      <c r="F1262" s="1">
        <v>840.21</v>
      </c>
      <c r="G1262" s="1">
        <v>812</v>
      </c>
      <c r="H1262" s="1">
        <v>55.576564040000001</v>
      </c>
    </row>
    <row r="1263" spans="1:8" ht="15.75" thickBot="1" x14ac:dyDescent="0.3">
      <c r="A1263" s="1">
        <v>2016</v>
      </c>
      <c r="B1263" s="1" t="s">
        <v>17</v>
      </c>
      <c r="C1263" s="1" t="s">
        <v>26</v>
      </c>
      <c r="D1263" s="1" t="s">
        <v>22</v>
      </c>
      <c r="E1263" s="1">
        <v>1072117.8899999999</v>
      </c>
      <c r="F1263" s="1">
        <v>36988.21</v>
      </c>
      <c r="G1263" s="1">
        <v>64899</v>
      </c>
      <c r="H1263" s="1">
        <v>16.5197906</v>
      </c>
    </row>
    <row r="1264" spans="1:8" ht="15.75" thickBot="1" x14ac:dyDescent="0.3">
      <c r="A1264" s="1">
        <v>2015</v>
      </c>
      <c r="B1264" s="1" t="s">
        <v>16</v>
      </c>
      <c r="C1264" s="1" t="s">
        <v>26</v>
      </c>
      <c r="D1264" s="1" t="s">
        <v>10</v>
      </c>
      <c r="E1264" s="1">
        <v>10663529.07</v>
      </c>
      <c r="F1264" s="1">
        <v>383082.6</v>
      </c>
      <c r="G1264" s="1">
        <v>185191</v>
      </c>
      <c r="H1264" s="1">
        <v>57.581248930000001</v>
      </c>
    </row>
    <row r="1265" spans="1:8" ht="15.75" thickBot="1" x14ac:dyDescent="0.3">
      <c r="A1265" s="1">
        <v>2017</v>
      </c>
      <c r="B1265" s="1" t="s">
        <v>35</v>
      </c>
      <c r="C1265" s="1" t="s">
        <v>23</v>
      </c>
      <c r="D1265" s="1" t="s">
        <v>10</v>
      </c>
      <c r="E1265" s="1">
        <v>195.53</v>
      </c>
      <c r="F1265" s="1">
        <v>39.89</v>
      </c>
      <c r="G1265" s="1">
        <v>70</v>
      </c>
      <c r="H1265" s="1">
        <v>2.793285714</v>
      </c>
    </row>
    <row r="1266" spans="1:8" ht="15.75" thickBot="1" x14ac:dyDescent="0.3">
      <c r="A1266" s="1">
        <v>2015</v>
      </c>
      <c r="B1266" s="1" t="s">
        <v>14</v>
      </c>
      <c r="C1266" s="1" t="s">
        <v>23</v>
      </c>
      <c r="D1266" s="1" t="s">
        <v>31</v>
      </c>
      <c r="E1266" s="1">
        <v>402944.74</v>
      </c>
      <c r="F1266" s="1">
        <v>16048.13</v>
      </c>
      <c r="G1266" s="1">
        <v>10284</v>
      </c>
      <c r="H1266" s="1">
        <v>39.181713340000002</v>
      </c>
    </row>
    <row r="1267" spans="1:8" ht="15.75" thickBot="1" x14ac:dyDescent="0.3">
      <c r="A1267" s="1">
        <v>2014</v>
      </c>
      <c r="B1267" s="1" t="s">
        <v>14</v>
      </c>
      <c r="C1267" s="1" t="s">
        <v>21</v>
      </c>
      <c r="D1267" s="1" t="s">
        <v>27</v>
      </c>
      <c r="E1267" s="1">
        <v>275777509.60000002</v>
      </c>
      <c r="F1267" s="1">
        <v>11741963.859999999</v>
      </c>
      <c r="G1267" s="1">
        <v>9079038</v>
      </c>
      <c r="H1267" s="1">
        <v>30.375190589999999</v>
      </c>
    </row>
    <row r="1268" spans="1:8" ht="15.75" thickBot="1" x14ac:dyDescent="0.3">
      <c r="A1268" s="1">
        <v>2017</v>
      </c>
      <c r="B1268" s="1" t="s">
        <v>12</v>
      </c>
      <c r="C1268" s="1" t="s">
        <v>33</v>
      </c>
      <c r="D1268" s="1" t="s">
        <v>27</v>
      </c>
      <c r="E1268" s="1">
        <v>13472221.93</v>
      </c>
      <c r="F1268" s="1">
        <v>519828.61</v>
      </c>
      <c r="G1268" s="1">
        <v>298530</v>
      </c>
      <c r="H1268" s="1">
        <v>45.128536259999997</v>
      </c>
    </row>
    <row r="1269" spans="1:8" ht="15.75" thickBot="1" x14ac:dyDescent="0.3">
      <c r="A1269" s="1">
        <v>2014</v>
      </c>
      <c r="B1269" s="1" t="s">
        <v>14</v>
      </c>
      <c r="C1269" s="1" t="s">
        <v>33</v>
      </c>
      <c r="D1269" s="1" t="s">
        <v>13</v>
      </c>
      <c r="E1269" s="1">
        <v>58733.440000000002</v>
      </c>
      <c r="F1269" s="1">
        <v>1956.56</v>
      </c>
      <c r="G1269" s="1">
        <v>856</v>
      </c>
      <c r="H1269" s="1">
        <v>68.613831779999998</v>
      </c>
    </row>
    <row r="1270" spans="1:8" ht="15.75" thickBot="1" x14ac:dyDescent="0.3">
      <c r="A1270" s="1">
        <v>2015</v>
      </c>
      <c r="B1270" s="1" t="s">
        <v>20</v>
      </c>
      <c r="C1270" s="1" t="s">
        <v>9</v>
      </c>
      <c r="D1270" s="1" t="s">
        <v>31</v>
      </c>
      <c r="E1270" s="1">
        <v>4.8899999999999997</v>
      </c>
      <c r="F1270" s="1">
        <v>0.45</v>
      </c>
      <c r="G1270" s="1">
        <v>156</v>
      </c>
      <c r="H1270" s="1">
        <v>3.1346153850000003E-2</v>
      </c>
    </row>
    <row r="1271" spans="1:8" ht="15.75" thickBot="1" x14ac:dyDescent="0.3">
      <c r="A1271" s="1">
        <v>2016</v>
      </c>
      <c r="B1271" s="1" t="s">
        <v>14</v>
      </c>
      <c r="C1271" s="1" t="s">
        <v>28</v>
      </c>
      <c r="D1271" s="1" t="s">
        <v>10</v>
      </c>
      <c r="E1271" s="1">
        <v>4064333.27</v>
      </c>
      <c r="F1271" s="1">
        <v>151332.01999999999</v>
      </c>
      <c r="G1271" s="1">
        <v>73643</v>
      </c>
      <c r="H1271" s="1">
        <v>55.189675459999997</v>
      </c>
    </row>
    <row r="1272" spans="1:8" ht="15.75" thickBot="1" x14ac:dyDescent="0.3">
      <c r="A1272" s="1">
        <v>2017</v>
      </c>
      <c r="B1272" s="1" t="s">
        <v>12</v>
      </c>
      <c r="C1272" s="1" t="s">
        <v>28</v>
      </c>
      <c r="D1272" s="1" t="s">
        <v>36</v>
      </c>
      <c r="E1272" s="1">
        <v>15790947.33</v>
      </c>
      <c r="F1272" s="1">
        <v>16744.63</v>
      </c>
      <c r="G1272" s="1">
        <v>60321</v>
      </c>
      <c r="H1272" s="1">
        <v>261.7819222</v>
      </c>
    </row>
    <row r="1273" spans="1:8" ht="15.75" thickBot="1" x14ac:dyDescent="0.3">
      <c r="A1273" s="1">
        <v>2014</v>
      </c>
      <c r="B1273" s="1" t="s">
        <v>11</v>
      </c>
      <c r="C1273" s="1" t="s">
        <v>21</v>
      </c>
      <c r="D1273" s="1" t="s">
        <v>29</v>
      </c>
      <c r="E1273" s="1">
        <v>951482.01</v>
      </c>
      <c r="F1273" s="1">
        <v>25701.14</v>
      </c>
      <c r="G1273" s="1">
        <v>2325</v>
      </c>
      <c r="H1273" s="1">
        <v>409.23957419999999</v>
      </c>
    </row>
    <row r="1274" spans="1:8" ht="15.75" thickBot="1" x14ac:dyDescent="0.3">
      <c r="A1274" s="1">
        <v>2014</v>
      </c>
      <c r="B1274" s="1" t="s">
        <v>40</v>
      </c>
      <c r="C1274" s="1" t="s">
        <v>9</v>
      </c>
      <c r="D1274" s="1" t="s">
        <v>32</v>
      </c>
      <c r="E1274" s="1">
        <v>-47.4</v>
      </c>
      <c r="F1274" s="1">
        <v>0</v>
      </c>
      <c r="G1274" s="1">
        <v>2</v>
      </c>
      <c r="H1274" s="1">
        <v>-23.7</v>
      </c>
    </row>
    <row r="1275" spans="1:8" ht="15.75" thickBot="1" x14ac:dyDescent="0.3">
      <c r="A1275" s="1">
        <v>2016</v>
      </c>
      <c r="B1275" s="1" t="s">
        <v>8</v>
      </c>
      <c r="C1275" s="1" t="s">
        <v>33</v>
      </c>
      <c r="D1275" s="1" t="s">
        <v>19</v>
      </c>
      <c r="E1275" s="1">
        <v>2647.62</v>
      </c>
      <c r="F1275" s="1">
        <v>52.1</v>
      </c>
      <c r="G1275" s="1">
        <v>17</v>
      </c>
      <c r="H1275" s="1">
        <v>155.74235289999999</v>
      </c>
    </row>
    <row r="1276" spans="1:8" ht="15.75" thickBot="1" x14ac:dyDescent="0.3">
      <c r="A1276" s="1">
        <v>2016</v>
      </c>
      <c r="B1276" s="1" t="s">
        <v>35</v>
      </c>
      <c r="C1276" s="1" t="s">
        <v>23</v>
      </c>
      <c r="D1276" s="1" t="s">
        <v>24</v>
      </c>
      <c r="E1276" s="1">
        <v>411.94</v>
      </c>
      <c r="F1276" s="1">
        <v>15.12</v>
      </c>
      <c r="G1276" s="1">
        <v>8</v>
      </c>
      <c r="H1276" s="1">
        <v>51.4925</v>
      </c>
    </row>
    <row r="1277" spans="1:8" ht="15.75" thickBot="1" x14ac:dyDescent="0.3">
      <c r="A1277" s="1">
        <v>2014</v>
      </c>
      <c r="B1277" s="1" t="s">
        <v>17</v>
      </c>
      <c r="C1277" s="1" t="s">
        <v>23</v>
      </c>
      <c r="D1277" s="1" t="s">
        <v>19</v>
      </c>
      <c r="E1277" s="1">
        <v>18003410.879999999</v>
      </c>
      <c r="F1277" s="1">
        <v>622049.93000000005</v>
      </c>
      <c r="G1277" s="1">
        <v>113423</v>
      </c>
      <c r="H1277" s="1">
        <v>158.72804350000001</v>
      </c>
    </row>
    <row r="1278" spans="1:8" ht="15.75" thickBot="1" x14ac:dyDescent="0.3">
      <c r="A1278" s="1">
        <v>2017</v>
      </c>
      <c r="B1278" s="1" t="s">
        <v>11</v>
      </c>
      <c r="C1278" s="1" t="s">
        <v>9</v>
      </c>
      <c r="D1278" s="1" t="s">
        <v>37</v>
      </c>
      <c r="E1278" s="1">
        <v>826333158.20000005</v>
      </c>
      <c r="F1278" s="1">
        <v>20878543.34</v>
      </c>
      <c r="G1278" s="1">
        <v>1162939</v>
      </c>
      <c r="H1278" s="1">
        <v>710.55589169999996</v>
      </c>
    </row>
    <row r="1279" spans="1:8" ht="15.75" thickBot="1" x14ac:dyDescent="0.3">
      <c r="A1279" s="1">
        <v>2017</v>
      </c>
      <c r="B1279" s="1" t="s">
        <v>17</v>
      </c>
      <c r="C1279" s="1" t="s">
        <v>23</v>
      </c>
      <c r="D1279" s="1" t="s">
        <v>13</v>
      </c>
      <c r="E1279" s="1">
        <v>7317433.9199999999</v>
      </c>
      <c r="F1279" s="1">
        <v>248679.34</v>
      </c>
      <c r="G1279" s="1">
        <v>181524</v>
      </c>
      <c r="H1279" s="1">
        <v>40.311109940000001</v>
      </c>
    </row>
    <row r="1280" spans="1:8" ht="15.75" thickBot="1" x14ac:dyDescent="0.3">
      <c r="A1280" s="1">
        <v>2016</v>
      </c>
      <c r="B1280" s="1" t="s">
        <v>35</v>
      </c>
      <c r="C1280" s="1" t="s">
        <v>33</v>
      </c>
      <c r="D1280" s="1" t="s">
        <v>13</v>
      </c>
      <c r="E1280" s="1">
        <v>19</v>
      </c>
      <c r="F1280" s="1">
        <v>0</v>
      </c>
      <c r="G1280" s="1">
        <v>11</v>
      </c>
      <c r="H1280" s="1">
        <v>1.7272727269999999</v>
      </c>
    </row>
    <row r="1281" spans="1:8" ht="15.75" thickBot="1" x14ac:dyDescent="0.3">
      <c r="A1281" s="1">
        <v>2016</v>
      </c>
      <c r="B1281" s="1" t="s">
        <v>17</v>
      </c>
      <c r="C1281" s="1" t="s">
        <v>25</v>
      </c>
      <c r="D1281" s="1" t="s">
        <v>24</v>
      </c>
      <c r="E1281" s="1">
        <v>33886572.299999997</v>
      </c>
      <c r="F1281" s="1">
        <v>1164581.19</v>
      </c>
      <c r="G1281" s="1">
        <v>150239</v>
      </c>
      <c r="H1281" s="1">
        <v>225.55110389999999</v>
      </c>
    </row>
    <row r="1282" spans="1:8" ht="15.75" thickBot="1" x14ac:dyDescent="0.3">
      <c r="A1282" s="1">
        <v>2014</v>
      </c>
      <c r="B1282" s="1" t="s">
        <v>11</v>
      </c>
      <c r="C1282" s="1" t="s">
        <v>23</v>
      </c>
      <c r="D1282" s="1" t="s">
        <v>24</v>
      </c>
      <c r="E1282" s="1">
        <v>2078214.31</v>
      </c>
      <c r="F1282" s="1">
        <v>55760.67</v>
      </c>
      <c r="G1282" s="1">
        <v>7014</v>
      </c>
      <c r="H1282" s="1">
        <v>296.29516819999998</v>
      </c>
    </row>
    <row r="1283" spans="1:8" ht="15.75" thickBot="1" x14ac:dyDescent="0.3">
      <c r="A1283" s="1">
        <v>2017</v>
      </c>
      <c r="B1283" s="1" t="s">
        <v>14</v>
      </c>
      <c r="C1283" s="1" t="s">
        <v>28</v>
      </c>
      <c r="D1283" s="1" t="s">
        <v>34</v>
      </c>
      <c r="E1283" s="1">
        <v>1027028.08</v>
      </c>
      <c r="F1283" s="1">
        <v>7659.11</v>
      </c>
      <c r="G1283" s="1">
        <v>12961</v>
      </c>
      <c r="H1283" s="1">
        <v>79.239879639999998</v>
      </c>
    </row>
    <row r="1284" spans="1:8" ht="15.75" thickBot="1" x14ac:dyDescent="0.3">
      <c r="A1284" s="1">
        <v>2014</v>
      </c>
      <c r="B1284" s="1" t="s">
        <v>12</v>
      </c>
      <c r="C1284" s="1" t="s">
        <v>23</v>
      </c>
      <c r="D1284" s="1" t="s">
        <v>27</v>
      </c>
      <c r="E1284" s="1">
        <v>18629895.57</v>
      </c>
      <c r="F1284" s="1">
        <v>754760.23</v>
      </c>
      <c r="G1284" s="1">
        <v>513206</v>
      </c>
      <c r="H1284" s="1">
        <v>36.301008889999999</v>
      </c>
    </row>
    <row r="1285" spans="1:8" ht="15.75" thickBot="1" x14ac:dyDescent="0.3">
      <c r="A1285" s="1">
        <v>2014</v>
      </c>
      <c r="B1285" s="1" t="s">
        <v>20</v>
      </c>
      <c r="C1285" s="1" t="s">
        <v>23</v>
      </c>
      <c r="D1285" s="1" t="s">
        <v>29</v>
      </c>
      <c r="E1285" s="1">
        <v>140687.85</v>
      </c>
      <c r="F1285" s="1">
        <v>5377.64</v>
      </c>
      <c r="G1285" s="1">
        <v>2447</v>
      </c>
      <c r="H1285" s="1">
        <v>57.494013080000002</v>
      </c>
    </row>
    <row r="1286" spans="1:8" ht="15.75" thickBot="1" x14ac:dyDescent="0.3">
      <c r="A1286" s="1">
        <v>2017</v>
      </c>
      <c r="B1286" s="1" t="s">
        <v>11</v>
      </c>
      <c r="C1286" s="1" t="s">
        <v>23</v>
      </c>
      <c r="D1286" s="1" t="s">
        <v>32</v>
      </c>
      <c r="E1286" s="1">
        <v>85781720.510000005</v>
      </c>
      <c r="F1286" s="1">
        <v>3177439.61</v>
      </c>
      <c r="G1286" s="1">
        <v>2382044</v>
      </c>
      <c r="H1286" s="1">
        <v>36.01181192</v>
      </c>
    </row>
    <row r="1287" spans="1:8" ht="15.75" thickBot="1" x14ac:dyDescent="0.3">
      <c r="A1287" s="1">
        <v>2014</v>
      </c>
      <c r="B1287" s="1" t="s">
        <v>20</v>
      </c>
      <c r="C1287" s="1" t="s">
        <v>33</v>
      </c>
      <c r="D1287" s="1" t="s">
        <v>19</v>
      </c>
      <c r="E1287" s="1">
        <v>4720291.53</v>
      </c>
      <c r="F1287" s="1">
        <v>164135</v>
      </c>
      <c r="G1287" s="1">
        <v>63051</v>
      </c>
      <c r="H1287" s="1">
        <v>74.864657660000006</v>
      </c>
    </row>
    <row r="1288" spans="1:8" ht="15.75" thickBot="1" x14ac:dyDescent="0.3">
      <c r="A1288" s="1">
        <v>2015</v>
      </c>
      <c r="B1288" s="1" t="s">
        <v>20</v>
      </c>
      <c r="C1288" s="1" t="s">
        <v>9</v>
      </c>
      <c r="D1288" s="1" t="s">
        <v>27</v>
      </c>
      <c r="E1288" s="1">
        <v>840984.92</v>
      </c>
      <c r="F1288" s="1">
        <v>31266.15</v>
      </c>
      <c r="G1288" s="1">
        <v>19698</v>
      </c>
      <c r="H1288" s="1">
        <v>42.693924260000003</v>
      </c>
    </row>
    <row r="1289" spans="1:8" ht="15.75" thickBot="1" x14ac:dyDescent="0.3">
      <c r="A1289" s="1">
        <v>2015</v>
      </c>
      <c r="B1289" s="1" t="s">
        <v>35</v>
      </c>
      <c r="C1289" s="1" t="s">
        <v>25</v>
      </c>
      <c r="D1289" s="1" t="s">
        <v>19</v>
      </c>
      <c r="E1289" s="1">
        <v>26959.119999999999</v>
      </c>
      <c r="F1289" s="1">
        <v>515.70000000000005</v>
      </c>
      <c r="G1289" s="1">
        <v>464</v>
      </c>
      <c r="H1289" s="1">
        <v>58.101551720000003</v>
      </c>
    </row>
    <row r="1290" spans="1:8" ht="15.75" thickBot="1" x14ac:dyDescent="0.3">
      <c r="A1290" s="1">
        <v>2016</v>
      </c>
      <c r="B1290" s="1" t="s">
        <v>35</v>
      </c>
      <c r="C1290" s="1" t="s">
        <v>28</v>
      </c>
      <c r="D1290" s="1" t="s">
        <v>19</v>
      </c>
      <c r="E1290" s="1">
        <v>53019.76</v>
      </c>
      <c r="F1290" s="1">
        <v>1853.24</v>
      </c>
      <c r="G1290" s="1">
        <v>1888</v>
      </c>
      <c r="H1290" s="1">
        <v>28.0825</v>
      </c>
    </row>
    <row r="1291" spans="1:8" ht="15.75" thickBot="1" x14ac:dyDescent="0.3">
      <c r="A1291" s="1">
        <v>2017</v>
      </c>
      <c r="B1291" s="1" t="s">
        <v>30</v>
      </c>
      <c r="C1291" s="1" t="s">
        <v>9</v>
      </c>
      <c r="D1291" s="1" t="s">
        <v>31</v>
      </c>
      <c r="E1291" s="1">
        <v>19.84</v>
      </c>
      <c r="F1291" s="1">
        <v>3.05</v>
      </c>
      <c r="G1291" s="1">
        <v>14</v>
      </c>
      <c r="H1291" s="1">
        <v>1.417142857</v>
      </c>
    </row>
    <row r="1292" spans="1:8" ht="15.75" thickBot="1" x14ac:dyDescent="0.3">
      <c r="A1292" s="1">
        <v>2014</v>
      </c>
      <c r="B1292" s="1" t="s">
        <v>14</v>
      </c>
      <c r="C1292" s="1" t="s">
        <v>23</v>
      </c>
      <c r="D1292" s="1" t="s">
        <v>24</v>
      </c>
      <c r="E1292" s="1">
        <v>7710448.96</v>
      </c>
      <c r="F1292" s="1">
        <v>291115.84999999998</v>
      </c>
      <c r="G1292" s="1">
        <v>104362</v>
      </c>
      <c r="H1292" s="1">
        <v>73.881766929999998</v>
      </c>
    </row>
    <row r="1293" spans="1:8" ht="15.75" thickBot="1" x14ac:dyDescent="0.3">
      <c r="A1293" s="1">
        <v>2016</v>
      </c>
      <c r="B1293" s="1" t="s">
        <v>12</v>
      </c>
      <c r="C1293" s="1" t="s">
        <v>28</v>
      </c>
      <c r="D1293" s="1" t="s">
        <v>36</v>
      </c>
      <c r="E1293" s="1">
        <v>10908170.130000001</v>
      </c>
      <c r="F1293" s="1">
        <v>10886.28</v>
      </c>
      <c r="G1293" s="1">
        <v>43668</v>
      </c>
      <c r="H1293" s="1">
        <v>249.79779540000001</v>
      </c>
    </row>
    <row r="1294" spans="1:8" ht="15.75" thickBot="1" x14ac:dyDescent="0.3">
      <c r="A1294" s="1">
        <v>2014</v>
      </c>
      <c r="B1294" s="1" t="s">
        <v>17</v>
      </c>
      <c r="C1294" s="1" t="s">
        <v>18</v>
      </c>
      <c r="D1294" s="1" t="s">
        <v>27</v>
      </c>
      <c r="E1294" s="1">
        <v>80590065.549999997</v>
      </c>
      <c r="F1294" s="1">
        <v>2555101.7200000002</v>
      </c>
      <c r="G1294" s="1">
        <v>842654</v>
      </c>
      <c r="H1294" s="1">
        <v>95.638382480000004</v>
      </c>
    </row>
    <row r="1295" spans="1:8" ht="15.75" thickBot="1" x14ac:dyDescent="0.3">
      <c r="A1295" s="1">
        <v>2016</v>
      </c>
      <c r="B1295" s="1" t="s">
        <v>14</v>
      </c>
      <c r="C1295" s="1" t="s">
        <v>9</v>
      </c>
      <c r="D1295" s="1" t="s">
        <v>27</v>
      </c>
      <c r="E1295" s="1">
        <v>341576.14</v>
      </c>
      <c r="F1295" s="1">
        <v>12927.31</v>
      </c>
      <c r="G1295" s="1">
        <v>32172</v>
      </c>
      <c r="H1295" s="1">
        <v>10.61718699</v>
      </c>
    </row>
    <row r="1296" spans="1:8" ht="15.75" thickBot="1" x14ac:dyDescent="0.3">
      <c r="A1296" s="1">
        <v>2014</v>
      </c>
      <c r="B1296" s="1" t="s">
        <v>20</v>
      </c>
      <c r="C1296" s="1" t="s">
        <v>21</v>
      </c>
      <c r="D1296" s="1" t="s">
        <v>24</v>
      </c>
      <c r="E1296" s="1">
        <v>886177.61</v>
      </c>
      <c r="F1296" s="1">
        <v>30851.119999999999</v>
      </c>
      <c r="G1296" s="1">
        <v>10562</v>
      </c>
      <c r="H1296" s="1">
        <v>83.902443669999997</v>
      </c>
    </row>
    <row r="1297" spans="1:8" ht="15.75" thickBot="1" x14ac:dyDescent="0.3">
      <c r="A1297" s="1">
        <v>2017</v>
      </c>
      <c r="B1297" s="1" t="s">
        <v>40</v>
      </c>
      <c r="C1297" s="1" t="s">
        <v>25</v>
      </c>
      <c r="D1297" s="1" t="s">
        <v>32</v>
      </c>
      <c r="E1297" s="1">
        <v>1399.7</v>
      </c>
      <c r="F1297" s="1">
        <v>124.04</v>
      </c>
      <c r="G1297" s="1">
        <v>120</v>
      </c>
      <c r="H1297" s="1">
        <v>11.66416667</v>
      </c>
    </row>
    <row r="1298" spans="1:8" ht="15.75" thickBot="1" x14ac:dyDescent="0.3">
      <c r="A1298" s="1">
        <v>2016</v>
      </c>
      <c r="B1298" s="1" t="s">
        <v>30</v>
      </c>
      <c r="C1298" s="1" t="s">
        <v>9</v>
      </c>
      <c r="D1298" s="1" t="s">
        <v>13</v>
      </c>
      <c r="E1298" s="1">
        <v>256.58</v>
      </c>
      <c r="F1298" s="1">
        <v>8.0399999999999991</v>
      </c>
      <c r="G1298" s="1">
        <v>2</v>
      </c>
      <c r="H1298" s="1">
        <v>128.29</v>
      </c>
    </row>
    <row r="1299" spans="1:8" ht="15.75" thickBot="1" x14ac:dyDescent="0.3">
      <c r="A1299" s="1">
        <v>2014</v>
      </c>
      <c r="B1299" s="1" t="s">
        <v>30</v>
      </c>
      <c r="C1299" s="1" t="s">
        <v>33</v>
      </c>
      <c r="D1299" s="1" t="s">
        <v>29</v>
      </c>
      <c r="E1299" s="1">
        <v>8961550.1899999995</v>
      </c>
      <c r="F1299" s="1">
        <v>278731.87</v>
      </c>
      <c r="G1299" s="1">
        <v>41669</v>
      </c>
      <c r="H1299" s="1">
        <v>215.0651609</v>
      </c>
    </row>
    <row r="1300" spans="1:8" ht="15.75" thickBot="1" x14ac:dyDescent="0.3">
      <c r="A1300" s="1">
        <v>2017</v>
      </c>
      <c r="B1300" s="1" t="s">
        <v>14</v>
      </c>
      <c r="C1300" s="1" t="s">
        <v>21</v>
      </c>
      <c r="D1300" s="1" t="s">
        <v>22</v>
      </c>
      <c r="E1300" s="1">
        <v>18119.11</v>
      </c>
      <c r="F1300" s="1">
        <v>695.06</v>
      </c>
      <c r="G1300" s="1">
        <v>1207</v>
      </c>
      <c r="H1300" s="1">
        <v>15.011690140000001</v>
      </c>
    </row>
    <row r="1301" spans="1:8" ht="15.75" thickBot="1" x14ac:dyDescent="0.3">
      <c r="A1301" s="1">
        <v>2015</v>
      </c>
      <c r="B1301" s="1" t="s">
        <v>12</v>
      </c>
      <c r="C1301" s="1" t="s">
        <v>9</v>
      </c>
      <c r="D1301" s="1" t="s">
        <v>29</v>
      </c>
      <c r="E1301" s="1">
        <v>5080682.4400000004</v>
      </c>
      <c r="F1301" s="1">
        <v>157009.09</v>
      </c>
      <c r="G1301" s="1">
        <v>15832</v>
      </c>
      <c r="H1301" s="1">
        <v>320.9122309</v>
      </c>
    </row>
    <row r="1302" spans="1:8" ht="15.75" thickBot="1" x14ac:dyDescent="0.3">
      <c r="A1302" s="1">
        <v>2017</v>
      </c>
      <c r="B1302" s="1" t="s">
        <v>16</v>
      </c>
      <c r="C1302" s="1" t="s">
        <v>21</v>
      </c>
      <c r="D1302" s="1" t="s">
        <v>24</v>
      </c>
      <c r="E1302" s="1">
        <v>55609941.68</v>
      </c>
      <c r="F1302" s="1">
        <v>1994341.51</v>
      </c>
      <c r="G1302" s="1">
        <v>248041</v>
      </c>
      <c r="H1302" s="1">
        <v>224.1965711</v>
      </c>
    </row>
    <row r="1303" spans="1:8" ht="15.75" thickBot="1" x14ac:dyDescent="0.3">
      <c r="A1303" s="1">
        <v>2014</v>
      </c>
      <c r="B1303" s="1" t="s">
        <v>30</v>
      </c>
      <c r="C1303" s="1" t="s">
        <v>15</v>
      </c>
      <c r="D1303" s="1" t="s">
        <v>19</v>
      </c>
      <c r="E1303" s="1">
        <v>113170652.90000001</v>
      </c>
      <c r="F1303" s="1">
        <v>3154544.74</v>
      </c>
      <c r="G1303" s="1">
        <v>702868</v>
      </c>
      <c r="H1303" s="1">
        <v>161.01266939999999</v>
      </c>
    </row>
    <row r="1304" spans="1:8" ht="15.75" thickBot="1" x14ac:dyDescent="0.3">
      <c r="A1304" s="1">
        <v>2015</v>
      </c>
      <c r="B1304" s="1" t="s">
        <v>35</v>
      </c>
      <c r="C1304" s="1" t="s">
        <v>23</v>
      </c>
      <c r="D1304" s="1" t="s">
        <v>24</v>
      </c>
      <c r="E1304" s="1">
        <v>139.65</v>
      </c>
      <c r="F1304" s="1">
        <v>9.34</v>
      </c>
      <c r="G1304" s="1">
        <v>4</v>
      </c>
      <c r="H1304" s="1">
        <v>34.912500000000001</v>
      </c>
    </row>
    <row r="1305" spans="1:8" ht="15.75" thickBot="1" x14ac:dyDescent="0.3">
      <c r="A1305" s="1">
        <v>2017</v>
      </c>
      <c r="B1305" s="1" t="s">
        <v>14</v>
      </c>
      <c r="C1305" s="1" t="s">
        <v>33</v>
      </c>
      <c r="D1305" s="1" t="s">
        <v>10</v>
      </c>
      <c r="E1305" s="1">
        <v>20358952.68</v>
      </c>
      <c r="F1305" s="1">
        <v>801834.99</v>
      </c>
      <c r="G1305" s="1">
        <v>519141</v>
      </c>
      <c r="H1305" s="1">
        <v>39.216614909999997</v>
      </c>
    </row>
    <row r="1306" spans="1:8" ht="15.75" thickBot="1" x14ac:dyDescent="0.3">
      <c r="A1306" s="1">
        <v>2015</v>
      </c>
      <c r="B1306" s="1" t="s">
        <v>20</v>
      </c>
      <c r="C1306" s="1" t="s">
        <v>25</v>
      </c>
      <c r="D1306" s="1" t="s">
        <v>19</v>
      </c>
      <c r="E1306" s="1">
        <v>3511406.34</v>
      </c>
      <c r="F1306" s="1">
        <v>126670.49</v>
      </c>
      <c r="G1306" s="1">
        <v>54455</v>
      </c>
      <c r="H1306" s="1">
        <v>64.482716740000001</v>
      </c>
    </row>
    <row r="1307" spans="1:8" ht="15.75" thickBot="1" x14ac:dyDescent="0.3">
      <c r="A1307" s="1">
        <v>2015</v>
      </c>
      <c r="B1307" s="1" t="s">
        <v>35</v>
      </c>
      <c r="C1307" s="1" t="s">
        <v>25</v>
      </c>
      <c r="D1307" s="1" t="s">
        <v>32</v>
      </c>
      <c r="E1307" s="1">
        <v>2736.73</v>
      </c>
      <c r="F1307" s="1">
        <v>280.76</v>
      </c>
      <c r="G1307" s="1">
        <v>593</v>
      </c>
      <c r="H1307" s="1">
        <v>4.6150590219999996</v>
      </c>
    </row>
    <row r="1308" spans="1:8" ht="15.75" thickBot="1" x14ac:dyDescent="0.3">
      <c r="A1308" s="1">
        <v>2017</v>
      </c>
      <c r="B1308" s="1" t="s">
        <v>30</v>
      </c>
      <c r="C1308" s="1" t="s">
        <v>12</v>
      </c>
      <c r="D1308" s="1" t="s">
        <v>29</v>
      </c>
      <c r="E1308" s="1">
        <v>11372550.789999999</v>
      </c>
      <c r="F1308" s="1">
        <v>366934.68</v>
      </c>
      <c r="G1308" s="1">
        <v>53078</v>
      </c>
      <c r="H1308" s="1">
        <v>214.2611023</v>
      </c>
    </row>
    <row r="1309" spans="1:8" ht="15.75" thickBot="1" x14ac:dyDescent="0.3">
      <c r="A1309" s="1">
        <v>2014</v>
      </c>
      <c r="B1309" s="1" t="s">
        <v>35</v>
      </c>
      <c r="C1309" s="1" t="s">
        <v>12</v>
      </c>
      <c r="D1309" s="1" t="s">
        <v>31</v>
      </c>
      <c r="E1309" s="1">
        <v>0</v>
      </c>
      <c r="F1309" s="1">
        <v>0</v>
      </c>
      <c r="G1309" s="1">
        <v>13</v>
      </c>
      <c r="H1309" s="1">
        <v>0</v>
      </c>
    </row>
    <row r="1310" spans="1:8" ht="15.75" thickBot="1" x14ac:dyDescent="0.3">
      <c r="A1310" s="1">
        <v>2017</v>
      </c>
      <c r="B1310" s="1" t="s">
        <v>12</v>
      </c>
      <c r="C1310" s="1" t="s">
        <v>23</v>
      </c>
      <c r="D1310" s="1" t="s">
        <v>24</v>
      </c>
      <c r="E1310" s="1">
        <v>795210.81</v>
      </c>
      <c r="F1310" s="1">
        <v>28183.21</v>
      </c>
      <c r="G1310" s="1">
        <v>5530</v>
      </c>
      <c r="H1310" s="1">
        <v>143.79942310000001</v>
      </c>
    </row>
    <row r="1311" spans="1:8" ht="15.75" thickBot="1" x14ac:dyDescent="0.3">
      <c r="A1311" s="1">
        <v>2014</v>
      </c>
      <c r="B1311" s="1" t="s">
        <v>12</v>
      </c>
      <c r="C1311" s="1" t="s">
        <v>26</v>
      </c>
      <c r="D1311" s="1" t="s">
        <v>32</v>
      </c>
      <c r="E1311" s="1">
        <v>3274007.26</v>
      </c>
      <c r="F1311" s="1">
        <v>111593.39</v>
      </c>
      <c r="G1311" s="1">
        <v>63386</v>
      </c>
      <c r="H1311" s="1">
        <v>51.651898840000001</v>
      </c>
    </row>
    <row r="1312" spans="1:8" ht="15.75" thickBot="1" x14ac:dyDescent="0.3">
      <c r="A1312" s="1">
        <v>2017</v>
      </c>
      <c r="B1312" s="1" t="s">
        <v>8</v>
      </c>
      <c r="C1312" s="1" t="s">
        <v>25</v>
      </c>
      <c r="D1312" s="1" t="s">
        <v>19</v>
      </c>
      <c r="E1312" s="1">
        <v>5113.8100000000004</v>
      </c>
      <c r="F1312" s="1">
        <v>147.28</v>
      </c>
      <c r="G1312" s="1">
        <v>26</v>
      </c>
      <c r="H1312" s="1">
        <v>196.685</v>
      </c>
    </row>
    <row r="1313" spans="1:8" ht="15.75" thickBot="1" x14ac:dyDescent="0.3">
      <c r="A1313" s="1">
        <v>2015</v>
      </c>
      <c r="B1313" s="1" t="s">
        <v>35</v>
      </c>
      <c r="C1313" s="1" t="s">
        <v>26</v>
      </c>
      <c r="D1313" s="1" t="s">
        <v>29</v>
      </c>
      <c r="E1313" s="1">
        <v>79.86</v>
      </c>
      <c r="F1313" s="1">
        <v>4.66</v>
      </c>
      <c r="G1313" s="1">
        <v>5</v>
      </c>
      <c r="H1313" s="1">
        <v>15.972</v>
      </c>
    </row>
    <row r="1314" spans="1:8" ht="15.75" thickBot="1" x14ac:dyDescent="0.3">
      <c r="A1314" s="1">
        <v>2015</v>
      </c>
      <c r="B1314" s="1" t="s">
        <v>35</v>
      </c>
      <c r="C1314" s="1" t="s">
        <v>28</v>
      </c>
      <c r="D1314" s="1" t="s">
        <v>22</v>
      </c>
      <c r="E1314" s="1">
        <v>0</v>
      </c>
      <c r="F1314" s="1">
        <v>0</v>
      </c>
      <c r="G1314" s="1">
        <v>2</v>
      </c>
      <c r="H1314" s="1">
        <v>0</v>
      </c>
    </row>
    <row r="1315" spans="1:8" ht="15.75" thickBot="1" x14ac:dyDescent="0.3">
      <c r="A1315" s="1">
        <v>2015</v>
      </c>
      <c r="B1315" s="1" t="s">
        <v>17</v>
      </c>
      <c r="C1315" s="1" t="s">
        <v>25</v>
      </c>
      <c r="D1315" s="1" t="s">
        <v>10</v>
      </c>
      <c r="E1315" s="1">
        <v>55986464.710000001</v>
      </c>
      <c r="F1315" s="1">
        <v>1775476.34</v>
      </c>
      <c r="G1315" s="1">
        <v>1063337</v>
      </c>
      <c r="H1315" s="1">
        <v>52.651666130000002</v>
      </c>
    </row>
    <row r="1316" spans="1:8" ht="15.75" thickBot="1" x14ac:dyDescent="0.3">
      <c r="A1316" s="1">
        <v>2014</v>
      </c>
      <c r="B1316" s="1" t="s">
        <v>16</v>
      </c>
      <c r="C1316" s="1" t="s">
        <v>28</v>
      </c>
      <c r="D1316" s="1" t="s">
        <v>10</v>
      </c>
      <c r="E1316" s="1">
        <v>6885794.5700000003</v>
      </c>
      <c r="F1316" s="1">
        <v>239692.2</v>
      </c>
      <c r="G1316" s="1">
        <v>113825</v>
      </c>
      <c r="H1316" s="1">
        <v>60.494571229999998</v>
      </c>
    </row>
    <row r="1317" spans="1:8" ht="15.75" thickBot="1" x14ac:dyDescent="0.3">
      <c r="A1317" s="1">
        <v>2016</v>
      </c>
      <c r="B1317" s="1" t="s">
        <v>14</v>
      </c>
      <c r="C1317" s="1" t="s">
        <v>9</v>
      </c>
      <c r="D1317" s="1" t="s">
        <v>31</v>
      </c>
      <c r="E1317" s="1">
        <v>3913.12</v>
      </c>
      <c r="F1317" s="1">
        <v>75.81</v>
      </c>
      <c r="G1317" s="1">
        <v>559</v>
      </c>
      <c r="H1317" s="1">
        <v>7.000214669</v>
      </c>
    </row>
    <row r="1318" spans="1:8" ht="15.75" thickBot="1" x14ac:dyDescent="0.3">
      <c r="A1318" s="1">
        <v>2014</v>
      </c>
      <c r="B1318" s="1" t="s">
        <v>40</v>
      </c>
      <c r="C1318" s="1" t="s">
        <v>26</v>
      </c>
      <c r="D1318" s="1" t="s">
        <v>13</v>
      </c>
      <c r="E1318" s="1">
        <v>12</v>
      </c>
      <c r="F1318" s="1">
        <v>0</v>
      </c>
      <c r="G1318" s="1">
        <v>3</v>
      </c>
      <c r="H1318" s="1">
        <v>4</v>
      </c>
    </row>
    <row r="1319" spans="1:8" ht="15.75" thickBot="1" x14ac:dyDescent="0.3">
      <c r="A1319" s="1">
        <v>2016</v>
      </c>
      <c r="B1319" s="1" t="s">
        <v>16</v>
      </c>
      <c r="C1319" s="1" t="s">
        <v>15</v>
      </c>
      <c r="D1319" s="1" t="s">
        <v>22</v>
      </c>
      <c r="E1319" s="1">
        <v>88338.19</v>
      </c>
      <c r="F1319" s="1">
        <v>2560.11</v>
      </c>
      <c r="G1319" s="1">
        <v>4561</v>
      </c>
      <c r="H1319" s="1">
        <v>19.368162680000001</v>
      </c>
    </row>
    <row r="1320" spans="1:8" ht="15.75" thickBot="1" x14ac:dyDescent="0.3">
      <c r="A1320" s="1">
        <v>2014</v>
      </c>
      <c r="B1320" s="1" t="s">
        <v>16</v>
      </c>
      <c r="C1320" s="1" t="s">
        <v>9</v>
      </c>
      <c r="D1320" s="1" t="s">
        <v>22</v>
      </c>
      <c r="E1320" s="1">
        <v>26.21</v>
      </c>
      <c r="F1320" s="1">
        <v>0.65</v>
      </c>
      <c r="G1320" s="1">
        <v>1</v>
      </c>
      <c r="H1320" s="1">
        <v>26.21</v>
      </c>
    </row>
    <row r="1321" spans="1:8" ht="15.75" thickBot="1" x14ac:dyDescent="0.3">
      <c r="A1321" s="1">
        <v>2015</v>
      </c>
      <c r="B1321" s="1" t="s">
        <v>16</v>
      </c>
      <c r="C1321" s="1" t="s">
        <v>23</v>
      </c>
      <c r="D1321" s="1" t="s">
        <v>10</v>
      </c>
      <c r="E1321" s="1">
        <v>5609830.5800000001</v>
      </c>
      <c r="F1321" s="1">
        <v>202739.43</v>
      </c>
      <c r="G1321" s="1">
        <v>95413</v>
      </c>
      <c r="H1321" s="1">
        <v>58.795243630000002</v>
      </c>
    </row>
    <row r="1322" spans="1:8" ht="15.75" thickBot="1" x14ac:dyDescent="0.3">
      <c r="A1322" s="1">
        <v>2016</v>
      </c>
      <c r="B1322" s="1" t="s">
        <v>20</v>
      </c>
      <c r="C1322" s="1" t="s">
        <v>25</v>
      </c>
      <c r="D1322" s="1" t="s">
        <v>19</v>
      </c>
      <c r="E1322" s="1">
        <v>3883128.82</v>
      </c>
      <c r="F1322" s="1">
        <v>120304.97</v>
      </c>
      <c r="G1322" s="1">
        <v>57940</v>
      </c>
      <c r="H1322" s="1">
        <v>67.019827750000005</v>
      </c>
    </row>
    <row r="1323" spans="1:8" ht="15.75" thickBot="1" x14ac:dyDescent="0.3">
      <c r="A1323" s="1">
        <v>2014</v>
      </c>
      <c r="B1323" s="1" t="s">
        <v>11</v>
      </c>
      <c r="C1323" s="1" t="s">
        <v>26</v>
      </c>
      <c r="D1323" s="1" t="s">
        <v>29</v>
      </c>
      <c r="E1323" s="1">
        <v>830941.55</v>
      </c>
      <c r="F1323" s="1">
        <v>22032.5</v>
      </c>
      <c r="G1323" s="1">
        <v>1646</v>
      </c>
      <c r="H1323" s="1">
        <v>504.82475699999998</v>
      </c>
    </row>
    <row r="1324" spans="1:8" ht="15.75" thickBot="1" x14ac:dyDescent="0.3">
      <c r="A1324" s="1">
        <v>2017</v>
      </c>
      <c r="B1324" s="1" t="s">
        <v>17</v>
      </c>
      <c r="C1324" s="1" t="s">
        <v>12</v>
      </c>
      <c r="D1324" s="1" t="s">
        <v>13</v>
      </c>
      <c r="E1324" s="1">
        <v>3901443.28</v>
      </c>
      <c r="F1324" s="1">
        <v>134973.04</v>
      </c>
      <c r="G1324" s="1">
        <v>107569</v>
      </c>
      <c r="H1324" s="1">
        <v>36.269215850000002</v>
      </c>
    </row>
    <row r="1325" spans="1:8" ht="15.75" thickBot="1" x14ac:dyDescent="0.3">
      <c r="A1325" s="1">
        <v>2016</v>
      </c>
      <c r="B1325" s="1" t="s">
        <v>20</v>
      </c>
      <c r="C1325" s="1" t="s">
        <v>33</v>
      </c>
      <c r="D1325" s="1" t="s">
        <v>27</v>
      </c>
      <c r="E1325" s="1">
        <v>6678488.25</v>
      </c>
      <c r="F1325" s="1">
        <v>254645.54</v>
      </c>
      <c r="G1325" s="1">
        <v>163682</v>
      </c>
      <c r="H1325" s="1">
        <v>40.801604640000001</v>
      </c>
    </row>
    <row r="1326" spans="1:8" ht="15.75" thickBot="1" x14ac:dyDescent="0.3">
      <c r="A1326" s="1">
        <v>2016</v>
      </c>
      <c r="B1326" s="1" t="s">
        <v>14</v>
      </c>
      <c r="C1326" s="1" t="s">
        <v>28</v>
      </c>
      <c r="D1326" s="1" t="s">
        <v>22</v>
      </c>
      <c r="E1326" s="1">
        <v>8583.92</v>
      </c>
      <c r="F1326" s="1">
        <v>378.34</v>
      </c>
      <c r="G1326" s="1">
        <v>581</v>
      </c>
      <c r="H1326" s="1">
        <v>14.774388979999999</v>
      </c>
    </row>
    <row r="1327" spans="1:8" ht="15.75" thickBot="1" x14ac:dyDescent="0.3">
      <c r="A1327" s="1">
        <v>2016</v>
      </c>
      <c r="B1327" s="1" t="s">
        <v>11</v>
      </c>
      <c r="C1327" s="1" t="s">
        <v>21</v>
      </c>
      <c r="D1327" s="1" t="s">
        <v>27</v>
      </c>
      <c r="E1327" s="1">
        <v>388591185.30000001</v>
      </c>
      <c r="F1327" s="1">
        <v>10785127.949999999</v>
      </c>
      <c r="G1327" s="1">
        <v>6601683</v>
      </c>
      <c r="H1327" s="1">
        <v>58.862442399999999</v>
      </c>
    </row>
    <row r="1328" spans="1:8" ht="15.75" thickBot="1" x14ac:dyDescent="0.3">
      <c r="A1328" s="1">
        <v>2015</v>
      </c>
      <c r="B1328" s="1" t="s">
        <v>14</v>
      </c>
      <c r="C1328" s="1" t="s">
        <v>26</v>
      </c>
      <c r="D1328" s="1" t="s">
        <v>24</v>
      </c>
      <c r="E1328" s="1">
        <v>11435831.84</v>
      </c>
      <c r="F1328" s="1">
        <v>423434.09</v>
      </c>
      <c r="G1328" s="1">
        <v>117553</v>
      </c>
      <c r="H1328" s="1">
        <v>97.282347880000003</v>
      </c>
    </row>
    <row r="1329" spans="1:8" ht="15.75" thickBot="1" x14ac:dyDescent="0.3">
      <c r="A1329" s="1">
        <v>2015</v>
      </c>
      <c r="B1329" s="1" t="s">
        <v>20</v>
      </c>
      <c r="C1329" s="1" t="s">
        <v>33</v>
      </c>
      <c r="D1329" s="1" t="s">
        <v>31</v>
      </c>
      <c r="E1329" s="1">
        <v>56862.62</v>
      </c>
      <c r="F1329" s="1">
        <v>2309.31</v>
      </c>
      <c r="G1329" s="1">
        <v>3284</v>
      </c>
      <c r="H1329" s="1">
        <v>17.31504872</v>
      </c>
    </row>
    <row r="1330" spans="1:8" ht="15.75" thickBot="1" x14ac:dyDescent="0.3">
      <c r="A1330" s="1">
        <v>2014</v>
      </c>
      <c r="B1330" s="1" t="s">
        <v>12</v>
      </c>
      <c r="C1330" s="1" t="s">
        <v>9</v>
      </c>
      <c r="D1330" s="1" t="s">
        <v>10</v>
      </c>
      <c r="E1330" s="1">
        <v>1517633.06</v>
      </c>
      <c r="F1330" s="1">
        <v>51616.98</v>
      </c>
      <c r="G1330" s="1">
        <v>21325</v>
      </c>
      <c r="H1330" s="1">
        <v>71.166849240000005</v>
      </c>
    </row>
    <row r="1331" spans="1:8" ht="15.75" thickBot="1" x14ac:dyDescent="0.3">
      <c r="A1331" s="1">
        <v>2015</v>
      </c>
      <c r="B1331" s="1" t="s">
        <v>14</v>
      </c>
      <c r="C1331" s="1" t="s">
        <v>25</v>
      </c>
      <c r="D1331" s="1" t="s">
        <v>32</v>
      </c>
      <c r="E1331" s="1">
        <v>58679616.240000002</v>
      </c>
      <c r="F1331" s="1">
        <v>2360992.4500000002</v>
      </c>
      <c r="G1331" s="1">
        <v>1545288</v>
      </c>
      <c r="H1331" s="1">
        <v>37.973255629999997</v>
      </c>
    </row>
    <row r="1332" spans="1:8" ht="15.75" thickBot="1" x14ac:dyDescent="0.3">
      <c r="A1332" s="1">
        <v>2014</v>
      </c>
      <c r="B1332" s="1" t="s">
        <v>16</v>
      </c>
      <c r="C1332" s="1" t="s">
        <v>21</v>
      </c>
      <c r="D1332" s="1" t="s">
        <v>13</v>
      </c>
      <c r="E1332" s="1">
        <v>73547.95</v>
      </c>
      <c r="F1332" s="1">
        <v>2392.52</v>
      </c>
      <c r="G1332" s="1">
        <v>1119</v>
      </c>
      <c r="H1332" s="1">
        <v>65.726496870000005</v>
      </c>
    </row>
    <row r="1333" spans="1:8" ht="15.75" thickBot="1" x14ac:dyDescent="0.3">
      <c r="A1333" s="1">
        <v>2015</v>
      </c>
      <c r="B1333" s="1" t="s">
        <v>40</v>
      </c>
      <c r="C1333" s="1" t="s">
        <v>23</v>
      </c>
      <c r="D1333" s="1" t="s">
        <v>13</v>
      </c>
      <c r="E1333" s="1">
        <v>168.5</v>
      </c>
      <c r="F1333" s="1">
        <v>0</v>
      </c>
      <c r="G1333" s="1">
        <v>2</v>
      </c>
      <c r="H1333" s="1">
        <v>84.25</v>
      </c>
    </row>
    <row r="1334" spans="1:8" ht="15.75" thickBot="1" x14ac:dyDescent="0.3">
      <c r="A1334" s="1">
        <v>2015</v>
      </c>
      <c r="B1334" s="1" t="s">
        <v>40</v>
      </c>
      <c r="C1334" s="1" t="s">
        <v>23</v>
      </c>
      <c r="D1334" s="1" t="s">
        <v>32</v>
      </c>
      <c r="E1334" s="1">
        <v>174.58</v>
      </c>
      <c r="F1334" s="1">
        <v>25.32</v>
      </c>
      <c r="G1334" s="1">
        <v>32</v>
      </c>
      <c r="H1334" s="1">
        <v>5.4556250000000004</v>
      </c>
    </row>
    <row r="1335" spans="1:8" ht="15.75" thickBot="1" x14ac:dyDescent="0.3">
      <c r="A1335" s="1">
        <v>2015</v>
      </c>
      <c r="B1335" s="1" t="s">
        <v>16</v>
      </c>
      <c r="C1335" s="1" t="s">
        <v>9</v>
      </c>
      <c r="D1335" s="1" t="s">
        <v>32</v>
      </c>
      <c r="E1335" s="1">
        <v>468072420.39999998</v>
      </c>
      <c r="F1335" s="1">
        <v>15784288.050000001</v>
      </c>
      <c r="G1335" s="1">
        <v>5054077</v>
      </c>
      <c r="H1335" s="1">
        <v>92.612839179999995</v>
      </c>
    </row>
    <row r="1336" spans="1:8" ht="15.75" thickBot="1" x14ac:dyDescent="0.3">
      <c r="A1336" s="1">
        <v>2017</v>
      </c>
      <c r="B1336" s="1" t="s">
        <v>11</v>
      </c>
      <c r="C1336" s="1" t="s">
        <v>23</v>
      </c>
      <c r="D1336" s="1" t="s">
        <v>24</v>
      </c>
      <c r="E1336" s="1">
        <v>5582226.0199999996</v>
      </c>
      <c r="F1336" s="1">
        <v>167615.29999999999</v>
      </c>
      <c r="G1336" s="1">
        <v>20859</v>
      </c>
      <c r="H1336" s="1">
        <v>267.61714460000002</v>
      </c>
    </row>
    <row r="1337" spans="1:8" ht="15.75" thickBot="1" x14ac:dyDescent="0.3">
      <c r="A1337" s="1">
        <v>2014</v>
      </c>
      <c r="B1337" s="1" t="s">
        <v>11</v>
      </c>
      <c r="C1337" s="1" t="s">
        <v>12</v>
      </c>
      <c r="D1337" s="1" t="s">
        <v>29</v>
      </c>
      <c r="E1337" s="1">
        <v>508351.72</v>
      </c>
      <c r="F1337" s="1">
        <v>16260.52</v>
      </c>
      <c r="G1337" s="1">
        <v>1019</v>
      </c>
      <c r="H1337" s="1">
        <v>498.8731305</v>
      </c>
    </row>
    <row r="1338" spans="1:8" ht="15.75" thickBot="1" x14ac:dyDescent="0.3">
      <c r="A1338" s="1">
        <v>2016</v>
      </c>
      <c r="B1338" s="1" t="s">
        <v>11</v>
      </c>
      <c r="C1338" s="1" t="s">
        <v>21</v>
      </c>
      <c r="D1338" s="1" t="s">
        <v>19</v>
      </c>
      <c r="E1338" s="1">
        <v>7987492.3799999999</v>
      </c>
      <c r="F1338" s="1">
        <v>261154.87</v>
      </c>
      <c r="G1338" s="1">
        <v>54184</v>
      </c>
      <c r="H1338" s="1">
        <v>147.4142252</v>
      </c>
    </row>
    <row r="1339" spans="1:8" ht="15.75" thickBot="1" x14ac:dyDescent="0.3">
      <c r="A1339" s="1">
        <v>2017</v>
      </c>
      <c r="B1339" s="1" t="s">
        <v>20</v>
      </c>
      <c r="C1339" s="1" t="s">
        <v>26</v>
      </c>
      <c r="D1339" s="1" t="s">
        <v>19</v>
      </c>
      <c r="E1339" s="1">
        <v>3152184.91</v>
      </c>
      <c r="F1339" s="1">
        <v>79939.47</v>
      </c>
      <c r="G1339" s="1">
        <v>48743</v>
      </c>
      <c r="H1339" s="1">
        <v>64.669489159999998</v>
      </c>
    </row>
    <row r="1340" spans="1:8" ht="15.75" thickBot="1" x14ac:dyDescent="0.3">
      <c r="A1340" s="1">
        <v>2014</v>
      </c>
      <c r="B1340" s="1" t="s">
        <v>30</v>
      </c>
      <c r="C1340" s="1" t="s">
        <v>25</v>
      </c>
      <c r="D1340" s="1" t="s">
        <v>19</v>
      </c>
      <c r="E1340" s="1">
        <v>213279465.59999999</v>
      </c>
      <c r="F1340" s="1">
        <v>5946516.9199999999</v>
      </c>
      <c r="G1340" s="1">
        <v>1695884</v>
      </c>
      <c r="H1340" s="1">
        <v>125.7630036</v>
      </c>
    </row>
    <row r="1341" spans="1:8" ht="15.75" thickBot="1" x14ac:dyDescent="0.3">
      <c r="A1341" s="1">
        <v>2014</v>
      </c>
      <c r="B1341" s="1" t="s">
        <v>11</v>
      </c>
      <c r="C1341" s="1" t="s">
        <v>26</v>
      </c>
      <c r="D1341" s="1" t="s">
        <v>24</v>
      </c>
      <c r="E1341" s="1">
        <v>3748378.59</v>
      </c>
      <c r="F1341" s="1">
        <v>104844.88</v>
      </c>
      <c r="G1341" s="1">
        <v>12435</v>
      </c>
      <c r="H1341" s="1">
        <v>301.43776359999998</v>
      </c>
    </row>
    <row r="1342" spans="1:8" ht="15.75" thickBot="1" x14ac:dyDescent="0.3">
      <c r="A1342" s="1">
        <v>2016</v>
      </c>
      <c r="B1342" s="1" t="s">
        <v>11</v>
      </c>
      <c r="C1342" s="1" t="s">
        <v>26</v>
      </c>
      <c r="D1342" s="1" t="s">
        <v>19</v>
      </c>
      <c r="E1342" s="1">
        <v>6612338.6399999997</v>
      </c>
      <c r="F1342" s="1">
        <v>226447.25</v>
      </c>
      <c r="G1342" s="1">
        <v>47560</v>
      </c>
      <c r="H1342" s="1">
        <v>139.0315105</v>
      </c>
    </row>
    <row r="1343" spans="1:8" ht="15.75" thickBot="1" x14ac:dyDescent="0.3">
      <c r="A1343" s="1">
        <v>2014</v>
      </c>
      <c r="B1343" s="1" t="s">
        <v>14</v>
      </c>
      <c r="C1343" s="1" t="s">
        <v>33</v>
      </c>
      <c r="D1343" s="1" t="s">
        <v>19</v>
      </c>
      <c r="E1343" s="1">
        <v>53335907.009999998</v>
      </c>
      <c r="F1343" s="1">
        <v>1789147.38</v>
      </c>
      <c r="G1343" s="1">
        <v>371416</v>
      </c>
      <c r="H1343" s="1">
        <v>143.60153310000001</v>
      </c>
    </row>
    <row r="1344" spans="1:8" ht="15.75" thickBot="1" x14ac:dyDescent="0.3">
      <c r="A1344" s="1">
        <v>2015</v>
      </c>
      <c r="B1344" s="1" t="s">
        <v>12</v>
      </c>
      <c r="C1344" s="1" t="s">
        <v>15</v>
      </c>
      <c r="D1344" s="1" t="s">
        <v>29</v>
      </c>
      <c r="E1344" s="1">
        <v>2949899.13</v>
      </c>
      <c r="F1344" s="1">
        <v>89541.72</v>
      </c>
      <c r="G1344" s="1">
        <v>7412</v>
      </c>
      <c r="H1344" s="1">
        <v>397.98962899999998</v>
      </c>
    </row>
    <row r="1345" spans="1:8" ht="15.75" thickBot="1" x14ac:dyDescent="0.3">
      <c r="A1345" s="1">
        <v>2017</v>
      </c>
      <c r="B1345" s="1" t="s">
        <v>35</v>
      </c>
      <c r="C1345" s="1" t="s">
        <v>9</v>
      </c>
      <c r="D1345" s="1" t="s">
        <v>27</v>
      </c>
      <c r="E1345" s="1">
        <v>1984.05</v>
      </c>
      <c r="F1345" s="1">
        <v>78.52</v>
      </c>
      <c r="G1345" s="1">
        <v>81</v>
      </c>
      <c r="H1345" s="1">
        <v>24.494444439999999</v>
      </c>
    </row>
    <row r="1346" spans="1:8" ht="15.75" thickBot="1" x14ac:dyDescent="0.3">
      <c r="A1346" s="1">
        <v>2015</v>
      </c>
      <c r="B1346" s="1" t="s">
        <v>17</v>
      </c>
      <c r="C1346" s="1" t="s">
        <v>33</v>
      </c>
      <c r="D1346" s="1" t="s">
        <v>10</v>
      </c>
      <c r="E1346" s="1">
        <v>73618296.299999997</v>
      </c>
      <c r="F1346" s="1">
        <v>2319226.2999999998</v>
      </c>
      <c r="G1346" s="1">
        <v>1330994</v>
      </c>
      <c r="H1346" s="1">
        <v>55.31076496</v>
      </c>
    </row>
    <row r="1347" spans="1:8" ht="15.75" thickBot="1" x14ac:dyDescent="0.3">
      <c r="A1347" s="1">
        <v>2015</v>
      </c>
      <c r="B1347" s="1" t="s">
        <v>12</v>
      </c>
      <c r="C1347" s="1" t="s">
        <v>25</v>
      </c>
      <c r="D1347" s="1" t="s">
        <v>27</v>
      </c>
      <c r="E1347" s="1">
        <v>32071140.91</v>
      </c>
      <c r="F1347" s="1">
        <v>1286208.99</v>
      </c>
      <c r="G1347" s="1">
        <v>748794</v>
      </c>
      <c r="H1347" s="1">
        <v>42.83039248</v>
      </c>
    </row>
    <row r="1348" spans="1:8" ht="15.75" thickBot="1" x14ac:dyDescent="0.3">
      <c r="A1348" s="1">
        <v>2017</v>
      </c>
      <c r="B1348" s="1" t="s">
        <v>14</v>
      </c>
      <c r="C1348" s="1" t="s">
        <v>28</v>
      </c>
      <c r="D1348" s="1" t="s">
        <v>29</v>
      </c>
      <c r="E1348" s="1">
        <v>34711799.43</v>
      </c>
      <c r="F1348" s="1">
        <v>1149146.28</v>
      </c>
      <c r="G1348" s="1">
        <v>155915</v>
      </c>
      <c r="H1348" s="1">
        <v>222.6328412</v>
      </c>
    </row>
    <row r="1349" spans="1:8" ht="15.75" thickBot="1" x14ac:dyDescent="0.3">
      <c r="A1349" s="1">
        <v>2015</v>
      </c>
      <c r="B1349" s="1" t="s">
        <v>17</v>
      </c>
      <c r="C1349" s="1" t="s">
        <v>9</v>
      </c>
      <c r="D1349" s="1" t="s">
        <v>22</v>
      </c>
      <c r="E1349" s="1">
        <v>1088.3599999999999</v>
      </c>
      <c r="F1349" s="1">
        <v>57.24</v>
      </c>
      <c r="G1349" s="1">
        <v>4404</v>
      </c>
      <c r="H1349" s="1">
        <v>0.24712988189999999</v>
      </c>
    </row>
    <row r="1350" spans="1:8" ht="15.75" thickBot="1" x14ac:dyDescent="0.3">
      <c r="A1350" s="1">
        <v>2017</v>
      </c>
      <c r="B1350" s="1" t="s">
        <v>17</v>
      </c>
      <c r="C1350" s="1" t="s">
        <v>9</v>
      </c>
      <c r="D1350" s="1" t="s">
        <v>32</v>
      </c>
      <c r="E1350" s="1">
        <v>508780669.30000001</v>
      </c>
      <c r="F1350" s="1">
        <v>15732348.109999999</v>
      </c>
      <c r="G1350" s="1">
        <v>5392638</v>
      </c>
      <c r="H1350" s="1">
        <v>94.347269229999995</v>
      </c>
    </row>
    <row r="1351" spans="1:8" ht="15.75" thickBot="1" x14ac:dyDescent="0.3">
      <c r="A1351" s="1">
        <v>2017</v>
      </c>
      <c r="B1351" s="1" t="s">
        <v>17</v>
      </c>
      <c r="C1351" s="1" t="s">
        <v>26</v>
      </c>
      <c r="D1351" s="1" t="s">
        <v>10</v>
      </c>
      <c r="E1351" s="1">
        <v>82330779.939999998</v>
      </c>
      <c r="F1351" s="1">
        <v>2734667.32</v>
      </c>
      <c r="G1351" s="1">
        <v>1728513</v>
      </c>
      <c r="H1351" s="1">
        <v>47.630986829999998</v>
      </c>
    </row>
    <row r="1352" spans="1:8" ht="15.75" thickBot="1" x14ac:dyDescent="0.3">
      <c r="A1352" s="1">
        <v>2014</v>
      </c>
      <c r="B1352" s="1" t="s">
        <v>16</v>
      </c>
      <c r="C1352" s="1" t="s">
        <v>21</v>
      </c>
      <c r="D1352" s="1" t="s">
        <v>27</v>
      </c>
      <c r="E1352" s="1">
        <v>626640370.79999995</v>
      </c>
      <c r="F1352" s="1">
        <v>24379667.140000001</v>
      </c>
      <c r="G1352" s="1">
        <v>12241177</v>
      </c>
      <c r="H1352" s="1">
        <v>51.191186180000003</v>
      </c>
    </row>
    <row r="1353" spans="1:8" ht="15.75" thickBot="1" x14ac:dyDescent="0.3">
      <c r="A1353" s="1">
        <v>2014</v>
      </c>
      <c r="B1353" s="1" t="s">
        <v>20</v>
      </c>
      <c r="C1353" s="1" t="s">
        <v>28</v>
      </c>
      <c r="D1353" s="1" t="s">
        <v>32</v>
      </c>
      <c r="E1353" s="1">
        <v>3284266.09</v>
      </c>
      <c r="F1353" s="1">
        <v>141020.49</v>
      </c>
      <c r="G1353" s="1">
        <v>185140</v>
      </c>
      <c r="H1353" s="1">
        <v>17.739365289999999</v>
      </c>
    </row>
    <row r="1354" spans="1:8" ht="15.75" thickBot="1" x14ac:dyDescent="0.3">
      <c r="A1354" s="1">
        <v>2015</v>
      </c>
      <c r="B1354" s="1" t="s">
        <v>35</v>
      </c>
      <c r="C1354" s="1" t="s">
        <v>9</v>
      </c>
      <c r="D1354" s="1" t="s">
        <v>27</v>
      </c>
      <c r="E1354" s="1">
        <v>-1011.55</v>
      </c>
      <c r="F1354" s="1">
        <v>74.03</v>
      </c>
      <c r="G1354" s="1">
        <v>89</v>
      </c>
      <c r="H1354" s="1">
        <v>-11.365730340000001</v>
      </c>
    </row>
    <row r="1355" spans="1:8" ht="15.75" thickBot="1" x14ac:dyDescent="0.3">
      <c r="A1355" s="1">
        <v>2016</v>
      </c>
      <c r="B1355" s="1" t="s">
        <v>16</v>
      </c>
      <c r="C1355" s="1" t="s">
        <v>18</v>
      </c>
      <c r="D1355" s="1" t="s">
        <v>31</v>
      </c>
      <c r="E1355" s="1">
        <v>835839.41</v>
      </c>
      <c r="F1355" s="1">
        <v>31579.599999999999</v>
      </c>
      <c r="G1355" s="1">
        <v>16296</v>
      </c>
      <c r="H1355" s="1">
        <v>51.29107818</v>
      </c>
    </row>
    <row r="1356" spans="1:8" ht="15.75" thickBot="1" x14ac:dyDescent="0.3">
      <c r="A1356" s="1">
        <v>2015</v>
      </c>
      <c r="B1356" s="1" t="s">
        <v>14</v>
      </c>
      <c r="C1356" s="1" t="s">
        <v>23</v>
      </c>
      <c r="D1356" s="1" t="s">
        <v>13</v>
      </c>
      <c r="E1356" s="1">
        <v>211183.52</v>
      </c>
      <c r="F1356" s="1">
        <v>8197.14</v>
      </c>
      <c r="G1356" s="1">
        <v>7683</v>
      </c>
      <c r="H1356" s="1">
        <v>27.487117009999999</v>
      </c>
    </row>
    <row r="1357" spans="1:8" ht="15.75" thickBot="1" x14ac:dyDescent="0.3">
      <c r="A1357" s="1">
        <v>2015</v>
      </c>
      <c r="B1357" s="1" t="s">
        <v>20</v>
      </c>
      <c r="C1357" s="1" t="s">
        <v>15</v>
      </c>
      <c r="D1357" s="1" t="s">
        <v>24</v>
      </c>
      <c r="E1357" s="1">
        <v>1281099.82</v>
      </c>
      <c r="F1357" s="1">
        <v>42978.42</v>
      </c>
      <c r="G1357" s="1">
        <v>11192</v>
      </c>
      <c r="H1357" s="1">
        <v>114.4656737</v>
      </c>
    </row>
    <row r="1358" spans="1:8" ht="15.75" thickBot="1" x14ac:dyDescent="0.3">
      <c r="A1358" s="1">
        <v>2014</v>
      </c>
      <c r="B1358" s="1" t="s">
        <v>11</v>
      </c>
      <c r="C1358" s="1" t="s">
        <v>12</v>
      </c>
      <c r="D1358" s="1" t="s">
        <v>19</v>
      </c>
      <c r="E1358" s="1">
        <v>3251540.77</v>
      </c>
      <c r="F1358" s="1">
        <v>109833.16</v>
      </c>
      <c r="G1358" s="1">
        <v>23130</v>
      </c>
      <c r="H1358" s="1">
        <v>140.5767735</v>
      </c>
    </row>
    <row r="1359" spans="1:8" ht="15.75" thickBot="1" x14ac:dyDescent="0.3">
      <c r="A1359" s="1">
        <v>2017</v>
      </c>
      <c r="B1359" s="1" t="s">
        <v>40</v>
      </c>
      <c r="C1359" s="1" t="s">
        <v>9</v>
      </c>
      <c r="D1359" s="1" t="s">
        <v>27</v>
      </c>
      <c r="E1359" s="1">
        <v>9719.3700000000008</v>
      </c>
      <c r="F1359" s="1">
        <v>264.60000000000002</v>
      </c>
      <c r="G1359" s="1">
        <v>71</v>
      </c>
      <c r="H1359" s="1">
        <v>136.8925352</v>
      </c>
    </row>
    <row r="1360" spans="1:8" ht="15.75" thickBot="1" x14ac:dyDescent="0.3">
      <c r="A1360" s="1">
        <v>2017</v>
      </c>
      <c r="B1360" s="1" t="s">
        <v>40</v>
      </c>
      <c r="C1360" s="1" t="s">
        <v>15</v>
      </c>
      <c r="D1360" s="1" t="s">
        <v>13</v>
      </c>
      <c r="E1360" s="1">
        <v>663.34</v>
      </c>
      <c r="F1360" s="1">
        <v>14.58</v>
      </c>
      <c r="G1360" s="1">
        <v>19</v>
      </c>
      <c r="H1360" s="1">
        <v>34.912631580000003</v>
      </c>
    </row>
    <row r="1361" spans="1:8" ht="15.75" thickBot="1" x14ac:dyDescent="0.3">
      <c r="A1361" s="1">
        <v>2015</v>
      </c>
      <c r="B1361" s="1" t="s">
        <v>17</v>
      </c>
      <c r="C1361" s="1" t="s">
        <v>9</v>
      </c>
      <c r="D1361" s="1" t="s">
        <v>29</v>
      </c>
      <c r="E1361" s="1">
        <v>5767693.1900000004</v>
      </c>
      <c r="F1361" s="1">
        <v>176944.18</v>
      </c>
      <c r="G1361" s="1">
        <v>16665</v>
      </c>
      <c r="H1361" s="1">
        <v>346.09620100000001</v>
      </c>
    </row>
    <row r="1362" spans="1:8" ht="15.75" thickBot="1" x14ac:dyDescent="0.3">
      <c r="A1362" s="1">
        <v>2015</v>
      </c>
      <c r="B1362" s="1" t="s">
        <v>16</v>
      </c>
      <c r="C1362" s="1" t="s">
        <v>9</v>
      </c>
      <c r="D1362" s="1" t="s">
        <v>22</v>
      </c>
      <c r="E1362" s="1">
        <v>19.97</v>
      </c>
      <c r="F1362" s="1">
        <v>0.54</v>
      </c>
      <c r="G1362" s="1">
        <v>1</v>
      </c>
      <c r="H1362" s="1">
        <v>19.97</v>
      </c>
    </row>
    <row r="1363" spans="1:8" ht="15.75" thickBot="1" x14ac:dyDescent="0.3">
      <c r="A1363" s="1">
        <v>2017</v>
      </c>
      <c r="B1363" s="1" t="s">
        <v>11</v>
      </c>
      <c r="C1363" s="1" t="s">
        <v>15</v>
      </c>
      <c r="D1363" s="1" t="s">
        <v>19</v>
      </c>
      <c r="E1363" s="1">
        <v>3601066.41</v>
      </c>
      <c r="F1363" s="1">
        <v>120549.57</v>
      </c>
      <c r="G1363" s="1">
        <v>21945</v>
      </c>
      <c r="H1363" s="1">
        <v>164.09507450000001</v>
      </c>
    </row>
    <row r="1364" spans="1:8" ht="15.75" thickBot="1" x14ac:dyDescent="0.3">
      <c r="A1364" s="1">
        <v>2016</v>
      </c>
      <c r="B1364" s="1" t="s">
        <v>11</v>
      </c>
      <c r="C1364" s="1" t="s">
        <v>23</v>
      </c>
      <c r="D1364" s="1" t="s">
        <v>32</v>
      </c>
      <c r="E1364" s="1">
        <v>72024375.530000001</v>
      </c>
      <c r="F1364" s="1">
        <v>2759041.5</v>
      </c>
      <c r="G1364" s="1">
        <v>2322127</v>
      </c>
      <c r="H1364" s="1">
        <v>31.016553160000001</v>
      </c>
    </row>
    <row r="1365" spans="1:8" ht="15.75" thickBot="1" x14ac:dyDescent="0.3">
      <c r="A1365" s="1">
        <v>2016</v>
      </c>
      <c r="B1365" s="1" t="s">
        <v>17</v>
      </c>
      <c r="C1365" s="1" t="s">
        <v>9</v>
      </c>
      <c r="D1365" s="1" t="s">
        <v>10</v>
      </c>
      <c r="E1365" s="1">
        <v>15237682.93</v>
      </c>
      <c r="F1365" s="1">
        <v>475280.14</v>
      </c>
      <c r="G1365" s="1">
        <v>210270</v>
      </c>
      <c r="H1365" s="1">
        <v>72.467222759999999</v>
      </c>
    </row>
    <row r="1366" spans="1:8" ht="15.75" thickBot="1" x14ac:dyDescent="0.3">
      <c r="A1366" s="1">
        <v>2015</v>
      </c>
      <c r="B1366" s="1" t="s">
        <v>35</v>
      </c>
      <c r="C1366" s="1" t="s">
        <v>12</v>
      </c>
      <c r="D1366" s="1" t="s">
        <v>22</v>
      </c>
      <c r="E1366" s="1">
        <v>0</v>
      </c>
      <c r="F1366" s="1">
        <v>0</v>
      </c>
      <c r="G1366" s="1">
        <v>50</v>
      </c>
      <c r="H1366" s="1">
        <v>0</v>
      </c>
    </row>
    <row r="1367" spans="1:8" ht="15.75" thickBot="1" x14ac:dyDescent="0.3">
      <c r="A1367" s="1">
        <v>2014</v>
      </c>
      <c r="B1367" s="1" t="s">
        <v>16</v>
      </c>
      <c r="C1367" s="1" t="s">
        <v>28</v>
      </c>
      <c r="D1367" s="1" t="s">
        <v>32</v>
      </c>
      <c r="E1367" s="1">
        <v>96514027.019999996</v>
      </c>
      <c r="F1367" s="1">
        <v>3619321.23</v>
      </c>
      <c r="G1367" s="1">
        <v>1655196</v>
      </c>
      <c r="H1367" s="1">
        <v>58.309727080000002</v>
      </c>
    </row>
    <row r="1368" spans="1:8" ht="15.75" thickBot="1" x14ac:dyDescent="0.3">
      <c r="A1368" s="1">
        <v>2015</v>
      </c>
      <c r="B1368" s="1" t="s">
        <v>17</v>
      </c>
      <c r="C1368" s="1" t="s">
        <v>23</v>
      </c>
      <c r="D1368" s="1" t="s">
        <v>13</v>
      </c>
      <c r="E1368" s="1">
        <v>167470.14000000001</v>
      </c>
      <c r="F1368" s="1">
        <v>5460.27</v>
      </c>
      <c r="G1368" s="1">
        <v>3534</v>
      </c>
      <c r="H1368" s="1">
        <v>47.388268250000003</v>
      </c>
    </row>
    <row r="1369" spans="1:8" ht="15.75" thickBot="1" x14ac:dyDescent="0.3">
      <c r="A1369" s="1">
        <v>2014</v>
      </c>
      <c r="B1369" s="1" t="s">
        <v>40</v>
      </c>
      <c r="C1369" s="1" t="s">
        <v>12</v>
      </c>
      <c r="D1369" s="1" t="s">
        <v>19</v>
      </c>
      <c r="E1369" s="1">
        <v>40598.730000000003</v>
      </c>
      <c r="F1369" s="1">
        <v>985.49</v>
      </c>
      <c r="G1369" s="1">
        <v>237</v>
      </c>
      <c r="H1369" s="1">
        <v>171.3026582</v>
      </c>
    </row>
    <row r="1370" spans="1:8" ht="15.75" thickBot="1" x14ac:dyDescent="0.3">
      <c r="A1370" s="1">
        <v>2017</v>
      </c>
      <c r="B1370" s="1" t="s">
        <v>35</v>
      </c>
      <c r="C1370" s="1" t="s">
        <v>12</v>
      </c>
      <c r="D1370" s="1" t="s">
        <v>29</v>
      </c>
      <c r="E1370" s="1">
        <v>2907.26</v>
      </c>
      <c r="F1370" s="1">
        <v>140.19</v>
      </c>
      <c r="G1370" s="1">
        <v>31</v>
      </c>
      <c r="H1370" s="1">
        <v>93.78258065</v>
      </c>
    </row>
    <row r="1371" spans="1:8" ht="15.75" thickBot="1" x14ac:dyDescent="0.3">
      <c r="A1371" s="1">
        <v>2017</v>
      </c>
      <c r="B1371" s="1" t="s">
        <v>8</v>
      </c>
      <c r="C1371" s="1" t="s">
        <v>28</v>
      </c>
      <c r="D1371" s="1" t="s">
        <v>36</v>
      </c>
      <c r="E1371" s="1">
        <v>6314.07</v>
      </c>
      <c r="F1371" s="1">
        <v>45.65</v>
      </c>
      <c r="G1371" s="1">
        <v>186</v>
      </c>
      <c r="H1371" s="1">
        <v>33.946612899999998</v>
      </c>
    </row>
    <row r="1372" spans="1:8" ht="15.75" thickBot="1" x14ac:dyDescent="0.3">
      <c r="A1372" s="1">
        <v>2015</v>
      </c>
      <c r="B1372" s="1" t="s">
        <v>30</v>
      </c>
      <c r="C1372" s="1" t="s">
        <v>33</v>
      </c>
      <c r="D1372" s="1" t="s">
        <v>19</v>
      </c>
      <c r="E1372" s="1">
        <v>274498820.30000001</v>
      </c>
      <c r="F1372" s="1">
        <v>7369610.8600000003</v>
      </c>
      <c r="G1372" s="1">
        <v>1802733</v>
      </c>
      <c r="H1372" s="1">
        <v>152.2681508</v>
      </c>
    </row>
    <row r="1373" spans="1:8" ht="15.75" thickBot="1" x14ac:dyDescent="0.3">
      <c r="A1373" s="1">
        <v>2017</v>
      </c>
      <c r="B1373" s="1" t="s">
        <v>20</v>
      </c>
      <c r="C1373" s="1" t="s">
        <v>23</v>
      </c>
      <c r="D1373" s="1" t="s">
        <v>29</v>
      </c>
      <c r="E1373" s="1">
        <v>223751.18</v>
      </c>
      <c r="F1373" s="1">
        <v>8489.33</v>
      </c>
      <c r="G1373" s="1">
        <v>3805</v>
      </c>
      <c r="H1373" s="1">
        <v>58.804515109999997</v>
      </c>
    </row>
    <row r="1374" spans="1:8" ht="15.75" thickBot="1" x14ac:dyDescent="0.3">
      <c r="A1374" s="1">
        <v>2015</v>
      </c>
      <c r="B1374" s="1" t="s">
        <v>20</v>
      </c>
      <c r="C1374" s="1" t="s">
        <v>9</v>
      </c>
      <c r="D1374" s="1" t="s">
        <v>27</v>
      </c>
      <c r="E1374" s="1">
        <v>28187.89</v>
      </c>
      <c r="F1374" s="1">
        <v>901.08</v>
      </c>
      <c r="G1374" s="1">
        <v>1580</v>
      </c>
      <c r="H1374" s="1">
        <v>17.840436709999999</v>
      </c>
    </row>
    <row r="1375" spans="1:8" ht="15.75" thickBot="1" x14ac:dyDescent="0.3">
      <c r="A1375" s="1">
        <v>2014</v>
      </c>
      <c r="B1375" s="1" t="s">
        <v>14</v>
      </c>
      <c r="C1375" s="1" t="s">
        <v>12</v>
      </c>
      <c r="D1375" s="1" t="s">
        <v>32</v>
      </c>
      <c r="E1375" s="1">
        <v>57670609.710000001</v>
      </c>
      <c r="F1375" s="1">
        <v>2243579.7400000002</v>
      </c>
      <c r="G1375" s="1">
        <v>1145358</v>
      </c>
      <c r="H1375" s="1">
        <v>50.351601600000002</v>
      </c>
    </row>
    <row r="1376" spans="1:8" ht="15.75" thickBot="1" x14ac:dyDescent="0.3">
      <c r="A1376" s="1">
        <v>2016</v>
      </c>
      <c r="B1376" s="1" t="s">
        <v>8</v>
      </c>
      <c r="C1376" s="1" t="s">
        <v>26</v>
      </c>
      <c r="D1376" s="1" t="s">
        <v>32</v>
      </c>
      <c r="E1376" s="1">
        <v>589.41</v>
      </c>
      <c r="F1376" s="1">
        <v>29.92</v>
      </c>
      <c r="G1376" s="1">
        <v>19</v>
      </c>
      <c r="H1376" s="1">
        <v>31.021578949999999</v>
      </c>
    </row>
    <row r="1377" spans="1:8" ht="15.75" thickBot="1" x14ac:dyDescent="0.3">
      <c r="A1377" s="1">
        <v>2016</v>
      </c>
      <c r="B1377" s="1" t="s">
        <v>11</v>
      </c>
      <c r="C1377" s="1" t="s">
        <v>25</v>
      </c>
      <c r="D1377" s="1" t="s">
        <v>27</v>
      </c>
      <c r="E1377" s="1">
        <v>378736395.60000002</v>
      </c>
      <c r="F1377" s="1">
        <v>10554648.99</v>
      </c>
      <c r="G1377" s="1">
        <v>6710329</v>
      </c>
      <c r="H1377" s="1">
        <v>56.44080872</v>
      </c>
    </row>
    <row r="1378" spans="1:8" ht="15.75" thickBot="1" x14ac:dyDescent="0.3">
      <c r="A1378" s="1">
        <v>2016</v>
      </c>
      <c r="B1378" s="1" t="s">
        <v>17</v>
      </c>
      <c r="C1378" s="1" t="s">
        <v>23</v>
      </c>
      <c r="D1378" s="1" t="s">
        <v>22</v>
      </c>
      <c r="E1378" s="1">
        <v>610017.72</v>
      </c>
      <c r="F1378" s="1">
        <v>22537.61</v>
      </c>
      <c r="G1378" s="1">
        <v>34157</v>
      </c>
      <c r="H1378" s="1">
        <v>17.859230029999999</v>
      </c>
    </row>
    <row r="1379" spans="1:8" ht="15.75" thickBot="1" x14ac:dyDescent="0.3">
      <c r="A1379" s="1">
        <v>2015</v>
      </c>
      <c r="B1379" s="1" t="s">
        <v>16</v>
      </c>
      <c r="C1379" s="1" t="s">
        <v>33</v>
      </c>
      <c r="D1379" s="1" t="s">
        <v>31</v>
      </c>
      <c r="E1379" s="1">
        <v>6381122.7800000003</v>
      </c>
      <c r="F1379" s="1">
        <v>240894.97</v>
      </c>
      <c r="G1379" s="1">
        <v>129231</v>
      </c>
      <c r="H1379" s="1">
        <v>49.377647619999998</v>
      </c>
    </row>
    <row r="1380" spans="1:8" ht="15.75" thickBot="1" x14ac:dyDescent="0.3">
      <c r="A1380" s="1">
        <v>2016</v>
      </c>
      <c r="B1380" s="1" t="s">
        <v>11</v>
      </c>
      <c r="C1380" s="1" t="s">
        <v>28</v>
      </c>
      <c r="D1380" s="1" t="s">
        <v>22</v>
      </c>
      <c r="E1380" s="1">
        <v>64808101.460000001</v>
      </c>
      <c r="F1380" s="1">
        <v>1869453.15</v>
      </c>
      <c r="G1380" s="1">
        <v>3001356</v>
      </c>
      <c r="H1380" s="1">
        <v>21.592940479999999</v>
      </c>
    </row>
    <row r="1381" spans="1:8" ht="15.75" thickBot="1" x14ac:dyDescent="0.3">
      <c r="A1381" s="1">
        <v>2017</v>
      </c>
      <c r="B1381" s="1" t="s">
        <v>14</v>
      </c>
      <c r="C1381" s="1" t="s">
        <v>28</v>
      </c>
      <c r="D1381" s="1" t="s">
        <v>24</v>
      </c>
      <c r="E1381" s="1">
        <v>47769021.43</v>
      </c>
      <c r="F1381" s="1">
        <v>1604118.28</v>
      </c>
      <c r="G1381" s="1">
        <v>219833</v>
      </c>
      <c r="H1381" s="1">
        <v>217.29686369999999</v>
      </c>
    </row>
    <row r="1382" spans="1:8" ht="15.75" thickBot="1" x14ac:dyDescent="0.3">
      <c r="A1382" s="1">
        <v>2017</v>
      </c>
      <c r="B1382" s="1" t="s">
        <v>17</v>
      </c>
      <c r="C1382" s="1" t="s">
        <v>21</v>
      </c>
      <c r="D1382" s="1" t="s">
        <v>13</v>
      </c>
      <c r="E1382" s="1">
        <v>12591366.41</v>
      </c>
      <c r="F1382" s="1">
        <v>422714.12</v>
      </c>
      <c r="G1382" s="1">
        <v>296737</v>
      </c>
      <c r="H1382" s="1">
        <v>42.432748220000001</v>
      </c>
    </row>
    <row r="1383" spans="1:8" ht="15.75" thickBot="1" x14ac:dyDescent="0.3">
      <c r="A1383" s="1">
        <v>2017</v>
      </c>
      <c r="B1383" s="1" t="s">
        <v>11</v>
      </c>
      <c r="C1383" s="1" t="s">
        <v>18</v>
      </c>
      <c r="D1383" s="1" t="s">
        <v>27</v>
      </c>
      <c r="E1383" s="1">
        <v>44926313.859999999</v>
      </c>
      <c r="F1383" s="1">
        <v>1230300.6100000001</v>
      </c>
      <c r="G1383" s="1">
        <v>545980</v>
      </c>
      <c r="H1383" s="1">
        <v>82.285640240000006</v>
      </c>
    </row>
    <row r="1384" spans="1:8" ht="15.75" thickBot="1" x14ac:dyDescent="0.3">
      <c r="A1384" s="1">
        <v>2014</v>
      </c>
      <c r="B1384" s="1" t="s">
        <v>17</v>
      </c>
      <c r="C1384" s="1" t="s">
        <v>33</v>
      </c>
      <c r="D1384" s="1" t="s">
        <v>31</v>
      </c>
      <c r="E1384" s="1">
        <v>10238484.33</v>
      </c>
      <c r="F1384" s="1">
        <v>331353.23</v>
      </c>
      <c r="G1384" s="1">
        <v>169366</v>
      </c>
      <c r="H1384" s="1">
        <v>60.451828169999999</v>
      </c>
    </row>
    <row r="1385" spans="1:8" ht="15.75" thickBot="1" x14ac:dyDescent="0.3">
      <c r="A1385" s="1">
        <v>2014</v>
      </c>
      <c r="B1385" s="1" t="s">
        <v>8</v>
      </c>
      <c r="C1385" s="1" t="s">
        <v>26</v>
      </c>
      <c r="D1385" s="1" t="s">
        <v>19</v>
      </c>
      <c r="E1385" s="1">
        <v>3871.66</v>
      </c>
      <c r="F1385" s="1">
        <v>35.07</v>
      </c>
      <c r="G1385" s="1">
        <v>49</v>
      </c>
      <c r="H1385" s="1">
        <v>79.013469389999997</v>
      </c>
    </row>
    <row r="1386" spans="1:8" ht="15.75" thickBot="1" x14ac:dyDescent="0.3">
      <c r="A1386" s="1">
        <v>2015</v>
      </c>
      <c r="B1386" s="1" t="s">
        <v>16</v>
      </c>
      <c r="C1386" s="1" t="s">
        <v>9</v>
      </c>
      <c r="D1386" s="1" t="s">
        <v>24</v>
      </c>
      <c r="E1386" s="1">
        <v>165674.32999999999</v>
      </c>
      <c r="F1386" s="1">
        <v>2485.44</v>
      </c>
      <c r="G1386" s="1">
        <v>1328</v>
      </c>
      <c r="H1386" s="1">
        <v>124.7547666</v>
      </c>
    </row>
    <row r="1387" spans="1:8" ht="15.75" thickBot="1" x14ac:dyDescent="0.3">
      <c r="A1387" s="1">
        <v>2016</v>
      </c>
      <c r="B1387" s="1" t="s">
        <v>35</v>
      </c>
      <c r="C1387" s="1" t="s">
        <v>26</v>
      </c>
      <c r="D1387" s="1" t="s">
        <v>29</v>
      </c>
      <c r="E1387" s="1">
        <v>2247.36</v>
      </c>
      <c r="F1387" s="1">
        <v>74.94</v>
      </c>
      <c r="G1387" s="1">
        <v>8</v>
      </c>
      <c r="H1387" s="1">
        <v>280.92</v>
      </c>
    </row>
    <row r="1388" spans="1:8" ht="15.75" thickBot="1" x14ac:dyDescent="0.3">
      <c r="A1388" s="1">
        <v>2015</v>
      </c>
      <c r="B1388" s="1" t="s">
        <v>40</v>
      </c>
      <c r="C1388" s="1" t="s">
        <v>25</v>
      </c>
      <c r="D1388" s="1" t="s">
        <v>13</v>
      </c>
      <c r="E1388" s="1">
        <v>112.79</v>
      </c>
      <c r="F1388" s="1">
        <v>0</v>
      </c>
      <c r="G1388" s="1">
        <v>7</v>
      </c>
      <c r="H1388" s="1">
        <v>16.112857139999999</v>
      </c>
    </row>
    <row r="1389" spans="1:8" ht="15.75" thickBot="1" x14ac:dyDescent="0.3">
      <c r="A1389" s="1">
        <v>2016</v>
      </c>
      <c r="B1389" s="1" t="s">
        <v>16</v>
      </c>
      <c r="C1389" s="1" t="s">
        <v>28</v>
      </c>
      <c r="D1389" s="1" t="s">
        <v>27</v>
      </c>
      <c r="E1389" s="1">
        <v>560136100.29999995</v>
      </c>
      <c r="F1389" s="1">
        <v>19874864.969999999</v>
      </c>
      <c r="G1389" s="1">
        <v>7653967</v>
      </c>
      <c r="H1389" s="1">
        <v>73.182455619999999</v>
      </c>
    </row>
    <row r="1390" spans="1:8" ht="15.75" thickBot="1" x14ac:dyDescent="0.3">
      <c r="A1390" s="1">
        <v>2017</v>
      </c>
      <c r="B1390" s="1" t="s">
        <v>11</v>
      </c>
      <c r="C1390" s="1" t="s">
        <v>33</v>
      </c>
      <c r="D1390" s="1" t="s">
        <v>24</v>
      </c>
      <c r="E1390" s="1">
        <v>10255808.619999999</v>
      </c>
      <c r="F1390" s="1">
        <v>331583.96999999997</v>
      </c>
      <c r="G1390" s="1">
        <v>35807</v>
      </c>
      <c r="H1390" s="1">
        <v>286.4190974</v>
      </c>
    </row>
    <row r="1391" spans="1:8" ht="15.75" thickBot="1" x14ac:dyDescent="0.3">
      <c r="A1391" s="1">
        <v>2016</v>
      </c>
      <c r="B1391" s="1" t="s">
        <v>14</v>
      </c>
      <c r="C1391" s="1" t="s">
        <v>9</v>
      </c>
      <c r="D1391" s="1" t="s">
        <v>10</v>
      </c>
      <c r="E1391" s="1">
        <v>16304.82</v>
      </c>
      <c r="F1391" s="1">
        <v>479.72</v>
      </c>
      <c r="G1391" s="1">
        <v>2313</v>
      </c>
      <c r="H1391" s="1">
        <v>7.0492088199999996</v>
      </c>
    </row>
    <row r="1392" spans="1:8" ht="15.75" thickBot="1" x14ac:dyDescent="0.3">
      <c r="A1392" s="1">
        <v>2016</v>
      </c>
      <c r="B1392" s="1" t="s">
        <v>16</v>
      </c>
      <c r="C1392" s="1" t="s">
        <v>21</v>
      </c>
      <c r="D1392" s="1" t="s">
        <v>10</v>
      </c>
      <c r="E1392" s="1">
        <v>32756572.350000001</v>
      </c>
      <c r="F1392" s="1">
        <v>1181216.19</v>
      </c>
      <c r="G1392" s="1">
        <v>594243</v>
      </c>
      <c r="H1392" s="1">
        <v>55.123194300000002</v>
      </c>
    </row>
    <row r="1393" spans="1:8" ht="15.75" thickBot="1" x14ac:dyDescent="0.3">
      <c r="A1393" s="1">
        <v>2014</v>
      </c>
      <c r="B1393" s="1" t="s">
        <v>17</v>
      </c>
      <c r="C1393" s="1" t="s">
        <v>33</v>
      </c>
      <c r="D1393" s="1" t="s">
        <v>27</v>
      </c>
      <c r="E1393" s="1">
        <v>661500444.70000005</v>
      </c>
      <c r="F1393" s="1">
        <v>21934338.870000001</v>
      </c>
      <c r="G1393" s="1">
        <v>8972010</v>
      </c>
      <c r="H1393" s="1">
        <v>73.729347680000004</v>
      </c>
    </row>
    <row r="1394" spans="1:8" ht="15.75" thickBot="1" x14ac:dyDescent="0.3">
      <c r="A1394" s="1">
        <v>2014</v>
      </c>
      <c r="B1394" s="1" t="s">
        <v>16</v>
      </c>
      <c r="C1394" s="1" t="s">
        <v>18</v>
      </c>
      <c r="D1394" s="1" t="s">
        <v>29</v>
      </c>
      <c r="E1394" s="1">
        <v>3848095.4</v>
      </c>
      <c r="F1394" s="1">
        <v>123893.64</v>
      </c>
      <c r="G1394" s="1">
        <v>11325</v>
      </c>
      <c r="H1394" s="1">
        <v>339.78767329999999</v>
      </c>
    </row>
    <row r="1395" spans="1:8" ht="15.75" thickBot="1" x14ac:dyDescent="0.3">
      <c r="A1395" s="1">
        <v>2017</v>
      </c>
      <c r="B1395" s="1" t="s">
        <v>8</v>
      </c>
      <c r="C1395" s="1" t="s">
        <v>18</v>
      </c>
      <c r="D1395" s="1" t="s">
        <v>32</v>
      </c>
      <c r="E1395" s="1">
        <v>310</v>
      </c>
      <c r="F1395" s="1">
        <v>9.89</v>
      </c>
      <c r="G1395" s="1">
        <v>3</v>
      </c>
      <c r="H1395" s="1">
        <v>103.33333330000001</v>
      </c>
    </row>
    <row r="1396" spans="1:8" ht="15.75" thickBot="1" x14ac:dyDescent="0.3">
      <c r="A1396" s="1">
        <v>2017</v>
      </c>
      <c r="B1396" s="1" t="s">
        <v>8</v>
      </c>
      <c r="C1396" s="1" t="s">
        <v>23</v>
      </c>
      <c r="D1396" s="1" t="s">
        <v>10</v>
      </c>
      <c r="E1396" s="1">
        <v>95</v>
      </c>
      <c r="F1396" s="1">
        <v>3.06</v>
      </c>
      <c r="G1396" s="1">
        <v>1</v>
      </c>
      <c r="H1396" s="1">
        <v>95</v>
      </c>
    </row>
    <row r="1397" spans="1:8" ht="15.75" thickBot="1" x14ac:dyDescent="0.3">
      <c r="A1397" s="1">
        <v>2016</v>
      </c>
      <c r="B1397" s="1" t="s">
        <v>14</v>
      </c>
      <c r="C1397" s="1" t="s">
        <v>9</v>
      </c>
      <c r="D1397" s="1" t="s">
        <v>10</v>
      </c>
      <c r="E1397" s="1">
        <v>11157791.949999999</v>
      </c>
      <c r="F1397" s="1">
        <v>387842.57</v>
      </c>
      <c r="G1397" s="1">
        <v>163050</v>
      </c>
      <c r="H1397" s="1">
        <v>68.43172002</v>
      </c>
    </row>
    <row r="1398" spans="1:8" ht="15.75" thickBot="1" x14ac:dyDescent="0.3">
      <c r="A1398" s="1">
        <v>2015</v>
      </c>
      <c r="B1398" s="1" t="s">
        <v>35</v>
      </c>
      <c r="C1398" s="1" t="s">
        <v>12</v>
      </c>
      <c r="D1398" s="1" t="s">
        <v>24</v>
      </c>
      <c r="E1398" s="1">
        <v>4479.3999999999996</v>
      </c>
      <c r="F1398" s="1">
        <v>94</v>
      </c>
      <c r="G1398" s="1">
        <v>130</v>
      </c>
      <c r="H1398" s="1">
        <v>34.456923080000003</v>
      </c>
    </row>
    <row r="1399" spans="1:8" ht="15.75" thickBot="1" x14ac:dyDescent="0.3">
      <c r="A1399" s="1">
        <v>2015</v>
      </c>
      <c r="B1399" s="1" t="s">
        <v>17</v>
      </c>
      <c r="C1399" s="1" t="s">
        <v>21</v>
      </c>
      <c r="D1399" s="1" t="s">
        <v>22</v>
      </c>
      <c r="E1399" s="1">
        <v>1892344.28</v>
      </c>
      <c r="F1399" s="1">
        <v>68255.759999999995</v>
      </c>
      <c r="G1399" s="1">
        <v>118978</v>
      </c>
      <c r="H1399" s="1">
        <v>15.904993190000001</v>
      </c>
    </row>
    <row r="1400" spans="1:8" ht="15.75" thickBot="1" x14ac:dyDescent="0.3">
      <c r="A1400" s="1">
        <v>2017</v>
      </c>
      <c r="B1400" s="1" t="s">
        <v>12</v>
      </c>
      <c r="C1400" s="1" t="s">
        <v>26</v>
      </c>
      <c r="D1400" s="1" t="s">
        <v>32</v>
      </c>
      <c r="E1400" s="1">
        <v>5953816.7400000002</v>
      </c>
      <c r="F1400" s="1">
        <v>222368.98</v>
      </c>
      <c r="G1400" s="1">
        <v>125648</v>
      </c>
      <c r="H1400" s="1">
        <v>47.384890650000003</v>
      </c>
    </row>
    <row r="1401" spans="1:8" ht="15.75" thickBot="1" x14ac:dyDescent="0.3">
      <c r="A1401" s="1">
        <v>2014</v>
      </c>
      <c r="B1401" s="1" t="s">
        <v>30</v>
      </c>
      <c r="C1401" s="1" t="s">
        <v>9</v>
      </c>
      <c r="D1401" s="1" t="s">
        <v>37</v>
      </c>
      <c r="E1401" s="1">
        <v>6704.95</v>
      </c>
      <c r="F1401" s="1">
        <v>198.66</v>
      </c>
      <c r="G1401" s="1">
        <v>20</v>
      </c>
      <c r="H1401" s="1">
        <v>335.2475</v>
      </c>
    </row>
    <row r="1402" spans="1:8" ht="15.75" thickBot="1" x14ac:dyDescent="0.3">
      <c r="A1402" s="1">
        <v>2014</v>
      </c>
      <c r="B1402" s="1" t="s">
        <v>16</v>
      </c>
      <c r="C1402" s="1" t="s">
        <v>18</v>
      </c>
      <c r="D1402" s="1" t="s">
        <v>24</v>
      </c>
      <c r="E1402" s="1">
        <v>7457815.5800000001</v>
      </c>
      <c r="F1402" s="1">
        <v>236434.55</v>
      </c>
      <c r="G1402" s="1">
        <v>24280</v>
      </c>
      <c r="H1402" s="1">
        <v>307.15879649999999</v>
      </c>
    </row>
    <row r="1403" spans="1:8" ht="15.75" thickBot="1" x14ac:dyDescent="0.3">
      <c r="A1403" s="1">
        <v>2015</v>
      </c>
      <c r="B1403" s="1" t="s">
        <v>12</v>
      </c>
      <c r="C1403" s="1" t="s">
        <v>33</v>
      </c>
      <c r="D1403" s="1" t="s">
        <v>22</v>
      </c>
      <c r="E1403" s="1">
        <v>1789.94</v>
      </c>
      <c r="F1403" s="1">
        <v>38.24</v>
      </c>
      <c r="G1403" s="1">
        <v>79</v>
      </c>
      <c r="H1403" s="1">
        <v>22.657468349999998</v>
      </c>
    </row>
    <row r="1404" spans="1:8" ht="15.75" thickBot="1" x14ac:dyDescent="0.3">
      <c r="A1404" s="1">
        <v>2015</v>
      </c>
      <c r="B1404" s="1" t="s">
        <v>17</v>
      </c>
      <c r="C1404" s="1" t="s">
        <v>25</v>
      </c>
      <c r="D1404" s="1" t="s">
        <v>31</v>
      </c>
      <c r="E1404" s="1">
        <v>18330082.760000002</v>
      </c>
      <c r="F1404" s="1">
        <v>597683.87</v>
      </c>
      <c r="G1404" s="1">
        <v>321314</v>
      </c>
      <c r="H1404" s="1">
        <v>57.047258319999997</v>
      </c>
    </row>
    <row r="1405" spans="1:8" ht="15.75" thickBot="1" x14ac:dyDescent="0.3">
      <c r="A1405" s="1">
        <v>2015</v>
      </c>
      <c r="B1405" s="1" t="s">
        <v>14</v>
      </c>
      <c r="C1405" s="1" t="s">
        <v>12</v>
      </c>
      <c r="D1405" s="1" t="s">
        <v>10</v>
      </c>
      <c r="E1405" s="1">
        <v>3712488.67</v>
      </c>
      <c r="F1405" s="1">
        <v>142002.16</v>
      </c>
      <c r="G1405" s="1">
        <v>66788</v>
      </c>
      <c r="H1405" s="1">
        <v>55.586163229999997</v>
      </c>
    </row>
    <row r="1406" spans="1:8" ht="15.75" thickBot="1" x14ac:dyDescent="0.3">
      <c r="A1406" s="1">
        <v>2016</v>
      </c>
      <c r="B1406" s="1" t="s">
        <v>14</v>
      </c>
      <c r="C1406" s="1" t="s">
        <v>15</v>
      </c>
      <c r="D1406" s="1" t="s">
        <v>13</v>
      </c>
      <c r="E1406" s="1">
        <v>390774.91</v>
      </c>
      <c r="F1406" s="1">
        <v>13618.47</v>
      </c>
      <c r="G1406" s="1">
        <v>12016</v>
      </c>
      <c r="H1406" s="1">
        <v>32.521214209999997</v>
      </c>
    </row>
    <row r="1407" spans="1:8" ht="15.75" thickBot="1" x14ac:dyDescent="0.3">
      <c r="A1407" s="1">
        <v>2017</v>
      </c>
      <c r="B1407" s="1" t="s">
        <v>17</v>
      </c>
      <c r="C1407" s="1" t="s">
        <v>28</v>
      </c>
      <c r="D1407" s="1" t="s">
        <v>36</v>
      </c>
      <c r="E1407" s="1">
        <v>409944035.60000002</v>
      </c>
      <c r="F1407" s="1">
        <v>132280.94</v>
      </c>
      <c r="G1407" s="1">
        <v>1229848</v>
      </c>
      <c r="H1407" s="1">
        <v>333.32902569999999</v>
      </c>
    </row>
    <row r="1408" spans="1:8" ht="15.75" thickBot="1" x14ac:dyDescent="0.3">
      <c r="A1408" s="1">
        <v>2015</v>
      </c>
      <c r="B1408" s="1" t="s">
        <v>12</v>
      </c>
      <c r="C1408" s="1" t="s">
        <v>25</v>
      </c>
      <c r="D1408" s="1" t="s">
        <v>13</v>
      </c>
      <c r="E1408" s="1">
        <v>47054.09</v>
      </c>
      <c r="F1408" s="1">
        <v>1387.47</v>
      </c>
      <c r="G1408" s="1">
        <v>929</v>
      </c>
      <c r="H1408" s="1">
        <v>50.650258340000001</v>
      </c>
    </row>
    <row r="1409" spans="1:8" ht="15.75" thickBot="1" x14ac:dyDescent="0.3">
      <c r="A1409" s="1">
        <v>2015</v>
      </c>
      <c r="B1409" s="1" t="s">
        <v>14</v>
      </c>
      <c r="C1409" s="1" t="s">
        <v>9</v>
      </c>
      <c r="D1409" s="1" t="s">
        <v>27</v>
      </c>
      <c r="E1409" s="1">
        <v>454331.23</v>
      </c>
      <c r="F1409" s="1">
        <v>16756.36</v>
      </c>
      <c r="G1409" s="1">
        <v>37602</v>
      </c>
      <c r="H1409" s="1">
        <v>12.0826347</v>
      </c>
    </row>
    <row r="1410" spans="1:8" ht="15.75" thickBot="1" x14ac:dyDescent="0.3">
      <c r="A1410" s="1">
        <v>2017</v>
      </c>
      <c r="B1410" s="1" t="s">
        <v>17</v>
      </c>
      <c r="C1410" s="1" t="s">
        <v>28</v>
      </c>
      <c r="D1410" s="1" t="s">
        <v>32</v>
      </c>
      <c r="E1410" s="1">
        <v>219937856.30000001</v>
      </c>
      <c r="F1410" s="1">
        <v>7419647.2699999996</v>
      </c>
      <c r="G1410" s="1">
        <v>2785653</v>
      </c>
      <c r="H1410" s="1">
        <v>78.95378796</v>
      </c>
    </row>
    <row r="1411" spans="1:8" ht="15.75" thickBot="1" x14ac:dyDescent="0.3">
      <c r="A1411" s="1">
        <v>2015</v>
      </c>
      <c r="B1411" s="1" t="s">
        <v>30</v>
      </c>
      <c r="C1411" s="1" t="s">
        <v>9</v>
      </c>
      <c r="D1411" s="1" t="s">
        <v>29</v>
      </c>
      <c r="E1411" s="1">
        <v>7555637.8899999997</v>
      </c>
      <c r="F1411" s="1">
        <v>242779.98</v>
      </c>
      <c r="G1411" s="1">
        <v>34131</v>
      </c>
      <c r="H1411" s="1">
        <v>221.3717116</v>
      </c>
    </row>
    <row r="1412" spans="1:8" ht="15.75" thickBot="1" x14ac:dyDescent="0.3">
      <c r="A1412" s="1">
        <v>2014</v>
      </c>
      <c r="B1412" s="1" t="s">
        <v>14</v>
      </c>
      <c r="C1412" s="1" t="s">
        <v>28</v>
      </c>
      <c r="D1412" s="1" t="s">
        <v>27</v>
      </c>
      <c r="E1412" s="1">
        <v>246786740.19999999</v>
      </c>
      <c r="F1412" s="1">
        <v>9787519.1099999994</v>
      </c>
      <c r="G1412" s="1">
        <v>6650254</v>
      </c>
      <c r="H1412" s="1">
        <v>37.109370589999997</v>
      </c>
    </row>
    <row r="1413" spans="1:8" ht="15.75" thickBot="1" x14ac:dyDescent="0.3">
      <c r="A1413" s="1">
        <v>2016</v>
      </c>
      <c r="B1413" s="1" t="s">
        <v>17</v>
      </c>
      <c r="C1413" s="1" t="s">
        <v>9</v>
      </c>
      <c r="D1413" s="1" t="s">
        <v>22</v>
      </c>
      <c r="E1413" s="1">
        <v>951.98</v>
      </c>
      <c r="F1413" s="1">
        <v>41.51</v>
      </c>
      <c r="G1413" s="1">
        <v>1732</v>
      </c>
      <c r="H1413" s="1">
        <v>0.54964203229999997</v>
      </c>
    </row>
    <row r="1414" spans="1:8" ht="15.75" thickBot="1" x14ac:dyDescent="0.3">
      <c r="A1414" s="1">
        <v>2015</v>
      </c>
      <c r="B1414" s="1" t="s">
        <v>11</v>
      </c>
      <c r="C1414" s="1" t="s">
        <v>26</v>
      </c>
      <c r="D1414" s="1" t="s">
        <v>32</v>
      </c>
      <c r="E1414" s="1">
        <v>73463465.75</v>
      </c>
      <c r="F1414" s="1">
        <v>2468097.98</v>
      </c>
      <c r="G1414" s="1">
        <v>1616873</v>
      </c>
      <c r="H1414" s="1">
        <v>45.435520140000001</v>
      </c>
    </row>
    <row r="1415" spans="1:8" ht="15.75" thickBot="1" x14ac:dyDescent="0.3">
      <c r="A1415" s="1">
        <v>2016</v>
      </c>
      <c r="B1415" s="1" t="s">
        <v>35</v>
      </c>
      <c r="C1415" s="1" t="s">
        <v>26</v>
      </c>
      <c r="D1415" s="1" t="s">
        <v>10</v>
      </c>
      <c r="E1415" s="1">
        <v>-11.57</v>
      </c>
      <c r="F1415" s="1">
        <v>2.0299999999999998</v>
      </c>
      <c r="G1415" s="1">
        <v>50</v>
      </c>
      <c r="H1415" s="1">
        <v>-0.23139999999999999</v>
      </c>
    </row>
    <row r="1416" spans="1:8" ht="15.75" thickBot="1" x14ac:dyDescent="0.3">
      <c r="A1416" s="1">
        <v>2016</v>
      </c>
      <c r="B1416" s="1" t="s">
        <v>20</v>
      </c>
      <c r="C1416" s="1" t="s">
        <v>28</v>
      </c>
      <c r="D1416" s="1" t="s">
        <v>22</v>
      </c>
      <c r="E1416" s="1">
        <v>218.5</v>
      </c>
      <c r="F1416" s="1">
        <v>13.01</v>
      </c>
      <c r="G1416" s="1">
        <v>29350</v>
      </c>
      <c r="H1416" s="1">
        <v>7.4446337310000001E-3</v>
      </c>
    </row>
    <row r="1417" spans="1:8" ht="15.75" thickBot="1" x14ac:dyDescent="0.3">
      <c r="A1417" s="1">
        <v>2017</v>
      </c>
      <c r="B1417" s="1" t="s">
        <v>20</v>
      </c>
      <c r="C1417" s="1" t="s">
        <v>26</v>
      </c>
      <c r="D1417" s="1" t="s">
        <v>32</v>
      </c>
      <c r="E1417" s="1">
        <v>3256169.03</v>
      </c>
      <c r="F1417" s="1">
        <v>138460.09</v>
      </c>
      <c r="G1417" s="1">
        <v>128066</v>
      </c>
      <c r="H1417" s="1">
        <v>25.425710410000001</v>
      </c>
    </row>
    <row r="1418" spans="1:8" ht="15.75" thickBot="1" x14ac:dyDescent="0.3">
      <c r="A1418" s="1">
        <v>2015</v>
      </c>
      <c r="B1418" s="1" t="s">
        <v>16</v>
      </c>
      <c r="C1418" s="1" t="s">
        <v>12</v>
      </c>
      <c r="D1418" s="1" t="s">
        <v>24</v>
      </c>
      <c r="E1418" s="1">
        <v>24002303.469999999</v>
      </c>
      <c r="F1418" s="1">
        <v>856104.52</v>
      </c>
      <c r="G1418" s="1">
        <v>102213</v>
      </c>
      <c r="H1418" s="1">
        <v>234.82632810000001</v>
      </c>
    </row>
    <row r="1419" spans="1:8" ht="15.75" thickBot="1" x14ac:dyDescent="0.3">
      <c r="A1419" s="1">
        <v>2014</v>
      </c>
      <c r="B1419" s="1" t="s">
        <v>35</v>
      </c>
      <c r="C1419" s="1" t="s">
        <v>33</v>
      </c>
      <c r="D1419" s="1" t="s">
        <v>27</v>
      </c>
      <c r="E1419" s="1">
        <v>32806.93</v>
      </c>
      <c r="F1419" s="1">
        <v>1109.1199999999999</v>
      </c>
      <c r="G1419" s="1">
        <v>604</v>
      </c>
      <c r="H1419" s="1">
        <v>54.316109269999998</v>
      </c>
    </row>
    <row r="1420" spans="1:8" ht="15.75" thickBot="1" x14ac:dyDescent="0.3">
      <c r="A1420" s="1">
        <v>2014</v>
      </c>
      <c r="B1420" s="1" t="s">
        <v>8</v>
      </c>
      <c r="C1420" s="1" t="s">
        <v>12</v>
      </c>
      <c r="D1420" s="1" t="s">
        <v>19</v>
      </c>
      <c r="E1420" s="1">
        <v>2696.1</v>
      </c>
      <c r="F1420" s="1">
        <v>74.900000000000006</v>
      </c>
      <c r="G1420" s="1">
        <v>29</v>
      </c>
      <c r="H1420" s="1">
        <v>92.968965519999998</v>
      </c>
    </row>
    <row r="1421" spans="1:8" ht="15.75" thickBot="1" x14ac:dyDescent="0.3">
      <c r="A1421" s="1">
        <v>2015</v>
      </c>
      <c r="B1421" s="1" t="s">
        <v>17</v>
      </c>
      <c r="C1421" s="1" t="s">
        <v>25</v>
      </c>
      <c r="D1421" s="1" t="s">
        <v>19</v>
      </c>
      <c r="E1421" s="1">
        <v>38799422.109999999</v>
      </c>
      <c r="F1421" s="1">
        <v>1381088.19</v>
      </c>
      <c r="G1421" s="1">
        <v>216920</v>
      </c>
      <c r="H1421" s="1">
        <v>178.8651213</v>
      </c>
    </row>
    <row r="1422" spans="1:8" ht="15.75" thickBot="1" x14ac:dyDescent="0.3">
      <c r="A1422" s="1">
        <v>2017</v>
      </c>
      <c r="B1422" s="1" t="s">
        <v>35</v>
      </c>
      <c r="C1422" s="1" t="s">
        <v>9</v>
      </c>
      <c r="D1422" s="1" t="s">
        <v>13</v>
      </c>
      <c r="E1422" s="1">
        <v>0</v>
      </c>
      <c r="F1422" s="1">
        <v>0.3</v>
      </c>
      <c r="G1422" s="1">
        <v>5</v>
      </c>
      <c r="H1422" s="1">
        <v>0</v>
      </c>
    </row>
    <row r="1423" spans="1:8" ht="15.75" thickBot="1" x14ac:dyDescent="0.3">
      <c r="A1423" s="1">
        <v>2015</v>
      </c>
      <c r="B1423" s="1" t="s">
        <v>20</v>
      </c>
      <c r="C1423" s="1" t="s">
        <v>26</v>
      </c>
      <c r="D1423" s="1" t="s">
        <v>27</v>
      </c>
      <c r="E1423" s="1">
        <v>8503267.3000000007</v>
      </c>
      <c r="F1423" s="1">
        <v>349954.95</v>
      </c>
      <c r="G1423" s="1">
        <v>284513</v>
      </c>
      <c r="H1423" s="1">
        <v>29.887095840000001</v>
      </c>
    </row>
    <row r="1424" spans="1:8" ht="15.75" thickBot="1" x14ac:dyDescent="0.3">
      <c r="A1424" s="1">
        <v>2016</v>
      </c>
      <c r="B1424" s="1" t="s">
        <v>11</v>
      </c>
      <c r="C1424" s="1" t="s">
        <v>18</v>
      </c>
      <c r="D1424" s="1" t="s">
        <v>24</v>
      </c>
      <c r="E1424" s="1">
        <v>1192789.7</v>
      </c>
      <c r="F1424" s="1">
        <v>36137.17</v>
      </c>
      <c r="G1424" s="1">
        <v>2938</v>
      </c>
      <c r="H1424" s="1">
        <v>405.98696389999998</v>
      </c>
    </row>
    <row r="1425" spans="1:8" ht="15.75" thickBot="1" x14ac:dyDescent="0.3">
      <c r="A1425" s="1">
        <v>2014</v>
      </c>
      <c r="B1425" s="1" t="s">
        <v>8</v>
      </c>
      <c r="C1425" s="1" t="s">
        <v>12</v>
      </c>
      <c r="D1425" s="1" t="s">
        <v>24</v>
      </c>
      <c r="E1425" s="1">
        <v>157</v>
      </c>
      <c r="F1425" s="1">
        <v>4.8499999999999996</v>
      </c>
      <c r="G1425" s="1">
        <v>1</v>
      </c>
      <c r="H1425" s="1">
        <v>157</v>
      </c>
    </row>
    <row r="1426" spans="1:8" ht="15.75" thickBot="1" x14ac:dyDescent="0.3">
      <c r="A1426" s="1">
        <v>2015</v>
      </c>
      <c r="B1426" s="1" t="s">
        <v>14</v>
      </c>
      <c r="C1426" s="1" t="s">
        <v>9</v>
      </c>
      <c r="D1426" s="1" t="s">
        <v>10</v>
      </c>
      <c r="E1426" s="1">
        <v>6044.4</v>
      </c>
      <c r="F1426" s="1">
        <v>286.44</v>
      </c>
      <c r="G1426" s="1">
        <v>1762</v>
      </c>
      <c r="H1426" s="1">
        <v>3.4304199770000001</v>
      </c>
    </row>
    <row r="1427" spans="1:8" ht="15.75" thickBot="1" x14ac:dyDescent="0.3">
      <c r="A1427" s="1">
        <v>2015</v>
      </c>
      <c r="B1427" s="1" t="s">
        <v>12</v>
      </c>
      <c r="C1427" s="1" t="s">
        <v>9</v>
      </c>
      <c r="D1427" s="1" t="s">
        <v>32</v>
      </c>
      <c r="E1427" s="1">
        <v>71743202.840000004</v>
      </c>
      <c r="F1427" s="1">
        <v>2345166.91</v>
      </c>
      <c r="G1427" s="1">
        <v>811210</v>
      </c>
      <c r="H1427" s="1">
        <v>88.439741670000004</v>
      </c>
    </row>
    <row r="1428" spans="1:8" ht="15.75" thickBot="1" x14ac:dyDescent="0.3">
      <c r="A1428" s="1">
        <v>2017</v>
      </c>
      <c r="B1428" s="1" t="s">
        <v>17</v>
      </c>
      <c r="C1428" s="1" t="s">
        <v>25</v>
      </c>
      <c r="D1428" s="1" t="s">
        <v>13</v>
      </c>
      <c r="E1428" s="1">
        <v>14810322.32</v>
      </c>
      <c r="F1428" s="1">
        <v>500049.42</v>
      </c>
      <c r="G1428" s="1">
        <v>352540</v>
      </c>
      <c r="H1428" s="1">
        <v>42.010331649999998</v>
      </c>
    </row>
    <row r="1429" spans="1:8" ht="15.75" thickBot="1" x14ac:dyDescent="0.3">
      <c r="A1429" s="1">
        <v>2015</v>
      </c>
      <c r="B1429" s="1" t="s">
        <v>20</v>
      </c>
      <c r="C1429" s="1" t="s">
        <v>28</v>
      </c>
      <c r="D1429" s="1" t="s">
        <v>19</v>
      </c>
      <c r="E1429" s="1">
        <v>11687999.51</v>
      </c>
      <c r="F1429" s="1">
        <v>395688.89</v>
      </c>
      <c r="G1429" s="1">
        <v>193792</v>
      </c>
      <c r="H1429" s="1">
        <v>60.312084659999996</v>
      </c>
    </row>
    <row r="1430" spans="1:8" ht="15.75" thickBot="1" x14ac:dyDescent="0.3">
      <c r="A1430" s="1">
        <v>2014</v>
      </c>
      <c r="B1430" s="1" t="s">
        <v>20</v>
      </c>
      <c r="C1430" s="1" t="s">
        <v>28</v>
      </c>
      <c r="D1430" s="1" t="s">
        <v>27</v>
      </c>
      <c r="E1430" s="1">
        <v>8479263.0999999996</v>
      </c>
      <c r="F1430" s="1">
        <v>319911.34999999998</v>
      </c>
      <c r="G1430" s="1">
        <v>254262</v>
      </c>
      <c r="H1430" s="1">
        <v>33.348526720000002</v>
      </c>
    </row>
    <row r="1431" spans="1:8" ht="15.75" thickBot="1" x14ac:dyDescent="0.3">
      <c r="A1431" s="1">
        <v>2015</v>
      </c>
      <c r="B1431" s="1" t="s">
        <v>35</v>
      </c>
      <c r="C1431" s="1" t="s">
        <v>9</v>
      </c>
      <c r="D1431" s="1" t="s">
        <v>10</v>
      </c>
      <c r="E1431" s="1">
        <v>-3.48</v>
      </c>
      <c r="F1431" s="1">
        <v>0</v>
      </c>
      <c r="G1431" s="1">
        <v>327685</v>
      </c>
      <c r="H1431" s="1">
        <v>-1.0619955139999999E-5</v>
      </c>
    </row>
    <row r="1432" spans="1:8" ht="15.75" thickBot="1" x14ac:dyDescent="0.3">
      <c r="A1432" s="1">
        <v>2017</v>
      </c>
      <c r="B1432" s="1" t="s">
        <v>16</v>
      </c>
      <c r="C1432" s="1" t="s">
        <v>23</v>
      </c>
      <c r="D1432" s="1" t="s">
        <v>27</v>
      </c>
      <c r="E1432" s="1">
        <v>704140687.39999998</v>
      </c>
      <c r="F1432" s="1">
        <v>29449505.18</v>
      </c>
      <c r="G1432" s="1">
        <v>18200693</v>
      </c>
      <c r="H1432" s="1">
        <v>38.687575649999999</v>
      </c>
    </row>
    <row r="1433" spans="1:8" ht="15.75" thickBot="1" x14ac:dyDescent="0.3">
      <c r="A1433" s="1">
        <v>2014</v>
      </c>
      <c r="B1433" s="1" t="s">
        <v>30</v>
      </c>
      <c r="C1433" s="1" t="s">
        <v>26</v>
      </c>
      <c r="D1433" s="1" t="s">
        <v>19</v>
      </c>
      <c r="E1433" s="1">
        <v>132990798.8</v>
      </c>
      <c r="F1433" s="1">
        <v>3961603.04</v>
      </c>
      <c r="G1433" s="1">
        <v>1222398</v>
      </c>
      <c r="H1433" s="1">
        <v>108.7950069</v>
      </c>
    </row>
    <row r="1434" spans="1:8" ht="15.75" thickBot="1" x14ac:dyDescent="0.3">
      <c r="A1434" s="1">
        <v>2014</v>
      </c>
      <c r="B1434" s="1" t="s">
        <v>12</v>
      </c>
      <c r="C1434" s="1" t="s">
        <v>9</v>
      </c>
      <c r="D1434" s="1" t="s">
        <v>19</v>
      </c>
      <c r="E1434" s="1">
        <v>0</v>
      </c>
      <c r="F1434" s="1">
        <v>0</v>
      </c>
      <c r="G1434" s="1">
        <v>912</v>
      </c>
      <c r="H1434" s="1">
        <v>0</v>
      </c>
    </row>
    <row r="1435" spans="1:8" ht="15.75" thickBot="1" x14ac:dyDescent="0.3">
      <c r="A1435" s="1">
        <v>2016</v>
      </c>
      <c r="B1435" s="1" t="s">
        <v>20</v>
      </c>
      <c r="C1435" s="1" t="s">
        <v>18</v>
      </c>
      <c r="D1435" s="1" t="s">
        <v>22</v>
      </c>
      <c r="E1435" s="1">
        <v>36.97</v>
      </c>
      <c r="F1435" s="1">
        <v>2.33</v>
      </c>
      <c r="G1435" s="1">
        <v>3</v>
      </c>
      <c r="H1435" s="1">
        <v>12.323333330000001</v>
      </c>
    </row>
    <row r="1436" spans="1:8" ht="15.75" thickBot="1" x14ac:dyDescent="0.3">
      <c r="A1436" s="1">
        <v>2015</v>
      </c>
      <c r="B1436" s="1" t="s">
        <v>40</v>
      </c>
      <c r="C1436" s="1" t="s">
        <v>12</v>
      </c>
      <c r="D1436" s="1" t="s">
        <v>32</v>
      </c>
      <c r="E1436" s="1">
        <v>11644.49</v>
      </c>
      <c r="F1436" s="1">
        <v>620.04999999999995</v>
      </c>
      <c r="G1436" s="1">
        <v>286</v>
      </c>
      <c r="H1436" s="1">
        <v>40.715000000000003</v>
      </c>
    </row>
    <row r="1437" spans="1:8" ht="15.75" thickBot="1" x14ac:dyDescent="0.3">
      <c r="A1437" s="1">
        <v>2014</v>
      </c>
      <c r="B1437" s="1" t="s">
        <v>14</v>
      </c>
      <c r="C1437" s="1" t="s">
        <v>26</v>
      </c>
      <c r="D1437" s="1" t="s">
        <v>29</v>
      </c>
      <c r="E1437" s="1">
        <v>4629757.8899999997</v>
      </c>
      <c r="F1437" s="1">
        <v>167843.53</v>
      </c>
      <c r="G1437" s="1">
        <v>44613</v>
      </c>
      <c r="H1437" s="1">
        <v>103.77598209999999</v>
      </c>
    </row>
    <row r="1438" spans="1:8" ht="15.75" thickBot="1" x14ac:dyDescent="0.3">
      <c r="A1438" s="1">
        <v>2015</v>
      </c>
      <c r="B1438" s="1" t="s">
        <v>20</v>
      </c>
      <c r="C1438" s="1" t="s">
        <v>18</v>
      </c>
      <c r="D1438" s="1" t="s">
        <v>22</v>
      </c>
      <c r="E1438" s="1">
        <v>79.680000000000007</v>
      </c>
      <c r="F1438" s="1">
        <v>2.2200000000000002</v>
      </c>
      <c r="G1438" s="1">
        <v>9</v>
      </c>
      <c r="H1438" s="1">
        <v>8.8533333330000001</v>
      </c>
    </row>
    <row r="1439" spans="1:8" ht="15.75" thickBot="1" x14ac:dyDescent="0.3">
      <c r="A1439" s="1">
        <v>2014</v>
      </c>
      <c r="B1439" s="1" t="s">
        <v>20</v>
      </c>
      <c r="C1439" s="1" t="s">
        <v>9</v>
      </c>
      <c r="D1439" s="1" t="s">
        <v>19</v>
      </c>
      <c r="E1439" s="1">
        <v>22501.119999999999</v>
      </c>
      <c r="F1439" s="1">
        <v>1030.94</v>
      </c>
      <c r="G1439" s="1">
        <v>1364</v>
      </c>
      <c r="H1439" s="1">
        <v>16.496422290000002</v>
      </c>
    </row>
    <row r="1440" spans="1:8" ht="15.75" thickBot="1" x14ac:dyDescent="0.3">
      <c r="A1440" s="1">
        <v>2015</v>
      </c>
      <c r="B1440" s="1" t="s">
        <v>16</v>
      </c>
      <c r="C1440" s="1" t="s">
        <v>28</v>
      </c>
      <c r="D1440" s="1" t="s">
        <v>36</v>
      </c>
      <c r="E1440" s="1">
        <v>149794272</v>
      </c>
      <c r="F1440" s="1">
        <v>144148.57999999999</v>
      </c>
      <c r="G1440" s="1">
        <v>455544</v>
      </c>
      <c r="H1440" s="1">
        <v>328.82503559999998</v>
      </c>
    </row>
    <row r="1441" spans="1:8" ht="15.75" thickBot="1" x14ac:dyDescent="0.3">
      <c r="A1441" s="1">
        <v>2014</v>
      </c>
      <c r="B1441" s="1" t="s">
        <v>20</v>
      </c>
      <c r="C1441" s="1" t="s">
        <v>21</v>
      </c>
      <c r="D1441" s="1" t="s">
        <v>19</v>
      </c>
      <c r="E1441" s="1">
        <v>4049501.16</v>
      </c>
      <c r="F1441" s="1">
        <v>142119.25</v>
      </c>
      <c r="G1441" s="1">
        <v>58811</v>
      </c>
      <c r="H1441" s="1">
        <v>68.856186089999994</v>
      </c>
    </row>
    <row r="1442" spans="1:8" ht="15.75" thickBot="1" x14ac:dyDescent="0.3">
      <c r="A1442" s="1">
        <v>2014</v>
      </c>
      <c r="B1442" s="1" t="s">
        <v>17</v>
      </c>
      <c r="C1442" s="1" t="s">
        <v>25</v>
      </c>
      <c r="D1442" s="1" t="s">
        <v>22</v>
      </c>
      <c r="E1442" s="1">
        <v>1276128.83</v>
      </c>
      <c r="F1442" s="1">
        <v>43178.09</v>
      </c>
      <c r="G1442" s="1">
        <v>86306</v>
      </c>
      <c r="H1442" s="1">
        <v>14.786096329999999</v>
      </c>
    </row>
    <row r="1443" spans="1:8" ht="15.75" thickBot="1" x14ac:dyDescent="0.3">
      <c r="A1443" s="1">
        <v>2014</v>
      </c>
      <c r="B1443" s="1" t="s">
        <v>40</v>
      </c>
      <c r="C1443" s="1" t="s">
        <v>15</v>
      </c>
      <c r="D1443" s="1" t="s">
        <v>19</v>
      </c>
      <c r="E1443" s="1">
        <v>49290.53</v>
      </c>
      <c r="F1443" s="1">
        <v>891.62</v>
      </c>
      <c r="G1443" s="1">
        <v>268</v>
      </c>
      <c r="H1443" s="1">
        <v>183.91988810000001</v>
      </c>
    </row>
    <row r="1444" spans="1:8" ht="15.75" thickBot="1" x14ac:dyDescent="0.3">
      <c r="A1444" s="1">
        <v>2016</v>
      </c>
      <c r="B1444" s="1" t="s">
        <v>16</v>
      </c>
      <c r="C1444" s="1" t="s">
        <v>25</v>
      </c>
      <c r="D1444" s="1" t="s">
        <v>24</v>
      </c>
      <c r="E1444" s="1">
        <v>44654830.259999998</v>
      </c>
      <c r="F1444" s="1">
        <v>1599049.71</v>
      </c>
      <c r="G1444" s="1">
        <v>237815</v>
      </c>
      <c r="H1444" s="1">
        <v>187.77129389999999</v>
      </c>
    </row>
    <row r="1445" spans="1:8" ht="15.75" thickBot="1" x14ac:dyDescent="0.3">
      <c r="A1445" s="1">
        <v>2015</v>
      </c>
      <c r="B1445" s="1" t="s">
        <v>11</v>
      </c>
      <c r="C1445" s="1" t="s">
        <v>18</v>
      </c>
      <c r="D1445" s="1" t="s">
        <v>27</v>
      </c>
      <c r="E1445" s="1">
        <v>44073163.149999999</v>
      </c>
      <c r="F1445" s="1">
        <v>1198695.3</v>
      </c>
      <c r="G1445" s="1">
        <v>439014</v>
      </c>
      <c r="H1445" s="1">
        <v>100.39124750000001</v>
      </c>
    </row>
    <row r="1446" spans="1:8" ht="15.75" thickBot="1" x14ac:dyDescent="0.3">
      <c r="A1446" s="1">
        <v>2014</v>
      </c>
      <c r="B1446" s="1" t="s">
        <v>8</v>
      </c>
      <c r="C1446" s="1" t="s">
        <v>28</v>
      </c>
      <c r="D1446" s="1" t="s">
        <v>32</v>
      </c>
      <c r="E1446" s="1">
        <v>479.73</v>
      </c>
      <c r="F1446" s="1">
        <v>11.68</v>
      </c>
      <c r="G1446" s="1">
        <v>15</v>
      </c>
      <c r="H1446" s="1">
        <v>31.981999999999999</v>
      </c>
    </row>
    <row r="1447" spans="1:8" ht="15.75" thickBot="1" x14ac:dyDescent="0.3">
      <c r="A1447" s="1">
        <v>2014</v>
      </c>
      <c r="B1447" s="1" t="s">
        <v>30</v>
      </c>
      <c r="C1447" s="1" t="s">
        <v>26</v>
      </c>
      <c r="D1447" s="1" t="s">
        <v>13</v>
      </c>
      <c r="E1447" s="1">
        <v>258858.38</v>
      </c>
      <c r="F1447" s="1">
        <v>7128.18</v>
      </c>
      <c r="G1447" s="1">
        <v>3603</v>
      </c>
      <c r="H1447" s="1">
        <v>71.845234529999999</v>
      </c>
    </row>
    <row r="1448" spans="1:8" ht="15.75" thickBot="1" x14ac:dyDescent="0.3">
      <c r="A1448" s="1">
        <v>2017</v>
      </c>
      <c r="B1448" s="1" t="s">
        <v>20</v>
      </c>
      <c r="C1448" s="1" t="s">
        <v>18</v>
      </c>
      <c r="D1448" s="1" t="s">
        <v>13</v>
      </c>
      <c r="E1448" s="1">
        <v>31620.68</v>
      </c>
      <c r="F1448" s="1">
        <v>665.59</v>
      </c>
      <c r="G1448" s="1">
        <v>527</v>
      </c>
      <c r="H1448" s="1">
        <v>60.001290320000003</v>
      </c>
    </row>
    <row r="1449" spans="1:8" ht="15.75" thickBot="1" x14ac:dyDescent="0.3">
      <c r="A1449" s="1">
        <v>2014</v>
      </c>
      <c r="B1449" s="1" t="s">
        <v>35</v>
      </c>
      <c r="C1449" s="1" t="s">
        <v>28</v>
      </c>
      <c r="D1449" s="1" t="s">
        <v>32</v>
      </c>
      <c r="E1449" s="1">
        <v>8937.19</v>
      </c>
      <c r="F1449" s="1">
        <v>328.04</v>
      </c>
      <c r="G1449" s="1">
        <v>1453</v>
      </c>
      <c r="H1449" s="1">
        <v>6.1508534069999996</v>
      </c>
    </row>
    <row r="1450" spans="1:8" ht="15.75" thickBot="1" x14ac:dyDescent="0.3">
      <c r="A1450" s="1">
        <v>2014</v>
      </c>
      <c r="B1450" s="1" t="s">
        <v>12</v>
      </c>
      <c r="C1450" s="1" t="s">
        <v>12</v>
      </c>
      <c r="D1450" s="1" t="s">
        <v>13</v>
      </c>
      <c r="E1450" s="1">
        <v>9765.01</v>
      </c>
      <c r="F1450" s="1">
        <v>280.31</v>
      </c>
      <c r="G1450" s="1">
        <v>89</v>
      </c>
      <c r="H1450" s="1">
        <v>109.7192135</v>
      </c>
    </row>
    <row r="1451" spans="1:8" ht="15.75" thickBot="1" x14ac:dyDescent="0.3">
      <c r="A1451" s="1">
        <v>2014</v>
      </c>
      <c r="B1451" s="1" t="s">
        <v>20</v>
      </c>
      <c r="C1451" s="1" t="s">
        <v>15</v>
      </c>
      <c r="D1451" s="1" t="s">
        <v>29</v>
      </c>
      <c r="E1451" s="1">
        <v>632604.13</v>
      </c>
      <c r="F1451" s="1">
        <v>20928.400000000001</v>
      </c>
      <c r="G1451" s="1">
        <v>5852</v>
      </c>
      <c r="H1451" s="1">
        <v>108.1005007</v>
      </c>
    </row>
    <row r="1452" spans="1:8" ht="15.75" thickBot="1" x14ac:dyDescent="0.3">
      <c r="A1452" s="1">
        <v>2015</v>
      </c>
      <c r="B1452" s="1" t="s">
        <v>35</v>
      </c>
      <c r="C1452" s="1" t="s">
        <v>28</v>
      </c>
      <c r="D1452" s="1" t="s">
        <v>36</v>
      </c>
      <c r="E1452" s="1">
        <v>12255.56</v>
      </c>
      <c r="F1452" s="1">
        <v>101.25</v>
      </c>
      <c r="G1452" s="1">
        <v>678</v>
      </c>
      <c r="H1452" s="1">
        <v>18.076047200000001</v>
      </c>
    </row>
    <row r="1453" spans="1:8" ht="15.75" thickBot="1" x14ac:dyDescent="0.3">
      <c r="A1453" s="1">
        <v>2014</v>
      </c>
      <c r="B1453" s="1" t="s">
        <v>17</v>
      </c>
      <c r="C1453" s="1" t="s">
        <v>18</v>
      </c>
      <c r="D1453" s="1" t="s">
        <v>10</v>
      </c>
      <c r="E1453" s="1">
        <v>3294646.21</v>
      </c>
      <c r="F1453" s="1">
        <v>101378.18</v>
      </c>
      <c r="G1453" s="1">
        <v>50041</v>
      </c>
      <c r="H1453" s="1">
        <v>65.838936270000005</v>
      </c>
    </row>
    <row r="1454" spans="1:8" ht="15.75" thickBot="1" x14ac:dyDescent="0.3">
      <c r="A1454" s="1">
        <v>2017</v>
      </c>
      <c r="B1454" s="1" t="s">
        <v>17</v>
      </c>
      <c r="C1454" s="1" t="s">
        <v>33</v>
      </c>
      <c r="D1454" s="1" t="s">
        <v>24</v>
      </c>
      <c r="E1454" s="1">
        <v>34834939.840000004</v>
      </c>
      <c r="F1454" s="1">
        <v>1231097.1100000001</v>
      </c>
      <c r="G1454" s="1">
        <v>142926</v>
      </c>
      <c r="H1454" s="1">
        <v>243.72710240000001</v>
      </c>
    </row>
    <row r="1455" spans="1:8" ht="15.75" thickBot="1" x14ac:dyDescent="0.3">
      <c r="A1455" s="1">
        <v>2014</v>
      </c>
      <c r="B1455" s="1" t="s">
        <v>35</v>
      </c>
      <c r="C1455" s="1" t="s">
        <v>18</v>
      </c>
      <c r="D1455" s="1" t="s">
        <v>29</v>
      </c>
      <c r="E1455" s="1">
        <v>1067</v>
      </c>
      <c r="F1455" s="1">
        <v>16.95</v>
      </c>
      <c r="G1455" s="1">
        <v>14</v>
      </c>
      <c r="H1455" s="1">
        <v>76.214285709999999</v>
      </c>
    </row>
    <row r="1456" spans="1:8" ht="15.75" thickBot="1" x14ac:dyDescent="0.3">
      <c r="A1456" s="1">
        <v>2014</v>
      </c>
      <c r="B1456" s="1" t="s">
        <v>16</v>
      </c>
      <c r="C1456" s="1" t="s">
        <v>15</v>
      </c>
      <c r="D1456" s="1" t="s">
        <v>31</v>
      </c>
      <c r="E1456" s="1">
        <v>1577737.52</v>
      </c>
      <c r="F1456" s="1">
        <v>58925.91</v>
      </c>
      <c r="G1456" s="1">
        <v>30929</v>
      </c>
      <c r="H1456" s="1">
        <v>51.011591709999998</v>
      </c>
    </row>
    <row r="1457" spans="1:8" ht="15.75" thickBot="1" x14ac:dyDescent="0.3">
      <c r="A1457" s="1">
        <v>2014</v>
      </c>
      <c r="B1457" s="1" t="s">
        <v>20</v>
      </c>
      <c r="C1457" s="1" t="s">
        <v>26</v>
      </c>
      <c r="D1457" s="1" t="s">
        <v>22</v>
      </c>
      <c r="E1457" s="1">
        <v>269.25</v>
      </c>
      <c r="F1457" s="1">
        <v>12.57</v>
      </c>
      <c r="G1457" s="1">
        <v>197</v>
      </c>
      <c r="H1457" s="1">
        <v>1.3667512690000001</v>
      </c>
    </row>
    <row r="1458" spans="1:8" ht="15.75" thickBot="1" x14ac:dyDescent="0.3">
      <c r="A1458" s="1">
        <v>2014</v>
      </c>
      <c r="B1458" s="1" t="s">
        <v>30</v>
      </c>
      <c r="C1458" s="1" t="s">
        <v>28</v>
      </c>
      <c r="D1458" s="1" t="s">
        <v>24</v>
      </c>
      <c r="E1458" s="1">
        <v>56399073.439999998</v>
      </c>
      <c r="F1458" s="1">
        <v>1626898.72</v>
      </c>
      <c r="G1458" s="1">
        <v>231857</v>
      </c>
      <c r="H1458" s="1">
        <v>243.24938839999999</v>
      </c>
    </row>
    <row r="1459" spans="1:8" ht="15.75" thickBot="1" x14ac:dyDescent="0.3">
      <c r="A1459" s="1">
        <v>2017</v>
      </c>
      <c r="B1459" s="1" t="s">
        <v>16</v>
      </c>
      <c r="C1459" s="1" t="s">
        <v>21</v>
      </c>
      <c r="D1459" s="1" t="s">
        <v>27</v>
      </c>
      <c r="E1459" s="1">
        <v>590853796.60000002</v>
      </c>
      <c r="F1459" s="1">
        <v>23666097.850000001</v>
      </c>
      <c r="G1459" s="1">
        <v>12912098</v>
      </c>
      <c r="H1459" s="1">
        <v>45.759705099999998</v>
      </c>
    </row>
    <row r="1460" spans="1:8" ht="15.75" thickBot="1" x14ac:dyDescent="0.3">
      <c r="A1460" s="1">
        <v>2016</v>
      </c>
      <c r="B1460" s="1" t="s">
        <v>16</v>
      </c>
      <c r="C1460" s="1" t="s">
        <v>33</v>
      </c>
      <c r="D1460" s="1" t="s">
        <v>22</v>
      </c>
      <c r="E1460" s="1">
        <v>271817.56</v>
      </c>
      <c r="F1460" s="1">
        <v>7759.11</v>
      </c>
      <c r="G1460" s="1">
        <v>14104</v>
      </c>
      <c r="H1460" s="1">
        <v>19.27237379</v>
      </c>
    </row>
    <row r="1461" spans="1:8" ht="15.75" thickBot="1" x14ac:dyDescent="0.3">
      <c r="A1461" s="1">
        <v>2017</v>
      </c>
      <c r="B1461" s="1" t="s">
        <v>11</v>
      </c>
      <c r="C1461" s="1" t="s">
        <v>33</v>
      </c>
      <c r="D1461" s="1" t="s">
        <v>19</v>
      </c>
      <c r="E1461" s="1">
        <v>7605207.3600000003</v>
      </c>
      <c r="F1461" s="1">
        <v>249749.98</v>
      </c>
      <c r="G1461" s="1">
        <v>49513</v>
      </c>
      <c r="H1461" s="1">
        <v>153.60021330000001</v>
      </c>
    </row>
    <row r="1462" spans="1:8" ht="15.75" thickBot="1" x14ac:dyDescent="0.3">
      <c r="A1462" s="1">
        <v>2016</v>
      </c>
      <c r="B1462" s="1" t="s">
        <v>35</v>
      </c>
      <c r="C1462" s="1" t="s">
        <v>33</v>
      </c>
      <c r="D1462" s="1" t="s">
        <v>31</v>
      </c>
      <c r="E1462" s="1">
        <v>160.76</v>
      </c>
      <c r="F1462" s="1">
        <v>9.64</v>
      </c>
      <c r="G1462" s="1">
        <v>52</v>
      </c>
      <c r="H1462" s="1">
        <v>3.0915384619999999</v>
      </c>
    </row>
    <row r="1463" spans="1:8" ht="15.75" thickBot="1" x14ac:dyDescent="0.3">
      <c r="A1463" s="1">
        <v>2017</v>
      </c>
      <c r="B1463" s="1" t="s">
        <v>16</v>
      </c>
      <c r="C1463" s="1" t="s">
        <v>21</v>
      </c>
      <c r="D1463" s="1" t="s">
        <v>10</v>
      </c>
      <c r="E1463" s="1">
        <v>46496750.630000003</v>
      </c>
      <c r="F1463" s="1">
        <v>1730170.04</v>
      </c>
      <c r="G1463" s="1">
        <v>872149</v>
      </c>
      <c r="H1463" s="1">
        <v>53.312852079999999</v>
      </c>
    </row>
    <row r="1464" spans="1:8" ht="15.75" thickBot="1" x14ac:dyDescent="0.3">
      <c r="A1464" s="1">
        <v>2015</v>
      </c>
      <c r="B1464" s="1" t="s">
        <v>40</v>
      </c>
      <c r="C1464" s="1" t="s">
        <v>18</v>
      </c>
      <c r="D1464" s="1" t="s">
        <v>19</v>
      </c>
      <c r="E1464" s="1">
        <v>27076.33</v>
      </c>
      <c r="F1464" s="1">
        <v>442.2</v>
      </c>
      <c r="G1464" s="1">
        <v>105</v>
      </c>
      <c r="H1464" s="1">
        <v>257.86980949999997</v>
      </c>
    </row>
    <row r="1465" spans="1:8" ht="15.75" thickBot="1" x14ac:dyDescent="0.3">
      <c r="A1465" s="1">
        <v>2017</v>
      </c>
      <c r="B1465" s="1" t="s">
        <v>30</v>
      </c>
      <c r="C1465" s="1" t="s">
        <v>23</v>
      </c>
      <c r="D1465" s="1" t="s">
        <v>24</v>
      </c>
      <c r="E1465" s="1">
        <v>23943059.969999999</v>
      </c>
      <c r="F1465" s="1">
        <v>875495.07</v>
      </c>
      <c r="G1465" s="1">
        <v>182637</v>
      </c>
      <c r="H1465" s="1">
        <v>131.09643700000001</v>
      </c>
    </row>
    <row r="1466" spans="1:8" ht="15.75" thickBot="1" x14ac:dyDescent="0.3">
      <c r="A1466" s="1">
        <v>2015</v>
      </c>
      <c r="B1466" s="1" t="s">
        <v>12</v>
      </c>
      <c r="C1466" s="1" t="s">
        <v>9</v>
      </c>
      <c r="D1466" s="1" t="s">
        <v>10</v>
      </c>
      <c r="E1466" s="1">
        <v>1935813.56</v>
      </c>
      <c r="F1466" s="1">
        <v>63909.59</v>
      </c>
      <c r="G1466" s="1">
        <v>22745</v>
      </c>
      <c r="H1466" s="1">
        <v>85.109411300000005</v>
      </c>
    </row>
    <row r="1467" spans="1:8" ht="15.75" thickBot="1" x14ac:dyDescent="0.3">
      <c r="A1467" s="1">
        <v>2015</v>
      </c>
      <c r="B1467" s="1" t="s">
        <v>16</v>
      </c>
      <c r="C1467" s="1" t="s">
        <v>33</v>
      </c>
      <c r="D1467" s="1" t="s">
        <v>27</v>
      </c>
      <c r="E1467" s="1">
        <v>561474997.20000005</v>
      </c>
      <c r="F1467" s="1">
        <v>21752480.300000001</v>
      </c>
      <c r="G1467" s="1">
        <v>10095310</v>
      </c>
      <c r="H1467" s="1">
        <v>55.61741018</v>
      </c>
    </row>
    <row r="1468" spans="1:8" ht="15.75" thickBot="1" x14ac:dyDescent="0.3">
      <c r="A1468" s="1">
        <v>2017</v>
      </c>
      <c r="B1468" s="1" t="s">
        <v>11</v>
      </c>
      <c r="C1468" s="1" t="s">
        <v>25</v>
      </c>
      <c r="D1468" s="1" t="s">
        <v>13</v>
      </c>
      <c r="E1468" s="1">
        <v>7144678.5599999996</v>
      </c>
      <c r="F1468" s="1">
        <v>215876.9</v>
      </c>
      <c r="G1468" s="1">
        <v>405532</v>
      </c>
      <c r="H1468" s="1">
        <v>17.61803892</v>
      </c>
    </row>
    <row r="1469" spans="1:8" ht="15.75" thickBot="1" x14ac:dyDescent="0.3">
      <c r="A1469" s="1">
        <v>2016</v>
      </c>
      <c r="B1469" s="1" t="s">
        <v>40</v>
      </c>
      <c r="C1469" s="1" t="s">
        <v>21</v>
      </c>
      <c r="D1469" s="1" t="s">
        <v>13</v>
      </c>
      <c r="E1469" s="1">
        <v>901.28</v>
      </c>
      <c r="F1469" s="1">
        <v>4.4000000000000004</v>
      </c>
      <c r="G1469" s="1">
        <v>18</v>
      </c>
      <c r="H1469" s="1">
        <v>50.071111109999997</v>
      </c>
    </row>
    <row r="1470" spans="1:8" ht="15.75" thickBot="1" x14ac:dyDescent="0.3">
      <c r="A1470" s="1">
        <v>2014</v>
      </c>
      <c r="B1470" s="1" t="s">
        <v>11</v>
      </c>
      <c r="C1470" s="1" t="s">
        <v>15</v>
      </c>
      <c r="D1470" s="1" t="s">
        <v>32</v>
      </c>
      <c r="E1470" s="1">
        <v>41468089.549999997</v>
      </c>
      <c r="F1470" s="1">
        <v>1253241.8</v>
      </c>
      <c r="G1470" s="1">
        <v>628993</v>
      </c>
      <c r="H1470" s="1">
        <v>65.927744110000006</v>
      </c>
    </row>
    <row r="1471" spans="1:8" ht="15.75" thickBot="1" x14ac:dyDescent="0.3">
      <c r="A1471" s="1">
        <v>2014</v>
      </c>
      <c r="B1471" s="1" t="s">
        <v>12</v>
      </c>
      <c r="C1471" s="1" t="s">
        <v>12</v>
      </c>
      <c r="D1471" s="1" t="s">
        <v>31</v>
      </c>
      <c r="E1471" s="1">
        <v>190475.22</v>
      </c>
      <c r="F1471" s="1">
        <v>6445.22</v>
      </c>
      <c r="G1471" s="1">
        <v>3160</v>
      </c>
      <c r="H1471" s="1">
        <v>60.276968349999997</v>
      </c>
    </row>
    <row r="1472" spans="1:8" ht="15.75" thickBot="1" x14ac:dyDescent="0.3">
      <c r="A1472" s="1">
        <v>2014</v>
      </c>
      <c r="B1472" s="1" t="s">
        <v>14</v>
      </c>
      <c r="C1472" s="1" t="s">
        <v>33</v>
      </c>
      <c r="D1472" s="1" t="s">
        <v>31</v>
      </c>
      <c r="E1472" s="1">
        <v>921142.16</v>
      </c>
      <c r="F1472" s="1">
        <v>36201.18</v>
      </c>
      <c r="G1472" s="1">
        <v>24071</v>
      </c>
      <c r="H1472" s="1">
        <v>38.267714679999997</v>
      </c>
    </row>
    <row r="1473" spans="1:8" ht="15.75" thickBot="1" x14ac:dyDescent="0.3">
      <c r="A1473" s="1">
        <v>2016</v>
      </c>
      <c r="B1473" s="1" t="s">
        <v>17</v>
      </c>
      <c r="C1473" s="1" t="s">
        <v>9</v>
      </c>
      <c r="D1473" s="1" t="s">
        <v>24</v>
      </c>
      <c r="E1473" s="1">
        <v>6006901.6900000004</v>
      </c>
      <c r="F1473" s="1">
        <v>190050.07</v>
      </c>
      <c r="G1473" s="1">
        <v>19520</v>
      </c>
      <c r="H1473" s="1">
        <v>307.73061940000002</v>
      </c>
    </row>
    <row r="1474" spans="1:8" ht="15.75" thickBot="1" x14ac:dyDescent="0.3">
      <c r="A1474" s="1">
        <v>2017</v>
      </c>
      <c r="B1474" s="1" t="s">
        <v>30</v>
      </c>
      <c r="C1474" s="1" t="s">
        <v>15</v>
      </c>
      <c r="D1474" s="1" t="s">
        <v>13</v>
      </c>
      <c r="E1474" s="1">
        <v>7101091.4100000001</v>
      </c>
      <c r="F1474" s="1">
        <v>169676.18</v>
      </c>
      <c r="G1474" s="1">
        <v>85194</v>
      </c>
      <c r="H1474" s="1">
        <v>83.352013170000006</v>
      </c>
    </row>
    <row r="1475" spans="1:8" ht="15.75" thickBot="1" x14ac:dyDescent="0.3">
      <c r="A1475" s="1">
        <v>2017</v>
      </c>
      <c r="B1475" s="1" t="s">
        <v>20</v>
      </c>
      <c r="C1475" s="1" t="s">
        <v>21</v>
      </c>
      <c r="D1475" s="1" t="s">
        <v>13</v>
      </c>
      <c r="E1475" s="1">
        <v>439957.95</v>
      </c>
      <c r="F1475" s="1">
        <v>11335.16</v>
      </c>
      <c r="G1475" s="1">
        <v>10817</v>
      </c>
      <c r="H1475" s="1">
        <v>40.672825179999997</v>
      </c>
    </row>
    <row r="1476" spans="1:8" ht="15.75" thickBot="1" x14ac:dyDescent="0.3">
      <c r="A1476" s="1">
        <v>2015</v>
      </c>
      <c r="B1476" s="1" t="s">
        <v>35</v>
      </c>
      <c r="C1476" s="1" t="s">
        <v>28</v>
      </c>
      <c r="D1476" s="1" t="s">
        <v>19</v>
      </c>
      <c r="E1476" s="1">
        <v>74920.92</v>
      </c>
      <c r="F1476" s="1">
        <v>2108.5</v>
      </c>
      <c r="G1476" s="1">
        <v>2250</v>
      </c>
      <c r="H1476" s="1">
        <v>33.29818667</v>
      </c>
    </row>
    <row r="1477" spans="1:8" ht="15.75" thickBot="1" x14ac:dyDescent="0.3">
      <c r="A1477" s="1">
        <v>2016</v>
      </c>
      <c r="B1477" s="1" t="s">
        <v>17</v>
      </c>
      <c r="C1477" s="1" t="s">
        <v>12</v>
      </c>
      <c r="D1477" s="1" t="s">
        <v>13</v>
      </c>
      <c r="E1477" s="1">
        <v>972703.29</v>
      </c>
      <c r="F1477" s="1">
        <v>32529.59</v>
      </c>
      <c r="G1477" s="1">
        <v>25521</v>
      </c>
      <c r="H1477" s="1">
        <v>38.11383919</v>
      </c>
    </row>
    <row r="1478" spans="1:8" ht="15.75" thickBot="1" x14ac:dyDescent="0.3">
      <c r="A1478" s="1">
        <v>2017</v>
      </c>
      <c r="B1478" s="1" t="s">
        <v>35</v>
      </c>
      <c r="C1478" s="1" t="s">
        <v>12</v>
      </c>
      <c r="D1478" s="1" t="s">
        <v>31</v>
      </c>
      <c r="E1478" s="1">
        <v>343.78</v>
      </c>
      <c r="F1478" s="1">
        <v>18.27</v>
      </c>
      <c r="G1478" s="1">
        <v>28</v>
      </c>
      <c r="H1478" s="1">
        <v>12.27785714</v>
      </c>
    </row>
    <row r="1479" spans="1:8" ht="15.75" thickBot="1" x14ac:dyDescent="0.3">
      <c r="A1479" s="1">
        <v>2017</v>
      </c>
      <c r="B1479" s="1" t="s">
        <v>16</v>
      </c>
      <c r="C1479" s="1" t="s">
        <v>33</v>
      </c>
      <c r="D1479" s="1" t="s">
        <v>29</v>
      </c>
      <c r="E1479" s="1">
        <v>37467097.460000001</v>
      </c>
      <c r="F1479" s="1">
        <v>1273720.3999999999</v>
      </c>
      <c r="G1479" s="1">
        <v>129546</v>
      </c>
      <c r="H1479" s="1">
        <v>289.21848189999997</v>
      </c>
    </row>
    <row r="1480" spans="1:8" ht="15.75" thickBot="1" x14ac:dyDescent="0.3">
      <c r="A1480" s="1">
        <v>2017</v>
      </c>
      <c r="B1480" s="1" t="s">
        <v>20</v>
      </c>
      <c r="C1480" s="1" t="s">
        <v>15</v>
      </c>
      <c r="D1480" s="1" t="s">
        <v>29</v>
      </c>
      <c r="E1480" s="1">
        <v>1011689.44</v>
      </c>
      <c r="F1480" s="1">
        <v>34105.230000000003</v>
      </c>
      <c r="G1480" s="1">
        <v>9514</v>
      </c>
      <c r="H1480" s="1">
        <v>106.3369182</v>
      </c>
    </row>
    <row r="1481" spans="1:8" ht="15.75" thickBot="1" x14ac:dyDescent="0.3">
      <c r="A1481" s="1">
        <v>2016</v>
      </c>
      <c r="B1481" s="1" t="s">
        <v>14</v>
      </c>
      <c r="C1481" s="1" t="s">
        <v>12</v>
      </c>
      <c r="D1481" s="1" t="s">
        <v>27</v>
      </c>
      <c r="E1481" s="1">
        <v>99884097.829999998</v>
      </c>
      <c r="F1481" s="1">
        <v>4487358.1399999997</v>
      </c>
      <c r="G1481" s="1">
        <v>3904317</v>
      </c>
      <c r="H1481" s="1">
        <v>25.582988740000001</v>
      </c>
    </row>
    <row r="1482" spans="1:8" ht="15.75" thickBot="1" x14ac:dyDescent="0.3">
      <c r="A1482" s="1">
        <v>2016</v>
      </c>
      <c r="B1482" s="1" t="s">
        <v>20</v>
      </c>
      <c r="C1482" s="1" t="s">
        <v>26</v>
      </c>
      <c r="D1482" s="1" t="s">
        <v>10</v>
      </c>
      <c r="E1482" s="1">
        <v>207865.12</v>
      </c>
      <c r="F1482" s="1">
        <v>8499.2900000000009</v>
      </c>
      <c r="G1482" s="1">
        <v>7197</v>
      </c>
      <c r="H1482" s="1">
        <v>28.882189799999999</v>
      </c>
    </row>
    <row r="1483" spans="1:8" ht="15.75" thickBot="1" x14ac:dyDescent="0.3">
      <c r="A1483" s="1">
        <v>2016</v>
      </c>
      <c r="B1483" s="1" t="s">
        <v>14</v>
      </c>
      <c r="C1483" s="1" t="s">
        <v>18</v>
      </c>
      <c r="D1483" s="1" t="s">
        <v>29</v>
      </c>
      <c r="E1483" s="1">
        <v>8403255.8699999992</v>
      </c>
      <c r="F1483" s="1">
        <v>263259.18</v>
      </c>
      <c r="G1483" s="1">
        <v>29972</v>
      </c>
      <c r="H1483" s="1">
        <v>280.37020790000003</v>
      </c>
    </row>
    <row r="1484" spans="1:8" ht="15.75" thickBot="1" x14ac:dyDescent="0.3">
      <c r="A1484" s="1">
        <v>2015</v>
      </c>
      <c r="B1484" s="1" t="s">
        <v>11</v>
      </c>
      <c r="C1484" s="1" t="s">
        <v>18</v>
      </c>
      <c r="D1484" s="1" t="s">
        <v>13</v>
      </c>
      <c r="E1484" s="1">
        <v>9808.61</v>
      </c>
      <c r="F1484" s="1">
        <v>226.94</v>
      </c>
      <c r="G1484" s="1">
        <v>179</v>
      </c>
      <c r="H1484" s="1">
        <v>54.796703909999998</v>
      </c>
    </row>
    <row r="1485" spans="1:8" ht="15.75" thickBot="1" x14ac:dyDescent="0.3">
      <c r="A1485" s="1">
        <v>2015</v>
      </c>
      <c r="B1485" s="1" t="s">
        <v>16</v>
      </c>
      <c r="C1485" s="1" t="s">
        <v>9</v>
      </c>
      <c r="D1485" s="1" t="s">
        <v>31</v>
      </c>
      <c r="E1485" s="1">
        <v>228458281.90000001</v>
      </c>
      <c r="F1485" s="1">
        <v>7219787.7699999996</v>
      </c>
      <c r="G1485" s="1">
        <v>3216719</v>
      </c>
      <c r="H1485" s="1">
        <v>71.022144580000003</v>
      </c>
    </row>
    <row r="1486" spans="1:8" ht="15.75" thickBot="1" x14ac:dyDescent="0.3">
      <c r="A1486" s="1">
        <v>2015</v>
      </c>
      <c r="B1486" s="1" t="s">
        <v>12</v>
      </c>
      <c r="C1486" s="1" t="s">
        <v>18</v>
      </c>
      <c r="D1486" s="1" t="s">
        <v>19</v>
      </c>
      <c r="E1486" s="1">
        <v>1643365.88</v>
      </c>
      <c r="F1486" s="1">
        <v>49282.41</v>
      </c>
      <c r="G1486" s="1">
        <v>8106</v>
      </c>
      <c r="H1486" s="1">
        <v>202.7345028</v>
      </c>
    </row>
    <row r="1487" spans="1:8" ht="15.75" thickBot="1" x14ac:dyDescent="0.3">
      <c r="A1487" s="1">
        <v>2015</v>
      </c>
      <c r="B1487" s="1" t="s">
        <v>8</v>
      </c>
      <c r="C1487" s="1" t="s">
        <v>33</v>
      </c>
      <c r="D1487" s="1" t="s">
        <v>27</v>
      </c>
      <c r="E1487" s="1">
        <v>7928.58</v>
      </c>
      <c r="F1487" s="1">
        <v>293.82</v>
      </c>
      <c r="G1487" s="1">
        <v>248</v>
      </c>
      <c r="H1487" s="1">
        <v>31.97008065</v>
      </c>
    </row>
    <row r="1488" spans="1:8" ht="15.75" thickBot="1" x14ac:dyDescent="0.3">
      <c r="A1488" s="1">
        <v>2016</v>
      </c>
      <c r="B1488" s="1" t="s">
        <v>16</v>
      </c>
      <c r="C1488" s="1" t="s">
        <v>9</v>
      </c>
      <c r="D1488" s="1" t="s">
        <v>31</v>
      </c>
      <c r="E1488" s="1">
        <v>300072488.39999998</v>
      </c>
      <c r="F1488" s="1">
        <v>9297725.1199999992</v>
      </c>
      <c r="G1488" s="1">
        <v>4362928</v>
      </c>
      <c r="H1488" s="1">
        <v>68.777776849999995</v>
      </c>
    </row>
    <row r="1489" spans="1:8" ht="15.75" thickBot="1" x14ac:dyDescent="0.3">
      <c r="A1489" s="1">
        <v>2016</v>
      </c>
      <c r="B1489" s="1" t="s">
        <v>20</v>
      </c>
      <c r="C1489" s="1" t="s">
        <v>28</v>
      </c>
      <c r="D1489" s="1" t="s">
        <v>36</v>
      </c>
      <c r="E1489" s="1">
        <v>6620305.2800000003</v>
      </c>
      <c r="F1489" s="1">
        <v>65959.83</v>
      </c>
      <c r="G1489" s="1">
        <v>450574</v>
      </c>
      <c r="H1489" s="1">
        <v>14.69304771</v>
      </c>
    </row>
    <row r="1490" spans="1:8" ht="15.75" thickBot="1" x14ac:dyDescent="0.3">
      <c r="A1490" s="1">
        <v>2015</v>
      </c>
      <c r="B1490" s="1" t="s">
        <v>12</v>
      </c>
      <c r="C1490" s="1" t="s">
        <v>21</v>
      </c>
      <c r="D1490" s="1" t="s">
        <v>31</v>
      </c>
      <c r="E1490" s="1">
        <v>413629.16</v>
      </c>
      <c r="F1490" s="1">
        <v>14526.41</v>
      </c>
      <c r="G1490" s="1">
        <v>7356</v>
      </c>
      <c r="H1490" s="1">
        <v>56.230174009999999</v>
      </c>
    </row>
    <row r="1491" spans="1:8" ht="15.75" thickBot="1" x14ac:dyDescent="0.3">
      <c r="A1491" s="1">
        <v>2015</v>
      </c>
      <c r="B1491" s="1" t="s">
        <v>8</v>
      </c>
      <c r="C1491" s="1" t="s">
        <v>28</v>
      </c>
      <c r="D1491" s="1" t="s">
        <v>19</v>
      </c>
      <c r="E1491" s="1">
        <v>98337.34</v>
      </c>
      <c r="F1491" s="1">
        <v>478.18</v>
      </c>
      <c r="G1491" s="1">
        <v>926</v>
      </c>
      <c r="H1491" s="1">
        <v>106.1958315</v>
      </c>
    </row>
    <row r="1492" spans="1:8" ht="15.75" thickBot="1" x14ac:dyDescent="0.3">
      <c r="A1492" s="1">
        <v>2017</v>
      </c>
      <c r="B1492" s="1" t="s">
        <v>40</v>
      </c>
      <c r="C1492" s="1" t="s">
        <v>15</v>
      </c>
      <c r="D1492" s="1" t="s">
        <v>19</v>
      </c>
      <c r="E1492" s="1">
        <v>75926.87</v>
      </c>
      <c r="F1492" s="1">
        <v>1358.13</v>
      </c>
      <c r="G1492" s="1">
        <v>365</v>
      </c>
      <c r="H1492" s="1">
        <v>208.01882190000001</v>
      </c>
    </row>
    <row r="1493" spans="1:8" ht="15.75" thickBot="1" x14ac:dyDescent="0.3">
      <c r="A1493" s="1">
        <v>2015</v>
      </c>
      <c r="B1493" s="1" t="s">
        <v>17</v>
      </c>
      <c r="C1493" s="1" t="s">
        <v>28</v>
      </c>
      <c r="D1493" s="1" t="s">
        <v>19</v>
      </c>
      <c r="E1493" s="1">
        <v>317851562.5</v>
      </c>
      <c r="F1493" s="1">
        <v>8175849.79</v>
      </c>
      <c r="G1493" s="1">
        <v>490362</v>
      </c>
      <c r="H1493" s="1">
        <v>648.19778550000001</v>
      </c>
    </row>
    <row r="1494" spans="1:8" ht="15.75" thickBot="1" x14ac:dyDescent="0.3">
      <c r="A1494" s="1">
        <v>2015</v>
      </c>
      <c r="B1494" s="1" t="s">
        <v>17</v>
      </c>
      <c r="C1494" s="1" t="s">
        <v>18</v>
      </c>
      <c r="D1494" s="1" t="s">
        <v>32</v>
      </c>
      <c r="E1494" s="1">
        <v>25385189.93</v>
      </c>
      <c r="F1494" s="1">
        <v>868838.88</v>
      </c>
      <c r="G1494" s="1">
        <v>375378</v>
      </c>
      <c r="H1494" s="1">
        <v>67.625673129999996</v>
      </c>
    </row>
    <row r="1495" spans="1:8" ht="15.75" thickBot="1" x14ac:dyDescent="0.3">
      <c r="A1495" s="1">
        <v>2016</v>
      </c>
      <c r="B1495" s="1" t="s">
        <v>17</v>
      </c>
      <c r="C1495" s="1" t="s">
        <v>25</v>
      </c>
      <c r="D1495" s="1" t="s">
        <v>32</v>
      </c>
      <c r="E1495" s="1">
        <v>168187998.09999999</v>
      </c>
      <c r="F1495" s="1">
        <v>6203822.2599999998</v>
      </c>
      <c r="G1495" s="1">
        <v>3339977</v>
      </c>
      <c r="H1495" s="1">
        <v>50.356034819999998</v>
      </c>
    </row>
    <row r="1496" spans="1:8" ht="15.75" thickBot="1" x14ac:dyDescent="0.3">
      <c r="A1496" s="1">
        <v>2014</v>
      </c>
      <c r="B1496" s="1" t="s">
        <v>11</v>
      </c>
      <c r="C1496" s="1" t="s">
        <v>18</v>
      </c>
      <c r="D1496" s="1" t="s">
        <v>31</v>
      </c>
      <c r="E1496" s="1">
        <v>1220488.25</v>
      </c>
      <c r="F1496" s="1">
        <v>35510.449999999997</v>
      </c>
      <c r="G1496" s="1">
        <v>29025</v>
      </c>
      <c r="H1496" s="1">
        <v>42.04955211</v>
      </c>
    </row>
    <row r="1497" spans="1:8" ht="15.75" thickBot="1" x14ac:dyDescent="0.3">
      <c r="A1497" s="1">
        <v>2016</v>
      </c>
      <c r="B1497" s="1" t="s">
        <v>8</v>
      </c>
      <c r="C1497" s="1" t="s">
        <v>15</v>
      </c>
      <c r="D1497" s="1" t="s">
        <v>24</v>
      </c>
      <c r="E1497" s="1">
        <v>3442.99</v>
      </c>
      <c r="F1497" s="1">
        <v>102.85</v>
      </c>
      <c r="G1497" s="1">
        <v>11</v>
      </c>
      <c r="H1497" s="1">
        <v>312.9990909</v>
      </c>
    </row>
    <row r="1498" spans="1:8" ht="15.75" thickBot="1" x14ac:dyDescent="0.3">
      <c r="A1498" s="1">
        <v>2017</v>
      </c>
      <c r="B1498" s="1" t="s">
        <v>11</v>
      </c>
      <c r="C1498" s="1" t="s">
        <v>28</v>
      </c>
      <c r="D1498" s="1" t="s">
        <v>19</v>
      </c>
      <c r="E1498" s="1">
        <v>95720989.549999997</v>
      </c>
      <c r="F1498" s="1">
        <v>2065939.61</v>
      </c>
      <c r="G1498" s="1">
        <v>135397</v>
      </c>
      <c r="H1498" s="1">
        <v>706.96536519999995</v>
      </c>
    </row>
    <row r="1499" spans="1:8" ht="15.75" thickBot="1" x14ac:dyDescent="0.3">
      <c r="A1499" s="1">
        <v>2016</v>
      </c>
      <c r="B1499" s="1" t="s">
        <v>11</v>
      </c>
      <c r="C1499" s="1" t="s">
        <v>9</v>
      </c>
      <c r="D1499" s="1" t="s">
        <v>24</v>
      </c>
      <c r="E1499" s="1">
        <v>616130.43999999994</v>
      </c>
      <c r="F1499" s="1">
        <v>16574.62</v>
      </c>
      <c r="G1499" s="1">
        <v>2647</v>
      </c>
      <c r="H1499" s="1">
        <v>232.76556099999999</v>
      </c>
    </row>
    <row r="1500" spans="1:8" ht="15.75" thickBot="1" x14ac:dyDescent="0.3">
      <c r="A1500" s="1">
        <v>2015</v>
      </c>
      <c r="B1500" s="1" t="s">
        <v>16</v>
      </c>
      <c r="C1500" s="1" t="s">
        <v>21</v>
      </c>
      <c r="D1500" s="1" t="s">
        <v>32</v>
      </c>
      <c r="E1500" s="1">
        <v>142877528.09999999</v>
      </c>
      <c r="F1500" s="1">
        <v>5471474.9100000001</v>
      </c>
      <c r="G1500" s="1">
        <v>2707500</v>
      </c>
      <c r="H1500" s="1">
        <v>52.771016830000001</v>
      </c>
    </row>
    <row r="1501" spans="1:8" ht="15.75" thickBot="1" x14ac:dyDescent="0.3">
      <c r="A1501" s="1">
        <v>2016</v>
      </c>
      <c r="B1501" s="1" t="s">
        <v>12</v>
      </c>
      <c r="C1501" s="1" t="s">
        <v>26</v>
      </c>
      <c r="D1501" s="1" t="s">
        <v>29</v>
      </c>
      <c r="E1501" s="1">
        <v>1095868.6299999999</v>
      </c>
      <c r="F1501" s="1">
        <v>34020.54</v>
      </c>
      <c r="G1501" s="1">
        <v>4054</v>
      </c>
      <c r="H1501" s="1">
        <v>270.31786629999999</v>
      </c>
    </row>
    <row r="1502" spans="1:8" ht="15.75" thickBot="1" x14ac:dyDescent="0.3">
      <c r="A1502" s="1">
        <v>2017</v>
      </c>
      <c r="B1502" s="1" t="s">
        <v>35</v>
      </c>
      <c r="C1502" s="1" t="s">
        <v>33</v>
      </c>
      <c r="D1502" s="1" t="s">
        <v>10</v>
      </c>
      <c r="E1502" s="1">
        <v>1018.37</v>
      </c>
      <c r="F1502" s="1">
        <v>135.38999999999999</v>
      </c>
      <c r="G1502" s="1">
        <v>350</v>
      </c>
      <c r="H1502" s="1">
        <v>2.9096285709999998</v>
      </c>
    </row>
    <row r="1503" spans="1:8" ht="15.75" thickBot="1" x14ac:dyDescent="0.3">
      <c r="A1503" s="1">
        <v>2015</v>
      </c>
      <c r="B1503" s="1" t="s">
        <v>12</v>
      </c>
      <c r="C1503" s="1" t="s">
        <v>12</v>
      </c>
      <c r="D1503" s="1" t="s">
        <v>22</v>
      </c>
      <c r="E1503" s="1">
        <v>579.66</v>
      </c>
      <c r="F1503" s="1">
        <v>12.48</v>
      </c>
      <c r="G1503" s="1">
        <v>28</v>
      </c>
      <c r="H1503" s="1">
        <v>20.702142859999999</v>
      </c>
    </row>
    <row r="1504" spans="1:8" ht="15.75" thickBot="1" x14ac:dyDescent="0.3">
      <c r="A1504" s="1">
        <v>2017</v>
      </c>
      <c r="B1504" s="1" t="s">
        <v>12</v>
      </c>
      <c r="C1504" s="1" t="s">
        <v>21</v>
      </c>
      <c r="D1504" s="1" t="s">
        <v>31</v>
      </c>
      <c r="E1504" s="1">
        <v>1091735.03</v>
      </c>
      <c r="F1504" s="1">
        <v>30337.35</v>
      </c>
      <c r="G1504" s="1">
        <v>19028</v>
      </c>
      <c r="H1504" s="1">
        <v>57.375185520000002</v>
      </c>
    </row>
    <row r="1505" spans="1:8" ht="15.75" thickBot="1" x14ac:dyDescent="0.3">
      <c r="A1505" s="1">
        <v>2017</v>
      </c>
      <c r="B1505" s="1" t="s">
        <v>14</v>
      </c>
      <c r="C1505" s="1" t="s">
        <v>28</v>
      </c>
      <c r="D1505" s="1" t="s">
        <v>27</v>
      </c>
      <c r="E1505" s="1">
        <v>220316039.19999999</v>
      </c>
      <c r="F1505" s="1">
        <v>8622856.6699999999</v>
      </c>
      <c r="G1505" s="1">
        <v>5880491</v>
      </c>
      <c r="H1505" s="1">
        <v>37.465585650000001</v>
      </c>
    </row>
    <row r="1506" spans="1:8" ht="15.75" thickBot="1" x14ac:dyDescent="0.3">
      <c r="A1506" s="1">
        <v>2017</v>
      </c>
      <c r="B1506" s="1" t="s">
        <v>30</v>
      </c>
      <c r="C1506" s="1" t="s">
        <v>26</v>
      </c>
      <c r="D1506" s="1" t="s">
        <v>27</v>
      </c>
      <c r="E1506" s="1">
        <v>610415312</v>
      </c>
      <c r="F1506" s="1">
        <v>23262897.510000002</v>
      </c>
      <c r="G1506" s="1">
        <v>11414383</v>
      </c>
      <c r="H1506" s="1">
        <v>53.477731730000002</v>
      </c>
    </row>
    <row r="1507" spans="1:8" ht="15.75" thickBot="1" x14ac:dyDescent="0.3">
      <c r="A1507" s="1">
        <v>2017</v>
      </c>
      <c r="B1507" s="1" t="s">
        <v>20</v>
      </c>
      <c r="C1507" s="1" t="s">
        <v>9</v>
      </c>
      <c r="D1507" s="1" t="s">
        <v>32</v>
      </c>
      <c r="E1507" s="1">
        <v>54736.69</v>
      </c>
      <c r="F1507" s="1">
        <v>1821.29</v>
      </c>
      <c r="G1507" s="1">
        <v>8930</v>
      </c>
      <c r="H1507" s="1">
        <v>6.1295285550000003</v>
      </c>
    </row>
    <row r="1508" spans="1:8" ht="15.75" thickBot="1" x14ac:dyDescent="0.3">
      <c r="A1508" s="1">
        <v>2017</v>
      </c>
      <c r="B1508" s="1" t="s">
        <v>8</v>
      </c>
      <c r="C1508" s="1" t="s">
        <v>9</v>
      </c>
      <c r="D1508" s="1" t="s">
        <v>27</v>
      </c>
      <c r="E1508" s="1">
        <v>215.98</v>
      </c>
      <c r="F1508" s="1">
        <v>7.16</v>
      </c>
      <c r="G1508" s="1">
        <v>3</v>
      </c>
      <c r="H1508" s="1">
        <v>71.993333329999999</v>
      </c>
    </row>
    <row r="1509" spans="1:8" ht="15.75" thickBot="1" x14ac:dyDescent="0.3">
      <c r="A1509" s="1">
        <v>2016</v>
      </c>
      <c r="B1509" s="1" t="s">
        <v>12</v>
      </c>
      <c r="C1509" s="1" t="s">
        <v>23</v>
      </c>
      <c r="D1509" s="1" t="s">
        <v>24</v>
      </c>
      <c r="E1509" s="1">
        <v>847826.19</v>
      </c>
      <c r="F1509" s="1">
        <v>27352.14</v>
      </c>
      <c r="G1509" s="1">
        <v>4698</v>
      </c>
      <c r="H1509" s="1">
        <v>180.4653448</v>
      </c>
    </row>
    <row r="1510" spans="1:8" ht="15.75" thickBot="1" x14ac:dyDescent="0.3">
      <c r="A1510" s="1">
        <v>2014</v>
      </c>
      <c r="B1510" s="1" t="s">
        <v>16</v>
      </c>
      <c r="C1510" s="1" t="s">
        <v>18</v>
      </c>
      <c r="D1510" s="1" t="s">
        <v>10</v>
      </c>
      <c r="E1510" s="1">
        <v>1410532.29</v>
      </c>
      <c r="F1510" s="1">
        <v>49935.62</v>
      </c>
      <c r="G1510" s="1">
        <v>23129</v>
      </c>
      <c r="H1510" s="1">
        <v>60.985442089999999</v>
      </c>
    </row>
    <row r="1511" spans="1:8" ht="15.75" thickBot="1" x14ac:dyDescent="0.3">
      <c r="A1511" s="1">
        <v>2017</v>
      </c>
      <c r="B1511" s="1" t="s">
        <v>30</v>
      </c>
      <c r="C1511" s="1" t="s">
        <v>28</v>
      </c>
      <c r="D1511" s="1" t="s">
        <v>34</v>
      </c>
      <c r="E1511" s="1">
        <v>8258027.21</v>
      </c>
      <c r="F1511" s="1">
        <v>18481.080000000002</v>
      </c>
      <c r="G1511" s="1">
        <v>106660</v>
      </c>
      <c r="H1511" s="1">
        <v>77.423844079999995</v>
      </c>
    </row>
    <row r="1512" spans="1:8" ht="15.75" thickBot="1" x14ac:dyDescent="0.3">
      <c r="A1512" s="1">
        <v>2015</v>
      </c>
      <c r="B1512" s="1" t="s">
        <v>8</v>
      </c>
      <c r="C1512" s="1" t="s">
        <v>15</v>
      </c>
      <c r="D1512" s="1" t="s">
        <v>27</v>
      </c>
      <c r="E1512" s="1">
        <v>4834.95</v>
      </c>
      <c r="F1512" s="1">
        <v>155.28</v>
      </c>
      <c r="G1512" s="1">
        <v>93</v>
      </c>
      <c r="H1512" s="1">
        <v>51.988709679999999</v>
      </c>
    </row>
    <row r="1513" spans="1:8" ht="15.75" thickBot="1" x14ac:dyDescent="0.3">
      <c r="A1513" s="1">
        <v>2016</v>
      </c>
      <c r="B1513" s="1" t="s">
        <v>30</v>
      </c>
      <c r="C1513" s="1" t="s">
        <v>25</v>
      </c>
      <c r="D1513" s="1" t="s">
        <v>13</v>
      </c>
      <c r="E1513" s="1">
        <v>7646992.1299999999</v>
      </c>
      <c r="F1513" s="1">
        <v>200155.79</v>
      </c>
      <c r="G1513" s="1">
        <v>120739</v>
      </c>
      <c r="H1513" s="1">
        <v>63.334897009999999</v>
      </c>
    </row>
    <row r="1514" spans="1:8" ht="15.75" thickBot="1" x14ac:dyDescent="0.3">
      <c r="A1514" s="1">
        <v>2017</v>
      </c>
      <c r="B1514" s="1" t="s">
        <v>14</v>
      </c>
      <c r="C1514" s="1" t="s">
        <v>15</v>
      </c>
      <c r="D1514" s="1" t="s">
        <v>19</v>
      </c>
      <c r="E1514" s="1">
        <v>38413815.329999998</v>
      </c>
      <c r="F1514" s="1">
        <v>1137304.1499999999</v>
      </c>
      <c r="G1514" s="1">
        <v>211409</v>
      </c>
      <c r="H1514" s="1">
        <v>181.7037843</v>
      </c>
    </row>
    <row r="1515" spans="1:8" ht="15.75" thickBot="1" x14ac:dyDescent="0.3">
      <c r="A1515" s="1">
        <v>2017</v>
      </c>
      <c r="B1515" s="1" t="s">
        <v>35</v>
      </c>
      <c r="C1515" s="1" t="s">
        <v>26</v>
      </c>
      <c r="D1515" s="1" t="s">
        <v>32</v>
      </c>
      <c r="E1515" s="1">
        <v>3617.15</v>
      </c>
      <c r="F1515" s="1">
        <v>245.82</v>
      </c>
      <c r="G1515" s="1">
        <v>481</v>
      </c>
      <c r="H1515" s="1">
        <v>7.5200623699999998</v>
      </c>
    </row>
    <row r="1516" spans="1:8" ht="15.75" thickBot="1" x14ac:dyDescent="0.3">
      <c r="A1516" s="1">
        <v>2015</v>
      </c>
      <c r="B1516" s="1" t="s">
        <v>20</v>
      </c>
      <c r="C1516" s="1" t="s">
        <v>26</v>
      </c>
      <c r="D1516" s="1" t="s">
        <v>22</v>
      </c>
      <c r="E1516" s="1">
        <v>448.02</v>
      </c>
      <c r="F1516" s="1">
        <v>13.46</v>
      </c>
      <c r="G1516" s="1">
        <v>19</v>
      </c>
      <c r="H1516" s="1">
        <v>23.58</v>
      </c>
    </row>
    <row r="1517" spans="1:8" ht="15.75" thickBot="1" x14ac:dyDescent="0.3">
      <c r="A1517" s="1">
        <v>2016</v>
      </c>
      <c r="B1517" s="1" t="s">
        <v>17</v>
      </c>
      <c r="C1517" s="1" t="s">
        <v>33</v>
      </c>
      <c r="D1517" s="1" t="s">
        <v>24</v>
      </c>
      <c r="E1517" s="1">
        <v>30119434.780000001</v>
      </c>
      <c r="F1517" s="1">
        <v>1038358.62</v>
      </c>
      <c r="G1517" s="1">
        <v>129829</v>
      </c>
      <c r="H1517" s="1">
        <v>231.99312</v>
      </c>
    </row>
    <row r="1518" spans="1:8" ht="15.75" thickBot="1" x14ac:dyDescent="0.3">
      <c r="A1518" s="1">
        <v>2015</v>
      </c>
      <c r="B1518" s="1" t="s">
        <v>30</v>
      </c>
      <c r="C1518" s="1" t="s">
        <v>23</v>
      </c>
      <c r="D1518" s="1" t="s">
        <v>19</v>
      </c>
      <c r="E1518" s="1">
        <v>83474638.810000002</v>
      </c>
      <c r="F1518" s="1">
        <v>2713478.31</v>
      </c>
      <c r="G1518" s="1">
        <v>954333</v>
      </c>
      <c r="H1518" s="1">
        <v>87.469089729999993</v>
      </c>
    </row>
    <row r="1519" spans="1:8" ht="15.75" thickBot="1" x14ac:dyDescent="0.3">
      <c r="A1519" s="1">
        <v>2017</v>
      </c>
      <c r="B1519" s="1" t="s">
        <v>20</v>
      </c>
      <c r="C1519" s="1" t="s">
        <v>12</v>
      </c>
      <c r="D1519" s="1" t="s">
        <v>27</v>
      </c>
      <c r="E1519" s="1">
        <v>2863078.96</v>
      </c>
      <c r="F1519" s="1">
        <v>118325.39</v>
      </c>
      <c r="G1519" s="1">
        <v>97920</v>
      </c>
      <c r="H1519" s="1">
        <v>29.23895997</v>
      </c>
    </row>
    <row r="1520" spans="1:8" ht="15.75" thickBot="1" x14ac:dyDescent="0.3">
      <c r="A1520" s="1">
        <v>2016</v>
      </c>
      <c r="B1520" s="1" t="s">
        <v>17</v>
      </c>
      <c r="C1520" s="1" t="s">
        <v>26</v>
      </c>
      <c r="D1520" s="1" t="s">
        <v>31</v>
      </c>
      <c r="E1520" s="1">
        <v>17499271.379999999</v>
      </c>
      <c r="F1520" s="1">
        <v>573524.32999999996</v>
      </c>
      <c r="G1520" s="1">
        <v>330457</v>
      </c>
      <c r="H1520" s="1">
        <v>52.95476077</v>
      </c>
    </row>
    <row r="1521" spans="1:8" ht="15.75" thickBot="1" x14ac:dyDescent="0.3">
      <c r="A1521" s="1">
        <v>2015</v>
      </c>
      <c r="B1521" s="1" t="s">
        <v>35</v>
      </c>
      <c r="C1521" s="1" t="s">
        <v>23</v>
      </c>
      <c r="D1521" s="1" t="s">
        <v>32</v>
      </c>
      <c r="E1521" s="1">
        <v>2164.73</v>
      </c>
      <c r="F1521" s="1">
        <v>82.6</v>
      </c>
      <c r="G1521" s="1">
        <v>138</v>
      </c>
      <c r="H1521" s="1">
        <v>15.68644928</v>
      </c>
    </row>
    <row r="1522" spans="1:8" ht="15.75" thickBot="1" x14ac:dyDescent="0.3">
      <c r="A1522" s="1">
        <v>2017</v>
      </c>
      <c r="B1522" s="1" t="s">
        <v>16</v>
      </c>
      <c r="C1522" s="1" t="s">
        <v>28</v>
      </c>
      <c r="D1522" s="1" t="s">
        <v>34</v>
      </c>
      <c r="E1522" s="1">
        <v>1594102.82</v>
      </c>
      <c r="F1522" s="1">
        <v>23609.67</v>
      </c>
      <c r="G1522" s="1">
        <v>17368</v>
      </c>
      <c r="H1522" s="1">
        <v>91.783902580000003</v>
      </c>
    </row>
    <row r="1523" spans="1:8" ht="15.75" thickBot="1" x14ac:dyDescent="0.3">
      <c r="A1523" s="1">
        <v>2017</v>
      </c>
      <c r="B1523" s="1" t="s">
        <v>16</v>
      </c>
      <c r="C1523" s="1" t="s">
        <v>25</v>
      </c>
      <c r="D1523" s="1" t="s">
        <v>32</v>
      </c>
      <c r="E1523" s="1">
        <v>186175965.40000001</v>
      </c>
      <c r="F1523" s="1">
        <v>7068346.2699999996</v>
      </c>
      <c r="G1523" s="1">
        <v>3471539</v>
      </c>
      <c r="H1523" s="1">
        <v>53.629230540000002</v>
      </c>
    </row>
    <row r="1524" spans="1:8" ht="15.75" thickBot="1" x14ac:dyDescent="0.3">
      <c r="A1524" s="1">
        <v>2016</v>
      </c>
      <c r="B1524" s="1" t="s">
        <v>20</v>
      </c>
      <c r="C1524" s="1" t="s">
        <v>21</v>
      </c>
      <c r="D1524" s="1" t="s">
        <v>27</v>
      </c>
      <c r="E1524" s="1">
        <v>7919081.2400000002</v>
      </c>
      <c r="F1524" s="1">
        <v>312023.99</v>
      </c>
      <c r="G1524" s="1">
        <v>222680</v>
      </c>
      <c r="H1524" s="1">
        <v>35.562606610000003</v>
      </c>
    </row>
    <row r="1525" spans="1:8" ht="15.75" thickBot="1" x14ac:dyDescent="0.3">
      <c r="A1525" s="1">
        <v>2016</v>
      </c>
      <c r="B1525" s="1" t="s">
        <v>40</v>
      </c>
      <c r="C1525" s="1" t="s">
        <v>25</v>
      </c>
      <c r="D1525" s="1" t="s">
        <v>27</v>
      </c>
      <c r="E1525" s="1">
        <v>31292.79</v>
      </c>
      <c r="F1525" s="1">
        <v>1198.68</v>
      </c>
      <c r="G1525" s="1">
        <v>512</v>
      </c>
      <c r="H1525" s="1">
        <v>61.118730470000003</v>
      </c>
    </row>
    <row r="1526" spans="1:8" ht="15.75" thickBot="1" x14ac:dyDescent="0.3">
      <c r="A1526" s="1">
        <v>2016</v>
      </c>
      <c r="B1526" s="1" t="s">
        <v>20</v>
      </c>
      <c r="C1526" s="1" t="s">
        <v>18</v>
      </c>
      <c r="D1526" s="1" t="s">
        <v>19</v>
      </c>
      <c r="E1526" s="1">
        <v>1330761.58</v>
      </c>
      <c r="F1526" s="1">
        <v>37623.82</v>
      </c>
      <c r="G1526" s="1">
        <v>15285</v>
      </c>
      <c r="H1526" s="1">
        <v>87.06323716</v>
      </c>
    </row>
    <row r="1527" spans="1:8" ht="15.75" thickBot="1" x14ac:dyDescent="0.3">
      <c r="A1527" s="1">
        <v>2017</v>
      </c>
      <c r="B1527" s="1" t="s">
        <v>12</v>
      </c>
      <c r="C1527" s="1" t="s">
        <v>26</v>
      </c>
      <c r="D1527" s="1" t="s">
        <v>24</v>
      </c>
      <c r="E1527" s="1">
        <v>1575683.61</v>
      </c>
      <c r="F1527" s="1">
        <v>54023.76</v>
      </c>
      <c r="G1527" s="1">
        <v>7122</v>
      </c>
      <c r="H1527" s="1">
        <v>221.2417313</v>
      </c>
    </row>
    <row r="1528" spans="1:8" ht="15.75" thickBot="1" x14ac:dyDescent="0.3">
      <c r="A1528" s="1">
        <v>2016</v>
      </c>
      <c r="B1528" s="1" t="s">
        <v>8</v>
      </c>
      <c r="C1528" s="1" t="s">
        <v>15</v>
      </c>
      <c r="D1528" s="1" t="s">
        <v>27</v>
      </c>
      <c r="E1528" s="1">
        <v>3360.94</v>
      </c>
      <c r="F1528" s="1">
        <v>138.41</v>
      </c>
      <c r="G1528" s="1">
        <v>117</v>
      </c>
      <c r="H1528" s="1">
        <v>28.725982909999999</v>
      </c>
    </row>
    <row r="1529" spans="1:8" ht="15.75" thickBot="1" x14ac:dyDescent="0.3">
      <c r="A1529" s="1">
        <v>2015</v>
      </c>
      <c r="B1529" s="1" t="s">
        <v>11</v>
      </c>
      <c r="C1529" s="1" t="s">
        <v>26</v>
      </c>
      <c r="D1529" s="1" t="s">
        <v>29</v>
      </c>
      <c r="E1529" s="1">
        <v>1778316.84</v>
      </c>
      <c r="F1529" s="1">
        <v>51516.94</v>
      </c>
      <c r="G1529" s="1">
        <v>4602</v>
      </c>
      <c r="H1529" s="1">
        <v>386.42260759999999</v>
      </c>
    </row>
    <row r="1530" spans="1:8" ht="15.75" thickBot="1" x14ac:dyDescent="0.3">
      <c r="A1530" s="1">
        <v>2017</v>
      </c>
      <c r="B1530" s="1" t="s">
        <v>11</v>
      </c>
      <c r="C1530" s="1" t="s">
        <v>9</v>
      </c>
      <c r="D1530" s="1" t="s">
        <v>13</v>
      </c>
      <c r="E1530" s="1">
        <v>134.38999999999999</v>
      </c>
      <c r="F1530" s="1">
        <v>5.33</v>
      </c>
      <c r="G1530" s="1">
        <v>22</v>
      </c>
      <c r="H1530" s="1">
        <v>6.1086363639999997</v>
      </c>
    </row>
    <row r="1531" spans="1:8" ht="15.75" thickBot="1" x14ac:dyDescent="0.3">
      <c r="A1531" s="1">
        <v>2015</v>
      </c>
      <c r="B1531" s="1" t="s">
        <v>20</v>
      </c>
      <c r="C1531" s="1" t="s">
        <v>18</v>
      </c>
      <c r="D1531" s="1" t="s">
        <v>24</v>
      </c>
      <c r="E1531" s="1">
        <v>709201.61</v>
      </c>
      <c r="F1531" s="1">
        <v>23324.03</v>
      </c>
      <c r="G1531" s="1">
        <v>5441</v>
      </c>
      <c r="H1531" s="1">
        <v>130.3439827</v>
      </c>
    </row>
    <row r="1532" spans="1:8" ht="15.75" thickBot="1" x14ac:dyDescent="0.3">
      <c r="A1532" s="1">
        <v>2017</v>
      </c>
      <c r="B1532" s="1" t="s">
        <v>11</v>
      </c>
      <c r="C1532" s="1" t="s">
        <v>21</v>
      </c>
      <c r="D1532" s="1" t="s">
        <v>34</v>
      </c>
      <c r="E1532" s="1">
        <v>1535390.41</v>
      </c>
      <c r="F1532" s="1">
        <v>37511.879999999997</v>
      </c>
      <c r="G1532" s="1">
        <v>35228</v>
      </c>
      <c r="H1532" s="1">
        <v>43.584376349999999</v>
      </c>
    </row>
    <row r="1533" spans="1:8" ht="15.75" thickBot="1" x14ac:dyDescent="0.3">
      <c r="A1533" s="1">
        <v>2014</v>
      </c>
      <c r="B1533" s="1" t="s">
        <v>20</v>
      </c>
      <c r="C1533" s="1" t="s">
        <v>15</v>
      </c>
      <c r="D1533" s="1" t="s">
        <v>19</v>
      </c>
      <c r="E1533" s="1">
        <v>2826209.4</v>
      </c>
      <c r="F1533" s="1">
        <v>97848.4</v>
      </c>
      <c r="G1533" s="1">
        <v>33553</v>
      </c>
      <c r="H1533" s="1">
        <v>84.231198399999997</v>
      </c>
    </row>
    <row r="1534" spans="1:8" ht="15.75" thickBot="1" x14ac:dyDescent="0.3">
      <c r="A1534" s="1">
        <v>2016</v>
      </c>
      <c r="B1534" s="1" t="s">
        <v>30</v>
      </c>
      <c r="C1534" s="1" t="s">
        <v>26</v>
      </c>
      <c r="D1534" s="1" t="s">
        <v>27</v>
      </c>
      <c r="E1534" s="1">
        <v>591734725.79999995</v>
      </c>
      <c r="F1534" s="1">
        <v>22352934.370000001</v>
      </c>
      <c r="G1534" s="1">
        <v>11344768</v>
      </c>
      <c r="H1534" s="1">
        <v>52.159261950000001</v>
      </c>
    </row>
    <row r="1535" spans="1:8" ht="15.75" thickBot="1" x14ac:dyDescent="0.3">
      <c r="A1535" s="1">
        <v>2016</v>
      </c>
      <c r="B1535" s="1" t="s">
        <v>40</v>
      </c>
      <c r="C1535" s="1" t="s">
        <v>18</v>
      </c>
      <c r="D1535" s="1" t="s">
        <v>19</v>
      </c>
      <c r="E1535" s="1">
        <v>24137.01</v>
      </c>
      <c r="F1535" s="1">
        <v>333.32</v>
      </c>
      <c r="G1535" s="1">
        <v>155</v>
      </c>
      <c r="H1535" s="1">
        <v>155.72264519999999</v>
      </c>
    </row>
    <row r="1536" spans="1:8" ht="15.75" thickBot="1" x14ac:dyDescent="0.3">
      <c r="A1536" s="1">
        <v>2017</v>
      </c>
      <c r="B1536" s="1" t="s">
        <v>17</v>
      </c>
      <c r="C1536" s="1" t="s">
        <v>12</v>
      </c>
      <c r="D1536" s="1" t="s">
        <v>34</v>
      </c>
      <c r="E1536" s="1">
        <v>428070.33</v>
      </c>
      <c r="F1536" s="1">
        <v>14901.69</v>
      </c>
      <c r="G1536" s="1">
        <v>11228</v>
      </c>
      <c r="H1536" s="1">
        <v>38.12525205</v>
      </c>
    </row>
    <row r="1537" spans="1:8" ht="15.75" thickBot="1" x14ac:dyDescent="0.3">
      <c r="A1537" s="1">
        <v>2016</v>
      </c>
      <c r="B1537" s="1" t="s">
        <v>16</v>
      </c>
      <c r="C1537" s="1" t="s">
        <v>26</v>
      </c>
      <c r="D1537" s="1" t="s">
        <v>31</v>
      </c>
      <c r="E1537" s="1">
        <v>4636524.93</v>
      </c>
      <c r="F1537" s="1">
        <v>173213.21</v>
      </c>
      <c r="G1537" s="1">
        <v>98626</v>
      </c>
      <c r="H1537" s="1">
        <v>47.011182949999998</v>
      </c>
    </row>
    <row r="1538" spans="1:8" ht="15.75" thickBot="1" x14ac:dyDescent="0.3">
      <c r="A1538" s="1">
        <v>2017</v>
      </c>
      <c r="B1538" s="1" t="s">
        <v>17</v>
      </c>
      <c r="C1538" s="1" t="s">
        <v>18</v>
      </c>
      <c r="D1538" s="1" t="s">
        <v>10</v>
      </c>
      <c r="E1538" s="1">
        <v>9845923.4600000009</v>
      </c>
      <c r="F1538" s="1">
        <v>347968.69</v>
      </c>
      <c r="G1538" s="1">
        <v>170211</v>
      </c>
      <c r="H1538" s="1">
        <v>57.845400470000001</v>
      </c>
    </row>
    <row r="1539" spans="1:8" ht="15.75" thickBot="1" x14ac:dyDescent="0.3">
      <c r="A1539" s="1">
        <v>2014</v>
      </c>
      <c r="B1539" s="1" t="s">
        <v>35</v>
      </c>
      <c r="C1539" s="1" t="s">
        <v>21</v>
      </c>
      <c r="D1539" s="1" t="s">
        <v>29</v>
      </c>
      <c r="E1539" s="1">
        <v>2724.95</v>
      </c>
      <c r="F1539" s="1">
        <v>44.16</v>
      </c>
      <c r="G1539" s="1">
        <v>17</v>
      </c>
      <c r="H1539" s="1">
        <v>160.29117650000001</v>
      </c>
    </row>
    <row r="1540" spans="1:8" ht="15.75" thickBot="1" x14ac:dyDescent="0.3">
      <c r="A1540" s="1">
        <v>2014</v>
      </c>
      <c r="B1540" s="1" t="s">
        <v>17</v>
      </c>
      <c r="C1540" s="1" t="s">
        <v>25</v>
      </c>
      <c r="D1540" s="1" t="s">
        <v>31</v>
      </c>
      <c r="E1540" s="1">
        <v>8131046.9299999997</v>
      </c>
      <c r="F1540" s="1">
        <v>260898.76</v>
      </c>
      <c r="G1540" s="1">
        <v>138582</v>
      </c>
      <c r="H1540" s="1">
        <v>58.673182160000003</v>
      </c>
    </row>
    <row r="1541" spans="1:8" ht="15.75" thickBot="1" x14ac:dyDescent="0.3">
      <c r="A1541" s="1">
        <v>2015</v>
      </c>
      <c r="B1541" s="1" t="s">
        <v>14</v>
      </c>
      <c r="C1541" s="1" t="s">
        <v>21</v>
      </c>
      <c r="D1541" s="1" t="s">
        <v>13</v>
      </c>
      <c r="E1541" s="1">
        <v>362347.04</v>
      </c>
      <c r="F1541" s="1">
        <v>13467.62</v>
      </c>
      <c r="G1541" s="1">
        <v>9492</v>
      </c>
      <c r="H1541" s="1">
        <v>38.173940160000001</v>
      </c>
    </row>
    <row r="1542" spans="1:8" ht="15.75" thickBot="1" x14ac:dyDescent="0.3">
      <c r="A1542" s="1">
        <v>2017</v>
      </c>
      <c r="B1542" s="1" t="s">
        <v>40</v>
      </c>
      <c r="C1542" s="1" t="s">
        <v>18</v>
      </c>
      <c r="D1542" s="1" t="s">
        <v>31</v>
      </c>
      <c r="E1542" s="1">
        <v>373.51</v>
      </c>
      <c r="F1542" s="1">
        <v>13.84</v>
      </c>
      <c r="G1542" s="1">
        <v>10</v>
      </c>
      <c r="H1542" s="1">
        <v>37.350999999999999</v>
      </c>
    </row>
    <row r="1543" spans="1:8" ht="15.75" thickBot="1" x14ac:dyDescent="0.3">
      <c r="A1543" s="1">
        <v>2014</v>
      </c>
      <c r="B1543" s="1" t="s">
        <v>20</v>
      </c>
      <c r="C1543" s="1" t="s">
        <v>12</v>
      </c>
      <c r="D1543" s="1" t="s">
        <v>22</v>
      </c>
      <c r="E1543" s="1">
        <v>109.14</v>
      </c>
      <c r="F1543" s="1">
        <v>12.23</v>
      </c>
      <c r="G1543" s="1">
        <v>694</v>
      </c>
      <c r="H1543" s="1">
        <v>0.1572622478</v>
      </c>
    </row>
    <row r="1544" spans="1:8" ht="15.75" thickBot="1" x14ac:dyDescent="0.3">
      <c r="A1544" s="1">
        <v>2017</v>
      </c>
      <c r="B1544" s="1" t="s">
        <v>30</v>
      </c>
      <c r="C1544" s="1" t="s">
        <v>12</v>
      </c>
      <c r="D1544" s="1" t="s">
        <v>34</v>
      </c>
      <c r="E1544" s="1">
        <v>184557.05</v>
      </c>
      <c r="F1544" s="1">
        <v>6505.73</v>
      </c>
      <c r="G1544" s="1">
        <v>3467</v>
      </c>
      <c r="H1544" s="1">
        <v>53.232492069999999</v>
      </c>
    </row>
    <row r="1545" spans="1:8" ht="15.75" thickBot="1" x14ac:dyDescent="0.3">
      <c r="A1545" s="1">
        <v>2016</v>
      </c>
      <c r="B1545" s="1" t="s">
        <v>16</v>
      </c>
      <c r="C1545" s="1" t="s">
        <v>23</v>
      </c>
      <c r="D1545" s="1" t="s">
        <v>19</v>
      </c>
      <c r="E1545" s="1">
        <v>50626898.009999998</v>
      </c>
      <c r="F1545" s="1">
        <v>1769086.68</v>
      </c>
      <c r="G1545" s="1">
        <v>398223</v>
      </c>
      <c r="H1545" s="1">
        <v>127.1320291</v>
      </c>
    </row>
    <row r="1546" spans="1:8" ht="15.75" thickBot="1" x14ac:dyDescent="0.3">
      <c r="A1546" s="1">
        <v>2016</v>
      </c>
      <c r="B1546" s="1" t="s">
        <v>11</v>
      </c>
      <c r="C1546" s="1" t="s">
        <v>21</v>
      </c>
      <c r="D1546" s="1" t="s">
        <v>22</v>
      </c>
      <c r="E1546" s="1">
        <v>53297402.609999999</v>
      </c>
      <c r="F1546" s="1">
        <v>1659839.12</v>
      </c>
      <c r="G1546" s="1">
        <v>3810451</v>
      </c>
      <c r="H1546" s="1">
        <v>13.987163880000001</v>
      </c>
    </row>
    <row r="1547" spans="1:8" ht="15.75" thickBot="1" x14ac:dyDescent="0.3">
      <c r="A1547" s="1">
        <v>2017</v>
      </c>
      <c r="B1547" s="1" t="s">
        <v>8</v>
      </c>
      <c r="C1547" s="1" t="s">
        <v>23</v>
      </c>
      <c r="D1547" s="1" t="s">
        <v>19</v>
      </c>
      <c r="E1547" s="1">
        <v>491.5</v>
      </c>
      <c r="F1547" s="1">
        <v>19.95</v>
      </c>
      <c r="G1547" s="1">
        <v>12</v>
      </c>
      <c r="H1547" s="1">
        <v>40.958333330000002</v>
      </c>
    </row>
    <row r="1548" spans="1:8" ht="15.75" thickBot="1" x14ac:dyDescent="0.3">
      <c r="A1548" s="1">
        <v>2016</v>
      </c>
      <c r="B1548" s="1" t="s">
        <v>16</v>
      </c>
      <c r="C1548" s="1" t="s">
        <v>15</v>
      </c>
      <c r="D1548" s="1" t="s">
        <v>27</v>
      </c>
      <c r="E1548" s="1">
        <v>216764177</v>
      </c>
      <c r="F1548" s="1">
        <v>8154241.2300000004</v>
      </c>
      <c r="G1548" s="1">
        <v>3638891</v>
      </c>
      <c r="H1548" s="1">
        <v>59.568746900000001</v>
      </c>
    </row>
    <row r="1549" spans="1:8" ht="15.75" thickBot="1" x14ac:dyDescent="0.3">
      <c r="A1549" s="1">
        <v>2017</v>
      </c>
      <c r="B1549" s="1" t="s">
        <v>16</v>
      </c>
      <c r="C1549" s="1" t="s">
        <v>9</v>
      </c>
      <c r="D1549" s="1" t="s">
        <v>29</v>
      </c>
      <c r="E1549" s="1">
        <v>138363.78</v>
      </c>
      <c r="F1549" s="1">
        <v>2455.4</v>
      </c>
      <c r="G1549" s="1">
        <v>650</v>
      </c>
      <c r="H1549" s="1">
        <v>212.86735379999999</v>
      </c>
    </row>
    <row r="1550" spans="1:8" ht="15.75" thickBot="1" x14ac:dyDescent="0.3">
      <c r="A1550" s="1">
        <v>2015</v>
      </c>
      <c r="B1550" s="1" t="s">
        <v>35</v>
      </c>
      <c r="C1550" s="1" t="s">
        <v>23</v>
      </c>
      <c r="D1550" s="1" t="s">
        <v>10</v>
      </c>
      <c r="E1550" s="1">
        <v>33.08</v>
      </c>
      <c r="F1550" s="1">
        <v>3.08</v>
      </c>
      <c r="G1550" s="1">
        <v>9</v>
      </c>
      <c r="H1550" s="1">
        <v>3.6755555559999999</v>
      </c>
    </row>
    <row r="1551" spans="1:8" ht="15.75" thickBot="1" x14ac:dyDescent="0.3">
      <c r="A1551" s="1">
        <v>2015</v>
      </c>
      <c r="B1551" s="1" t="s">
        <v>16</v>
      </c>
      <c r="C1551" s="1" t="s">
        <v>23</v>
      </c>
      <c r="D1551" s="1" t="s">
        <v>24</v>
      </c>
      <c r="E1551" s="1">
        <v>24077417.600000001</v>
      </c>
      <c r="F1551" s="1">
        <v>906523.11</v>
      </c>
      <c r="G1551" s="1">
        <v>159010</v>
      </c>
      <c r="H1551" s="1">
        <v>151.42077610000001</v>
      </c>
    </row>
    <row r="1552" spans="1:8" ht="15.75" thickBot="1" x14ac:dyDescent="0.3">
      <c r="A1552" s="1">
        <v>2016</v>
      </c>
      <c r="B1552" s="1" t="s">
        <v>35</v>
      </c>
      <c r="C1552" s="1" t="s">
        <v>25</v>
      </c>
      <c r="D1552" s="1" t="s">
        <v>24</v>
      </c>
      <c r="E1552" s="1">
        <v>3742.56</v>
      </c>
      <c r="F1552" s="1">
        <v>64.760000000000005</v>
      </c>
      <c r="G1552" s="1">
        <v>31</v>
      </c>
      <c r="H1552" s="1">
        <v>120.7277419</v>
      </c>
    </row>
    <row r="1553" spans="1:8" ht="15.75" thickBot="1" x14ac:dyDescent="0.3">
      <c r="A1553" s="1">
        <v>2016</v>
      </c>
      <c r="B1553" s="1" t="s">
        <v>17</v>
      </c>
      <c r="C1553" s="1" t="s">
        <v>15</v>
      </c>
      <c r="D1553" s="1" t="s">
        <v>24</v>
      </c>
      <c r="E1553" s="1">
        <v>15780902.82</v>
      </c>
      <c r="F1553" s="1">
        <v>537096.11</v>
      </c>
      <c r="G1553" s="1">
        <v>58021</v>
      </c>
      <c r="H1553" s="1">
        <v>271.98605370000001</v>
      </c>
    </row>
    <row r="1554" spans="1:8" ht="15.75" thickBot="1" x14ac:dyDescent="0.3">
      <c r="A1554" s="1">
        <v>2014</v>
      </c>
      <c r="B1554" s="1" t="s">
        <v>20</v>
      </c>
      <c r="C1554" s="1" t="s">
        <v>9</v>
      </c>
      <c r="D1554" s="1" t="s">
        <v>24</v>
      </c>
      <c r="E1554" s="1">
        <v>13579.84</v>
      </c>
      <c r="F1554" s="1">
        <v>338.31</v>
      </c>
      <c r="G1554" s="1">
        <v>314</v>
      </c>
      <c r="H1554" s="1">
        <v>43.24789809</v>
      </c>
    </row>
    <row r="1555" spans="1:8" ht="15.75" thickBot="1" x14ac:dyDescent="0.3">
      <c r="A1555" s="1">
        <v>2014</v>
      </c>
      <c r="B1555" s="1" t="s">
        <v>16</v>
      </c>
      <c r="C1555" s="1" t="s">
        <v>33</v>
      </c>
      <c r="D1555" s="1" t="s">
        <v>32</v>
      </c>
      <c r="E1555" s="1">
        <v>131531617.5</v>
      </c>
      <c r="F1555" s="1">
        <v>4960636.58</v>
      </c>
      <c r="G1555" s="1">
        <v>2408286</v>
      </c>
      <c r="H1555" s="1">
        <v>54.616277910000001</v>
      </c>
    </row>
    <row r="1556" spans="1:8" ht="15.75" thickBot="1" x14ac:dyDescent="0.3">
      <c r="A1556" s="1">
        <v>2014</v>
      </c>
      <c r="B1556" s="1" t="s">
        <v>14</v>
      </c>
      <c r="C1556" s="1" t="s">
        <v>15</v>
      </c>
      <c r="D1556" s="1" t="s">
        <v>32</v>
      </c>
      <c r="E1556" s="1">
        <v>49709915.670000002</v>
      </c>
      <c r="F1556" s="1">
        <v>1853698.41</v>
      </c>
      <c r="G1556" s="1">
        <v>980762</v>
      </c>
      <c r="H1556" s="1">
        <v>50.684993579999997</v>
      </c>
    </row>
    <row r="1557" spans="1:8" ht="15.75" thickBot="1" x14ac:dyDescent="0.3">
      <c r="A1557" s="1">
        <v>2015</v>
      </c>
      <c r="B1557" s="1" t="s">
        <v>11</v>
      </c>
      <c r="C1557" s="1" t="s">
        <v>21</v>
      </c>
      <c r="D1557" s="1" t="s">
        <v>32</v>
      </c>
      <c r="E1557" s="1">
        <v>129930047.3</v>
      </c>
      <c r="F1557" s="1">
        <v>4093764.34</v>
      </c>
      <c r="G1557" s="1">
        <v>2483793</v>
      </c>
      <c r="H1557" s="1">
        <v>52.311141599999999</v>
      </c>
    </row>
    <row r="1558" spans="1:8" ht="15.75" thickBot="1" x14ac:dyDescent="0.3">
      <c r="A1558" s="1">
        <v>2014</v>
      </c>
      <c r="B1558" s="1" t="s">
        <v>20</v>
      </c>
      <c r="C1558" s="1" t="s">
        <v>18</v>
      </c>
      <c r="D1558" s="1" t="s">
        <v>10</v>
      </c>
      <c r="E1558" s="1">
        <v>43038.36</v>
      </c>
      <c r="F1558" s="1">
        <v>1632.16</v>
      </c>
      <c r="G1558" s="1">
        <v>1157</v>
      </c>
      <c r="H1558" s="1">
        <v>37.198236819999998</v>
      </c>
    </row>
    <row r="1559" spans="1:8" ht="15.75" thickBot="1" x14ac:dyDescent="0.3">
      <c r="A1559" s="1">
        <v>2016</v>
      </c>
      <c r="B1559" s="1" t="s">
        <v>16</v>
      </c>
      <c r="C1559" s="1" t="s">
        <v>9</v>
      </c>
      <c r="D1559" s="1" t="s">
        <v>27</v>
      </c>
      <c r="E1559" s="1">
        <v>89149152.319999993</v>
      </c>
      <c r="F1559" s="1">
        <v>3296046.02</v>
      </c>
      <c r="G1559" s="1">
        <v>1692786</v>
      </c>
      <c r="H1559" s="1">
        <v>52.664159750000003</v>
      </c>
    </row>
    <row r="1560" spans="1:8" ht="15.75" thickBot="1" x14ac:dyDescent="0.3">
      <c r="A1560" s="1">
        <v>2017</v>
      </c>
      <c r="B1560" s="1" t="s">
        <v>8</v>
      </c>
      <c r="C1560" s="1" t="s">
        <v>28</v>
      </c>
      <c r="D1560" s="1" t="s">
        <v>24</v>
      </c>
      <c r="E1560" s="1">
        <v>1082.8900000000001</v>
      </c>
      <c r="F1560" s="1">
        <v>32</v>
      </c>
      <c r="G1560" s="1">
        <v>2</v>
      </c>
      <c r="H1560" s="1">
        <v>541.44500000000005</v>
      </c>
    </row>
    <row r="1561" spans="1:8" ht="15.75" thickBot="1" x14ac:dyDescent="0.3">
      <c r="A1561" s="1">
        <v>2017</v>
      </c>
      <c r="B1561" s="1" t="s">
        <v>14</v>
      </c>
      <c r="C1561" s="1" t="s">
        <v>25</v>
      </c>
      <c r="D1561" s="1" t="s">
        <v>27</v>
      </c>
      <c r="E1561" s="1">
        <v>275169659.30000001</v>
      </c>
      <c r="F1561" s="1">
        <v>12233545.470000001</v>
      </c>
      <c r="G1561" s="1">
        <v>10671575</v>
      </c>
      <c r="H1561" s="1">
        <v>25.785290289999999</v>
      </c>
    </row>
    <row r="1562" spans="1:8" ht="15.75" thickBot="1" x14ac:dyDescent="0.3">
      <c r="A1562" s="1">
        <v>2014</v>
      </c>
      <c r="B1562" s="1" t="s">
        <v>20</v>
      </c>
      <c r="C1562" s="1" t="s">
        <v>21</v>
      </c>
      <c r="D1562" s="1" t="s">
        <v>31</v>
      </c>
      <c r="E1562" s="1">
        <v>29219.23</v>
      </c>
      <c r="F1562" s="1">
        <v>1226.05</v>
      </c>
      <c r="G1562" s="1">
        <v>1183</v>
      </c>
      <c r="H1562" s="1">
        <v>24.699264580000001</v>
      </c>
    </row>
    <row r="1563" spans="1:8" ht="15.75" thickBot="1" x14ac:dyDescent="0.3">
      <c r="A1563" s="1">
        <v>2016</v>
      </c>
      <c r="B1563" s="1" t="s">
        <v>11</v>
      </c>
      <c r="C1563" s="1" t="s">
        <v>9</v>
      </c>
      <c r="D1563" s="1" t="s">
        <v>19</v>
      </c>
      <c r="E1563" s="1">
        <v>414.65</v>
      </c>
      <c r="F1563" s="1">
        <v>18.23</v>
      </c>
      <c r="G1563" s="1">
        <v>258</v>
      </c>
      <c r="H1563" s="1">
        <v>1.6071705430000001</v>
      </c>
    </row>
    <row r="1564" spans="1:8" ht="15.75" thickBot="1" x14ac:dyDescent="0.3">
      <c r="A1564" s="1">
        <v>2014</v>
      </c>
      <c r="B1564" s="1" t="s">
        <v>20</v>
      </c>
      <c r="C1564" s="1" t="s">
        <v>12</v>
      </c>
      <c r="D1564" s="1" t="s">
        <v>19</v>
      </c>
      <c r="E1564" s="1">
        <v>3354804.13</v>
      </c>
      <c r="F1564" s="1">
        <v>118067.52</v>
      </c>
      <c r="G1564" s="1">
        <v>49119</v>
      </c>
      <c r="H1564" s="1">
        <v>68.299520139999998</v>
      </c>
    </row>
    <row r="1565" spans="1:8" ht="15.75" thickBot="1" x14ac:dyDescent="0.3">
      <c r="A1565" s="1">
        <v>2014</v>
      </c>
      <c r="B1565" s="1" t="s">
        <v>35</v>
      </c>
      <c r="C1565" s="1" t="s">
        <v>12</v>
      </c>
      <c r="D1565" s="1" t="s">
        <v>10</v>
      </c>
      <c r="E1565" s="1">
        <v>0</v>
      </c>
      <c r="F1565" s="1">
        <v>15.78</v>
      </c>
      <c r="G1565" s="1">
        <v>53</v>
      </c>
      <c r="H1565" s="1">
        <v>0</v>
      </c>
    </row>
    <row r="1566" spans="1:8" ht="15.75" thickBot="1" x14ac:dyDescent="0.3">
      <c r="A1566" s="1">
        <v>2016</v>
      </c>
      <c r="B1566" s="1" t="s">
        <v>16</v>
      </c>
      <c r="C1566" s="1" t="s">
        <v>25</v>
      </c>
      <c r="D1566" s="1" t="s">
        <v>29</v>
      </c>
      <c r="E1566" s="1">
        <v>24459406.609999999</v>
      </c>
      <c r="F1566" s="1">
        <v>865704.34</v>
      </c>
      <c r="G1566" s="1">
        <v>116516</v>
      </c>
      <c r="H1566" s="1">
        <v>209.92315740000001</v>
      </c>
    </row>
    <row r="1567" spans="1:8" ht="15.75" thickBot="1" x14ac:dyDescent="0.3">
      <c r="A1567" s="1">
        <v>2016</v>
      </c>
      <c r="B1567" s="1" t="s">
        <v>11</v>
      </c>
      <c r="C1567" s="1" t="s">
        <v>18</v>
      </c>
      <c r="D1567" s="1" t="s">
        <v>31</v>
      </c>
      <c r="E1567" s="1">
        <v>4210399.34</v>
      </c>
      <c r="F1567" s="1">
        <v>123586.78</v>
      </c>
      <c r="G1567" s="1">
        <v>75492</v>
      </c>
      <c r="H1567" s="1">
        <v>55.772788370000001</v>
      </c>
    </row>
    <row r="1568" spans="1:8" ht="15.75" thickBot="1" x14ac:dyDescent="0.3">
      <c r="A1568" s="1">
        <v>2014</v>
      </c>
      <c r="B1568" s="1" t="s">
        <v>30</v>
      </c>
      <c r="C1568" s="1" t="s">
        <v>23</v>
      </c>
      <c r="D1568" s="1" t="s">
        <v>29</v>
      </c>
      <c r="E1568" s="1">
        <v>3851400.25</v>
      </c>
      <c r="F1568" s="1">
        <v>130982.57</v>
      </c>
      <c r="G1568" s="1">
        <v>31674</v>
      </c>
      <c r="H1568" s="1">
        <v>121.5950069</v>
      </c>
    </row>
    <row r="1569" spans="1:8" ht="15.75" thickBot="1" x14ac:dyDescent="0.3">
      <c r="A1569" s="1">
        <v>2014</v>
      </c>
      <c r="B1569" s="1" t="s">
        <v>11</v>
      </c>
      <c r="C1569" s="1" t="s">
        <v>26</v>
      </c>
      <c r="D1569" s="1" t="s">
        <v>10</v>
      </c>
      <c r="E1569" s="1">
        <v>73205787.939999998</v>
      </c>
      <c r="F1569" s="1">
        <v>1603960.38</v>
      </c>
      <c r="G1569" s="1">
        <v>913719</v>
      </c>
      <c r="H1569" s="1">
        <v>80.118491509999998</v>
      </c>
    </row>
    <row r="1570" spans="1:8" ht="15.75" thickBot="1" x14ac:dyDescent="0.3">
      <c r="A1570" s="1">
        <v>2014</v>
      </c>
      <c r="B1570" s="1" t="s">
        <v>12</v>
      </c>
      <c r="C1570" s="1" t="s">
        <v>25</v>
      </c>
      <c r="D1570" s="1" t="s">
        <v>29</v>
      </c>
      <c r="E1570" s="1">
        <v>1094365.54</v>
      </c>
      <c r="F1570" s="1">
        <v>35103.42</v>
      </c>
      <c r="G1570" s="1">
        <v>4022</v>
      </c>
      <c r="H1570" s="1">
        <v>272.09486329999999</v>
      </c>
    </row>
    <row r="1571" spans="1:8" ht="15.75" thickBot="1" x14ac:dyDescent="0.3">
      <c r="A1571" s="1">
        <v>2014</v>
      </c>
      <c r="B1571" s="1" t="s">
        <v>8</v>
      </c>
      <c r="C1571" s="1" t="s">
        <v>18</v>
      </c>
      <c r="D1571" s="1" t="s">
        <v>13</v>
      </c>
      <c r="E1571" s="1">
        <v>0</v>
      </c>
      <c r="F1571" s="1">
        <v>0</v>
      </c>
      <c r="G1571" s="1">
        <v>1</v>
      </c>
      <c r="H1571" s="1">
        <v>0</v>
      </c>
    </row>
    <row r="1572" spans="1:8" ht="15.75" thickBot="1" x14ac:dyDescent="0.3">
      <c r="A1572" s="1">
        <v>2014</v>
      </c>
      <c r="B1572" s="1" t="s">
        <v>14</v>
      </c>
      <c r="C1572" s="1" t="s">
        <v>21</v>
      </c>
      <c r="D1572" s="1" t="s">
        <v>19</v>
      </c>
      <c r="E1572" s="1">
        <v>49709609.549999997</v>
      </c>
      <c r="F1572" s="1">
        <v>1683537.75</v>
      </c>
      <c r="G1572" s="1">
        <v>410789</v>
      </c>
      <c r="H1572" s="1">
        <v>121.0100795</v>
      </c>
    </row>
    <row r="1573" spans="1:8" ht="15.75" thickBot="1" x14ac:dyDescent="0.3">
      <c r="A1573" s="1">
        <v>2017</v>
      </c>
      <c r="B1573" s="1" t="s">
        <v>30</v>
      </c>
      <c r="C1573" s="1" t="s">
        <v>15</v>
      </c>
      <c r="D1573" s="1" t="s">
        <v>24</v>
      </c>
      <c r="E1573" s="1">
        <v>40566008.479999997</v>
      </c>
      <c r="F1573" s="1">
        <v>1340412.8600000001</v>
      </c>
      <c r="G1573" s="1">
        <v>168242</v>
      </c>
      <c r="H1573" s="1">
        <v>241.11701289999999</v>
      </c>
    </row>
    <row r="1574" spans="1:8" ht="15.75" thickBot="1" x14ac:dyDescent="0.3">
      <c r="A1574" s="1">
        <v>2016</v>
      </c>
      <c r="B1574" s="1" t="s">
        <v>16</v>
      </c>
      <c r="C1574" s="1" t="s">
        <v>21</v>
      </c>
      <c r="D1574" s="1" t="s">
        <v>29</v>
      </c>
      <c r="E1574" s="1">
        <v>27433235.530000001</v>
      </c>
      <c r="F1574" s="1">
        <v>952427.38</v>
      </c>
      <c r="G1574" s="1">
        <v>116294</v>
      </c>
      <c r="H1574" s="1">
        <v>235.89553660000001</v>
      </c>
    </row>
    <row r="1575" spans="1:8" ht="15.75" thickBot="1" x14ac:dyDescent="0.3">
      <c r="A1575" s="1">
        <v>2014</v>
      </c>
      <c r="B1575" s="1" t="s">
        <v>12</v>
      </c>
      <c r="C1575" s="1" t="s">
        <v>9</v>
      </c>
      <c r="D1575" s="1" t="s">
        <v>32</v>
      </c>
      <c r="E1575" s="1">
        <v>75923034.530000001</v>
      </c>
      <c r="F1575" s="1">
        <v>2134553.16</v>
      </c>
      <c r="G1575" s="1">
        <v>742256</v>
      </c>
      <c r="H1575" s="1">
        <v>102.2868586</v>
      </c>
    </row>
    <row r="1576" spans="1:8" ht="15.75" thickBot="1" x14ac:dyDescent="0.3">
      <c r="A1576" s="1">
        <v>2016</v>
      </c>
      <c r="B1576" s="1" t="s">
        <v>17</v>
      </c>
      <c r="C1576" s="1" t="s">
        <v>21</v>
      </c>
      <c r="D1576" s="1" t="s">
        <v>31</v>
      </c>
      <c r="E1576" s="1">
        <v>33797047.479999997</v>
      </c>
      <c r="F1576" s="1">
        <v>1105337.3799999999</v>
      </c>
      <c r="G1576" s="1">
        <v>614379</v>
      </c>
      <c r="H1576" s="1">
        <v>55.010095530000001</v>
      </c>
    </row>
    <row r="1577" spans="1:8" ht="15.75" thickBot="1" x14ac:dyDescent="0.3">
      <c r="A1577" s="1">
        <v>2016</v>
      </c>
      <c r="B1577" s="1" t="s">
        <v>12</v>
      </c>
      <c r="C1577" s="1" t="s">
        <v>12</v>
      </c>
      <c r="D1577" s="1" t="s">
        <v>31</v>
      </c>
      <c r="E1577" s="1">
        <v>186890.6</v>
      </c>
      <c r="F1577" s="1">
        <v>6483.35</v>
      </c>
      <c r="G1577" s="1">
        <v>4255</v>
      </c>
      <c r="H1577" s="1">
        <v>43.922585189999999</v>
      </c>
    </row>
    <row r="1578" spans="1:8" ht="15.75" thickBot="1" x14ac:dyDescent="0.3">
      <c r="A1578" s="1">
        <v>2017</v>
      </c>
      <c r="B1578" s="1" t="s">
        <v>16</v>
      </c>
      <c r="C1578" s="1" t="s">
        <v>25</v>
      </c>
      <c r="D1578" s="1" t="s">
        <v>19</v>
      </c>
      <c r="E1578" s="1">
        <v>120086923.09999999</v>
      </c>
      <c r="F1578" s="1">
        <v>3381177.74</v>
      </c>
      <c r="G1578" s="1">
        <v>560893</v>
      </c>
      <c r="H1578" s="1">
        <v>214.09952190000001</v>
      </c>
    </row>
    <row r="1579" spans="1:8" ht="15.75" thickBot="1" x14ac:dyDescent="0.3">
      <c r="A1579" s="1">
        <v>2014</v>
      </c>
      <c r="B1579" s="1" t="s">
        <v>11</v>
      </c>
      <c r="C1579" s="1" t="s">
        <v>15</v>
      </c>
      <c r="D1579" s="1" t="s">
        <v>22</v>
      </c>
      <c r="E1579" s="1">
        <v>4664777.51</v>
      </c>
      <c r="F1579" s="1">
        <v>138157.60999999999</v>
      </c>
      <c r="G1579" s="1">
        <v>260952</v>
      </c>
      <c r="H1579" s="1">
        <v>17.87599831</v>
      </c>
    </row>
    <row r="1580" spans="1:8" ht="15.75" thickBot="1" x14ac:dyDescent="0.3">
      <c r="A1580" s="1">
        <v>2014</v>
      </c>
      <c r="B1580" s="1" t="s">
        <v>20</v>
      </c>
      <c r="C1580" s="1" t="s">
        <v>9</v>
      </c>
      <c r="D1580" s="1" t="s">
        <v>31</v>
      </c>
      <c r="E1580" s="1">
        <v>68.25</v>
      </c>
      <c r="F1580" s="1">
        <v>4.62</v>
      </c>
      <c r="G1580" s="1">
        <v>30</v>
      </c>
      <c r="H1580" s="1">
        <v>2.2749999999999999</v>
      </c>
    </row>
    <row r="1581" spans="1:8" ht="15.75" thickBot="1" x14ac:dyDescent="0.3">
      <c r="A1581" s="1">
        <v>2014</v>
      </c>
      <c r="B1581" s="1" t="s">
        <v>20</v>
      </c>
      <c r="C1581" s="1" t="s">
        <v>15</v>
      </c>
      <c r="D1581" s="1" t="s">
        <v>10</v>
      </c>
      <c r="E1581" s="1">
        <v>139885.57</v>
      </c>
      <c r="F1581" s="1">
        <v>5333.77</v>
      </c>
      <c r="G1581" s="1">
        <v>3575</v>
      </c>
      <c r="H1581" s="1">
        <v>39.12883077</v>
      </c>
    </row>
    <row r="1582" spans="1:8" ht="15.75" thickBot="1" x14ac:dyDescent="0.3">
      <c r="A1582" s="1">
        <v>2016</v>
      </c>
      <c r="B1582" s="1" t="s">
        <v>12</v>
      </c>
      <c r="C1582" s="1" t="s">
        <v>33</v>
      </c>
      <c r="D1582" s="1" t="s">
        <v>32</v>
      </c>
      <c r="E1582" s="1">
        <v>19552028.43</v>
      </c>
      <c r="F1582" s="1">
        <v>679418.45</v>
      </c>
      <c r="G1582" s="1">
        <v>321410</v>
      </c>
      <c r="H1582" s="1">
        <v>60.832047629999998</v>
      </c>
    </row>
    <row r="1583" spans="1:8" ht="15.75" thickBot="1" x14ac:dyDescent="0.3">
      <c r="A1583" s="1">
        <v>2016</v>
      </c>
      <c r="B1583" s="1" t="s">
        <v>16</v>
      </c>
      <c r="C1583" s="1" t="s">
        <v>25</v>
      </c>
      <c r="D1583" s="1" t="s">
        <v>31</v>
      </c>
      <c r="E1583" s="1">
        <v>7605365.8300000001</v>
      </c>
      <c r="F1583" s="1">
        <v>282530.44</v>
      </c>
      <c r="G1583" s="1">
        <v>158644</v>
      </c>
      <c r="H1583" s="1">
        <v>47.93982647</v>
      </c>
    </row>
    <row r="1584" spans="1:8" ht="15.75" thickBot="1" x14ac:dyDescent="0.3">
      <c r="A1584" s="1">
        <v>2014</v>
      </c>
      <c r="B1584" s="1" t="s">
        <v>17</v>
      </c>
      <c r="C1584" s="1" t="s">
        <v>9</v>
      </c>
      <c r="D1584" s="1" t="s">
        <v>29</v>
      </c>
      <c r="E1584" s="1">
        <v>3172127.67</v>
      </c>
      <c r="F1584" s="1">
        <v>94967.55</v>
      </c>
      <c r="G1584" s="1">
        <v>9848</v>
      </c>
      <c r="H1584" s="1">
        <v>322.1088211</v>
      </c>
    </row>
    <row r="1585" spans="1:8" ht="15.75" thickBot="1" x14ac:dyDescent="0.3">
      <c r="A1585" s="1">
        <v>2016</v>
      </c>
      <c r="B1585" s="1" t="s">
        <v>8</v>
      </c>
      <c r="C1585" s="1" t="s">
        <v>25</v>
      </c>
      <c r="D1585" s="1" t="s">
        <v>19</v>
      </c>
      <c r="E1585" s="1">
        <v>1519.91</v>
      </c>
      <c r="F1585" s="1">
        <v>23.03</v>
      </c>
      <c r="G1585" s="1">
        <v>24</v>
      </c>
      <c r="H1585" s="1">
        <v>63.329583329999998</v>
      </c>
    </row>
    <row r="1586" spans="1:8" ht="15.75" thickBot="1" x14ac:dyDescent="0.3">
      <c r="A1586" s="1">
        <v>2014</v>
      </c>
      <c r="B1586" s="1" t="s">
        <v>35</v>
      </c>
      <c r="C1586" s="1" t="s">
        <v>26</v>
      </c>
      <c r="D1586" s="1" t="s">
        <v>10</v>
      </c>
      <c r="E1586" s="1">
        <v>10.9</v>
      </c>
      <c r="F1586" s="1">
        <v>0.62</v>
      </c>
      <c r="G1586" s="1">
        <v>11</v>
      </c>
      <c r="H1586" s="1">
        <v>0.99090909090000001</v>
      </c>
    </row>
    <row r="1587" spans="1:8" ht="15.75" thickBot="1" x14ac:dyDescent="0.3">
      <c r="A1587" s="1">
        <v>2017</v>
      </c>
      <c r="B1587" s="1" t="s">
        <v>40</v>
      </c>
      <c r="C1587" s="1" t="s">
        <v>23</v>
      </c>
      <c r="D1587" s="1" t="s">
        <v>13</v>
      </c>
      <c r="E1587" s="1">
        <v>187.19</v>
      </c>
      <c r="F1587" s="1">
        <v>3.08</v>
      </c>
      <c r="G1587" s="1">
        <v>7</v>
      </c>
      <c r="H1587" s="1">
        <v>26.74142857</v>
      </c>
    </row>
    <row r="1588" spans="1:8" ht="15.75" thickBot="1" x14ac:dyDescent="0.3">
      <c r="A1588" s="1">
        <v>2016</v>
      </c>
      <c r="B1588" s="1" t="s">
        <v>35</v>
      </c>
      <c r="C1588" s="1" t="s">
        <v>21</v>
      </c>
      <c r="D1588" s="1" t="s">
        <v>24</v>
      </c>
      <c r="E1588" s="1">
        <v>3175.19</v>
      </c>
      <c r="F1588" s="1">
        <v>122.78</v>
      </c>
      <c r="G1588" s="1">
        <v>49</v>
      </c>
      <c r="H1588" s="1">
        <v>64.799795919999994</v>
      </c>
    </row>
    <row r="1589" spans="1:8" ht="15.75" thickBot="1" x14ac:dyDescent="0.3">
      <c r="A1589" s="1">
        <v>2015</v>
      </c>
      <c r="B1589" s="1" t="s">
        <v>11</v>
      </c>
      <c r="C1589" s="1" t="s">
        <v>18</v>
      </c>
      <c r="D1589" s="1" t="s">
        <v>10</v>
      </c>
      <c r="E1589" s="1">
        <v>24101300.739999998</v>
      </c>
      <c r="F1589" s="1">
        <v>528430.43000000005</v>
      </c>
      <c r="G1589" s="1">
        <v>309905</v>
      </c>
      <c r="H1589" s="1">
        <v>77.769964150000007</v>
      </c>
    </row>
    <row r="1590" spans="1:8" ht="15.75" thickBot="1" x14ac:dyDescent="0.3">
      <c r="A1590" s="1">
        <v>2016</v>
      </c>
      <c r="B1590" s="1" t="s">
        <v>14</v>
      </c>
      <c r="C1590" s="1" t="s">
        <v>26</v>
      </c>
      <c r="D1590" s="1" t="s">
        <v>24</v>
      </c>
      <c r="E1590" s="1">
        <v>12528680.210000001</v>
      </c>
      <c r="F1590" s="1">
        <v>463646.05</v>
      </c>
      <c r="G1590" s="1">
        <v>129632</v>
      </c>
      <c r="H1590" s="1">
        <v>96.648051480000007</v>
      </c>
    </row>
    <row r="1591" spans="1:8" ht="15.75" thickBot="1" x14ac:dyDescent="0.3">
      <c r="A1591" s="1">
        <v>2015</v>
      </c>
      <c r="B1591" s="1" t="s">
        <v>16</v>
      </c>
      <c r="C1591" s="1" t="s">
        <v>21</v>
      </c>
      <c r="D1591" s="1" t="s">
        <v>27</v>
      </c>
      <c r="E1591" s="1">
        <v>648938796.39999998</v>
      </c>
      <c r="F1591" s="1">
        <v>25677978.02</v>
      </c>
      <c r="G1591" s="1">
        <v>12758531</v>
      </c>
      <c r="H1591" s="1">
        <v>50.863128080000003</v>
      </c>
    </row>
    <row r="1592" spans="1:8" ht="15.75" thickBot="1" x14ac:dyDescent="0.3">
      <c r="A1592" s="1">
        <v>2016</v>
      </c>
      <c r="B1592" s="1" t="s">
        <v>11</v>
      </c>
      <c r="C1592" s="1" t="s">
        <v>23</v>
      </c>
      <c r="D1592" s="1" t="s">
        <v>10</v>
      </c>
      <c r="E1592" s="1">
        <v>152056265.40000001</v>
      </c>
      <c r="F1592" s="1">
        <v>3393556.46</v>
      </c>
      <c r="G1592" s="1">
        <v>2469381</v>
      </c>
      <c r="H1592" s="1">
        <v>61.576672619999997</v>
      </c>
    </row>
    <row r="1593" spans="1:8" ht="15.75" thickBot="1" x14ac:dyDescent="0.3">
      <c r="A1593" s="1">
        <v>2015</v>
      </c>
      <c r="B1593" s="1" t="s">
        <v>11</v>
      </c>
      <c r="C1593" s="1" t="s">
        <v>9</v>
      </c>
      <c r="D1593" s="1" t="s">
        <v>32</v>
      </c>
      <c r="E1593" s="1">
        <v>162584.76</v>
      </c>
      <c r="F1593" s="1">
        <v>4659.82</v>
      </c>
      <c r="G1593" s="1">
        <v>37321</v>
      </c>
      <c r="H1593" s="1">
        <v>4.3563880920000004</v>
      </c>
    </row>
    <row r="1594" spans="1:8" ht="15.75" thickBot="1" x14ac:dyDescent="0.3">
      <c r="A1594" s="1">
        <v>2016</v>
      </c>
      <c r="B1594" s="1" t="s">
        <v>20</v>
      </c>
      <c r="C1594" s="1" t="s">
        <v>12</v>
      </c>
      <c r="D1594" s="1" t="s">
        <v>27</v>
      </c>
      <c r="E1594" s="1">
        <v>3303745.37</v>
      </c>
      <c r="F1594" s="1">
        <v>135717.14000000001</v>
      </c>
      <c r="G1594" s="1">
        <v>117078</v>
      </c>
      <c r="H1594" s="1">
        <v>28.2183277</v>
      </c>
    </row>
    <row r="1595" spans="1:8" ht="15.75" thickBot="1" x14ac:dyDescent="0.3">
      <c r="A1595" s="1">
        <v>2017</v>
      </c>
      <c r="B1595" s="1" t="s">
        <v>8</v>
      </c>
      <c r="C1595" s="1" t="s">
        <v>25</v>
      </c>
      <c r="D1595" s="1" t="s">
        <v>10</v>
      </c>
      <c r="E1595" s="1">
        <v>721.75</v>
      </c>
      <c r="F1595" s="1">
        <v>24.95</v>
      </c>
      <c r="G1595" s="1">
        <v>11</v>
      </c>
      <c r="H1595" s="1">
        <v>65.613636360000001</v>
      </c>
    </row>
    <row r="1596" spans="1:8" ht="15.75" thickBot="1" x14ac:dyDescent="0.3">
      <c r="A1596" s="1">
        <v>2016</v>
      </c>
      <c r="B1596" s="1" t="s">
        <v>11</v>
      </c>
      <c r="C1596" s="1" t="s">
        <v>28</v>
      </c>
      <c r="D1596" s="1" t="s">
        <v>29</v>
      </c>
      <c r="E1596" s="1">
        <v>16148064.43</v>
      </c>
      <c r="F1596" s="1">
        <v>409262.05</v>
      </c>
      <c r="G1596" s="1">
        <v>17054</v>
      </c>
      <c r="H1596" s="1">
        <v>946.87841149999997</v>
      </c>
    </row>
    <row r="1597" spans="1:8" ht="15.75" thickBot="1" x14ac:dyDescent="0.3">
      <c r="A1597" s="1">
        <v>2015</v>
      </c>
      <c r="B1597" s="1" t="s">
        <v>30</v>
      </c>
      <c r="C1597" s="1" t="s">
        <v>33</v>
      </c>
      <c r="D1597" s="1" t="s">
        <v>32</v>
      </c>
      <c r="E1597" s="1">
        <v>25740227.420000002</v>
      </c>
      <c r="F1597" s="1">
        <v>987722.66</v>
      </c>
      <c r="G1597" s="1">
        <v>580095</v>
      </c>
      <c r="H1597" s="1">
        <v>44.372434550000001</v>
      </c>
    </row>
    <row r="1598" spans="1:8" ht="15.75" thickBot="1" x14ac:dyDescent="0.3">
      <c r="A1598" s="1">
        <v>2014</v>
      </c>
      <c r="B1598" s="1" t="s">
        <v>12</v>
      </c>
      <c r="C1598" s="1" t="s">
        <v>28</v>
      </c>
      <c r="D1598" s="1" t="s">
        <v>22</v>
      </c>
      <c r="E1598" s="1">
        <v>76144.86</v>
      </c>
      <c r="F1598" s="1">
        <v>2756.07</v>
      </c>
      <c r="G1598" s="1">
        <v>3873</v>
      </c>
      <c r="H1598" s="1">
        <v>19.660433770000001</v>
      </c>
    </row>
    <row r="1599" spans="1:8" ht="15.75" thickBot="1" x14ac:dyDescent="0.3">
      <c r="A1599" s="1">
        <v>2017</v>
      </c>
      <c r="B1599" s="1" t="s">
        <v>12</v>
      </c>
      <c r="C1599" s="1" t="s">
        <v>15</v>
      </c>
      <c r="D1599" s="1" t="s">
        <v>32</v>
      </c>
      <c r="E1599" s="1">
        <v>16472631.99</v>
      </c>
      <c r="F1599" s="1">
        <v>544655.81000000006</v>
      </c>
      <c r="G1599" s="1">
        <v>230772</v>
      </c>
      <c r="H1599" s="1">
        <v>71.380548719999993</v>
      </c>
    </row>
    <row r="1600" spans="1:8" ht="15.75" thickBot="1" x14ac:dyDescent="0.3">
      <c r="A1600" s="1">
        <v>2016</v>
      </c>
      <c r="B1600" s="1" t="s">
        <v>14</v>
      </c>
      <c r="C1600" s="1" t="s">
        <v>9</v>
      </c>
      <c r="D1600" s="1" t="s">
        <v>29</v>
      </c>
      <c r="E1600" s="1">
        <v>25473056.890000001</v>
      </c>
      <c r="F1600" s="1">
        <v>797722.36</v>
      </c>
      <c r="G1600" s="1">
        <v>91744</v>
      </c>
      <c r="H1600" s="1">
        <v>277.65365459999998</v>
      </c>
    </row>
    <row r="1601" spans="1:8" ht="15.75" thickBot="1" x14ac:dyDescent="0.3">
      <c r="A1601" s="1">
        <v>2017</v>
      </c>
      <c r="B1601" s="1" t="s">
        <v>30</v>
      </c>
      <c r="C1601" s="1" t="s">
        <v>26</v>
      </c>
      <c r="D1601" s="1" t="s">
        <v>31</v>
      </c>
      <c r="E1601" s="1">
        <v>161.87</v>
      </c>
      <c r="F1601" s="1">
        <v>8.74</v>
      </c>
      <c r="G1601" s="1">
        <v>8</v>
      </c>
      <c r="H1601" s="1">
        <v>20.233750000000001</v>
      </c>
    </row>
    <row r="1602" spans="1:8" ht="15.75" thickBot="1" x14ac:dyDescent="0.3">
      <c r="A1602" s="1">
        <v>2014</v>
      </c>
      <c r="B1602" s="1" t="s">
        <v>11</v>
      </c>
      <c r="C1602" s="1" t="s">
        <v>25</v>
      </c>
      <c r="D1602" s="1" t="s">
        <v>29</v>
      </c>
      <c r="E1602" s="1">
        <v>1135366.56</v>
      </c>
      <c r="F1602" s="1">
        <v>31613.119999999999</v>
      </c>
      <c r="G1602" s="1">
        <v>2315</v>
      </c>
      <c r="H1602" s="1">
        <v>490.43911880000002</v>
      </c>
    </row>
    <row r="1603" spans="1:8" ht="15.75" thickBot="1" x14ac:dyDescent="0.3">
      <c r="A1603" s="1">
        <v>2014</v>
      </c>
      <c r="B1603" s="1" t="s">
        <v>16</v>
      </c>
      <c r="C1603" s="1" t="s">
        <v>12</v>
      </c>
      <c r="D1603" s="1" t="s">
        <v>32</v>
      </c>
      <c r="E1603" s="1">
        <v>82304853.079999998</v>
      </c>
      <c r="F1603" s="1">
        <v>3208337.2</v>
      </c>
      <c r="G1603" s="1">
        <v>1354392</v>
      </c>
      <c r="H1603" s="1">
        <v>60.768856489999997</v>
      </c>
    </row>
    <row r="1604" spans="1:8" ht="15.75" thickBot="1" x14ac:dyDescent="0.3">
      <c r="A1604" s="1">
        <v>2016</v>
      </c>
      <c r="B1604" s="1" t="s">
        <v>30</v>
      </c>
      <c r="C1604" s="1" t="s">
        <v>25</v>
      </c>
      <c r="D1604" s="1" t="s">
        <v>32</v>
      </c>
      <c r="E1604" s="1">
        <v>24067612.350000001</v>
      </c>
      <c r="F1604" s="1">
        <v>972721.17</v>
      </c>
      <c r="G1604" s="1">
        <v>636058</v>
      </c>
      <c r="H1604" s="1">
        <v>37.838707079999999</v>
      </c>
    </row>
    <row r="1605" spans="1:8" ht="15.75" thickBot="1" x14ac:dyDescent="0.3">
      <c r="A1605" s="1">
        <v>2017</v>
      </c>
      <c r="B1605" s="1" t="s">
        <v>16</v>
      </c>
      <c r="C1605" s="1" t="s">
        <v>33</v>
      </c>
      <c r="D1605" s="1" t="s">
        <v>32</v>
      </c>
      <c r="E1605" s="1">
        <v>255929163.5</v>
      </c>
      <c r="F1605" s="1">
        <v>9264768.9800000004</v>
      </c>
      <c r="G1605" s="1">
        <v>4062508</v>
      </c>
      <c r="H1605" s="1">
        <v>62.997823889999999</v>
      </c>
    </row>
    <row r="1606" spans="1:8" ht="15.75" thickBot="1" x14ac:dyDescent="0.3">
      <c r="A1606" s="1">
        <v>2014</v>
      </c>
      <c r="B1606" s="1" t="s">
        <v>14</v>
      </c>
      <c r="C1606" s="1" t="s">
        <v>15</v>
      </c>
      <c r="D1606" s="1" t="s">
        <v>24</v>
      </c>
      <c r="E1606" s="1">
        <v>16866948.809999999</v>
      </c>
      <c r="F1606" s="1">
        <v>540567.12</v>
      </c>
      <c r="G1606" s="1">
        <v>70662</v>
      </c>
      <c r="H1606" s="1">
        <v>238.69900100000001</v>
      </c>
    </row>
    <row r="1607" spans="1:8" ht="15.75" thickBot="1" x14ac:dyDescent="0.3">
      <c r="A1607" s="1">
        <v>2015</v>
      </c>
      <c r="B1607" s="1" t="s">
        <v>14</v>
      </c>
      <c r="C1607" s="1" t="s">
        <v>25</v>
      </c>
      <c r="D1607" s="1" t="s">
        <v>10</v>
      </c>
      <c r="E1607" s="1">
        <v>5318802.55</v>
      </c>
      <c r="F1607" s="1">
        <v>198744.87</v>
      </c>
      <c r="G1607" s="1">
        <v>104825</v>
      </c>
      <c r="H1607" s="1">
        <v>50.739828760000002</v>
      </c>
    </row>
    <row r="1608" spans="1:8" ht="15.75" thickBot="1" x14ac:dyDescent="0.3">
      <c r="A1608" s="1">
        <v>2015</v>
      </c>
      <c r="B1608" s="1" t="s">
        <v>16</v>
      </c>
      <c r="C1608" s="1" t="s">
        <v>9</v>
      </c>
      <c r="D1608" s="1" t="s">
        <v>29</v>
      </c>
      <c r="E1608" s="1">
        <v>17510758.670000002</v>
      </c>
      <c r="F1608" s="1">
        <v>564310.4</v>
      </c>
      <c r="G1608" s="1">
        <v>53207</v>
      </c>
      <c r="H1608" s="1">
        <v>329.10629560000001</v>
      </c>
    </row>
    <row r="1609" spans="1:8" ht="15.75" thickBot="1" x14ac:dyDescent="0.3">
      <c r="A1609" s="1">
        <v>2017</v>
      </c>
      <c r="B1609" s="1" t="s">
        <v>35</v>
      </c>
      <c r="C1609" s="1" t="s">
        <v>28</v>
      </c>
      <c r="D1609" s="1" t="s">
        <v>24</v>
      </c>
      <c r="E1609" s="1">
        <v>42679.43</v>
      </c>
      <c r="F1609" s="1">
        <v>529.30999999999995</v>
      </c>
      <c r="G1609" s="1">
        <v>86</v>
      </c>
      <c r="H1609" s="1">
        <v>496.27244189999999</v>
      </c>
    </row>
    <row r="1610" spans="1:8" ht="15.75" thickBot="1" x14ac:dyDescent="0.3">
      <c r="A1610" s="1">
        <v>2017</v>
      </c>
      <c r="B1610" s="1" t="s">
        <v>16</v>
      </c>
      <c r="C1610" s="1" t="s">
        <v>18</v>
      </c>
      <c r="D1610" s="1" t="s">
        <v>27</v>
      </c>
      <c r="E1610" s="1">
        <v>59254218.399999999</v>
      </c>
      <c r="F1610" s="1">
        <v>2183124.54</v>
      </c>
      <c r="G1610" s="1">
        <v>883496</v>
      </c>
      <c r="H1610" s="1">
        <v>67.067896630000007</v>
      </c>
    </row>
    <row r="1611" spans="1:8" ht="15.75" thickBot="1" x14ac:dyDescent="0.3">
      <c r="A1611" s="1">
        <v>2014</v>
      </c>
      <c r="B1611" s="1" t="s">
        <v>17</v>
      </c>
      <c r="C1611" s="1" t="s">
        <v>18</v>
      </c>
      <c r="D1611" s="1" t="s">
        <v>31</v>
      </c>
      <c r="E1611" s="1">
        <v>952715.29</v>
      </c>
      <c r="F1611" s="1">
        <v>31792.22</v>
      </c>
      <c r="G1611" s="1">
        <v>15103</v>
      </c>
      <c r="H1611" s="1">
        <v>63.081195129999998</v>
      </c>
    </row>
    <row r="1612" spans="1:8" ht="15.75" thickBot="1" x14ac:dyDescent="0.3">
      <c r="A1612" s="1">
        <v>2015</v>
      </c>
      <c r="B1612" s="1" t="s">
        <v>20</v>
      </c>
      <c r="C1612" s="1" t="s">
        <v>28</v>
      </c>
      <c r="D1612" s="1" t="s">
        <v>22</v>
      </c>
      <c r="E1612" s="1">
        <v>801.18</v>
      </c>
      <c r="F1612" s="1">
        <v>24.95</v>
      </c>
      <c r="G1612" s="1">
        <v>31720</v>
      </c>
      <c r="H1612" s="1">
        <v>2.5257881459999999E-2</v>
      </c>
    </row>
    <row r="1613" spans="1:8" ht="15.75" thickBot="1" x14ac:dyDescent="0.3">
      <c r="A1613" s="1">
        <v>2017</v>
      </c>
      <c r="B1613" s="1" t="s">
        <v>11</v>
      </c>
      <c r="C1613" s="1" t="s">
        <v>25</v>
      </c>
      <c r="D1613" s="1" t="s">
        <v>31</v>
      </c>
      <c r="E1613" s="1">
        <v>86926255.140000001</v>
      </c>
      <c r="F1613" s="1">
        <v>2544217.25</v>
      </c>
      <c r="G1613" s="1">
        <v>1730261</v>
      </c>
      <c r="H1613" s="1">
        <v>50.238810870000002</v>
      </c>
    </row>
    <row r="1614" spans="1:8" ht="15.75" thickBot="1" x14ac:dyDescent="0.3">
      <c r="A1614" s="1">
        <v>2015</v>
      </c>
      <c r="B1614" s="1" t="s">
        <v>35</v>
      </c>
      <c r="C1614" s="1" t="s">
        <v>28</v>
      </c>
      <c r="D1614" s="1" t="s">
        <v>31</v>
      </c>
      <c r="E1614" s="1">
        <v>63</v>
      </c>
      <c r="F1614" s="1">
        <v>2.13</v>
      </c>
      <c r="G1614" s="1">
        <v>230</v>
      </c>
      <c r="H1614" s="1">
        <v>0.27391304350000001</v>
      </c>
    </row>
    <row r="1615" spans="1:8" ht="15.75" thickBot="1" x14ac:dyDescent="0.3">
      <c r="A1615" s="1">
        <v>2015</v>
      </c>
      <c r="B1615" s="1" t="s">
        <v>11</v>
      </c>
      <c r="C1615" s="1" t="s">
        <v>33</v>
      </c>
      <c r="D1615" s="1" t="s">
        <v>31</v>
      </c>
      <c r="E1615" s="1">
        <v>32555741.879999999</v>
      </c>
      <c r="F1615" s="1">
        <v>905084.53</v>
      </c>
      <c r="G1615" s="1">
        <v>573356</v>
      </c>
      <c r="H1615" s="1">
        <v>56.781025890000002</v>
      </c>
    </row>
    <row r="1616" spans="1:8" ht="15.75" thickBot="1" x14ac:dyDescent="0.3">
      <c r="A1616" s="1">
        <v>2017</v>
      </c>
      <c r="B1616" s="1" t="s">
        <v>12</v>
      </c>
      <c r="C1616" s="1" t="s">
        <v>9</v>
      </c>
      <c r="D1616" s="1" t="s">
        <v>13</v>
      </c>
      <c r="E1616" s="1">
        <v>665.56</v>
      </c>
      <c r="F1616" s="1">
        <v>26.04</v>
      </c>
      <c r="G1616" s="1">
        <v>94</v>
      </c>
      <c r="H1616" s="1">
        <v>7.0804255319999996</v>
      </c>
    </row>
    <row r="1617" spans="1:8" ht="15.75" thickBot="1" x14ac:dyDescent="0.3">
      <c r="A1617" s="1">
        <v>2016</v>
      </c>
      <c r="B1617" s="1" t="s">
        <v>30</v>
      </c>
      <c r="C1617" s="1" t="s">
        <v>33</v>
      </c>
      <c r="D1617" s="1" t="s">
        <v>29</v>
      </c>
      <c r="E1617" s="1">
        <v>19481005.140000001</v>
      </c>
      <c r="F1617" s="1">
        <v>618035.35</v>
      </c>
      <c r="G1617" s="1">
        <v>88483</v>
      </c>
      <c r="H1617" s="1">
        <v>220.1666438</v>
      </c>
    </row>
    <row r="1618" spans="1:8" ht="15.75" thickBot="1" x14ac:dyDescent="0.3">
      <c r="A1618" s="1">
        <v>2016</v>
      </c>
      <c r="B1618" s="1" t="s">
        <v>17</v>
      </c>
      <c r="C1618" s="1" t="s">
        <v>9</v>
      </c>
      <c r="D1618" s="1" t="s">
        <v>19</v>
      </c>
      <c r="E1618" s="1">
        <v>5624.43</v>
      </c>
      <c r="F1618" s="1">
        <v>223.01</v>
      </c>
      <c r="G1618" s="1">
        <v>2050</v>
      </c>
      <c r="H1618" s="1">
        <v>2.7436243899999999</v>
      </c>
    </row>
    <row r="1619" spans="1:8" ht="15.75" thickBot="1" x14ac:dyDescent="0.3">
      <c r="A1619" s="1">
        <v>2017</v>
      </c>
      <c r="B1619" s="1" t="s">
        <v>14</v>
      </c>
      <c r="C1619" s="1" t="s">
        <v>28</v>
      </c>
      <c r="D1619" s="1" t="s">
        <v>36</v>
      </c>
      <c r="E1619" s="1">
        <v>83736595.859999999</v>
      </c>
      <c r="F1619" s="1">
        <v>348049.24</v>
      </c>
      <c r="G1619" s="1">
        <v>1013650</v>
      </c>
      <c r="H1619" s="1">
        <v>82.608983240000001</v>
      </c>
    </row>
    <row r="1620" spans="1:8" ht="15.75" thickBot="1" x14ac:dyDescent="0.3">
      <c r="A1620" s="1">
        <v>2017</v>
      </c>
      <c r="B1620" s="1" t="s">
        <v>12</v>
      </c>
      <c r="C1620" s="1" t="s">
        <v>23</v>
      </c>
      <c r="D1620" s="1" t="s">
        <v>31</v>
      </c>
      <c r="E1620" s="1">
        <v>247582.33</v>
      </c>
      <c r="F1620" s="1">
        <v>7165.21</v>
      </c>
      <c r="G1620" s="1">
        <v>4489</v>
      </c>
      <c r="H1620" s="1">
        <v>55.153114279999997</v>
      </c>
    </row>
    <row r="1621" spans="1:8" ht="15.75" thickBot="1" x14ac:dyDescent="0.3">
      <c r="A1621" s="1">
        <v>2017</v>
      </c>
      <c r="B1621" s="1" t="s">
        <v>30</v>
      </c>
      <c r="C1621" s="1" t="s">
        <v>12</v>
      </c>
      <c r="D1621" s="1" t="s">
        <v>19</v>
      </c>
      <c r="E1621" s="1">
        <v>131210001.59999999</v>
      </c>
      <c r="F1621" s="1">
        <v>3329174.02</v>
      </c>
      <c r="G1621" s="1">
        <v>984408</v>
      </c>
      <c r="H1621" s="1">
        <v>133.28823170000001</v>
      </c>
    </row>
    <row r="1622" spans="1:8" ht="15.75" thickBot="1" x14ac:dyDescent="0.3">
      <c r="A1622" s="1">
        <v>2014</v>
      </c>
      <c r="B1622" s="1" t="s">
        <v>40</v>
      </c>
      <c r="C1622" s="1" t="s">
        <v>23</v>
      </c>
      <c r="D1622" s="1" t="s">
        <v>32</v>
      </c>
      <c r="E1622" s="1">
        <v>-107.99</v>
      </c>
      <c r="F1622" s="1">
        <v>16.88</v>
      </c>
      <c r="G1622" s="1">
        <v>17</v>
      </c>
      <c r="H1622" s="1">
        <v>-6.3523529410000004</v>
      </c>
    </row>
    <row r="1623" spans="1:8" ht="15.75" thickBot="1" x14ac:dyDescent="0.3">
      <c r="A1623" s="1">
        <v>2016</v>
      </c>
      <c r="B1623" s="1" t="s">
        <v>17</v>
      </c>
      <c r="C1623" s="1" t="s">
        <v>33</v>
      </c>
      <c r="D1623" s="1" t="s">
        <v>31</v>
      </c>
      <c r="E1623" s="1">
        <v>33631043.649999999</v>
      </c>
      <c r="F1623" s="1">
        <v>1106011.8700000001</v>
      </c>
      <c r="G1623" s="1">
        <v>596351</v>
      </c>
      <c r="H1623" s="1">
        <v>56.394713260000003</v>
      </c>
    </row>
    <row r="1624" spans="1:8" ht="15.75" thickBot="1" x14ac:dyDescent="0.3">
      <c r="A1624" s="1">
        <v>2015</v>
      </c>
      <c r="B1624" s="1" t="s">
        <v>20</v>
      </c>
      <c r="C1624" s="1" t="s">
        <v>26</v>
      </c>
      <c r="D1624" s="1" t="s">
        <v>10</v>
      </c>
      <c r="E1624" s="1">
        <v>145988.18</v>
      </c>
      <c r="F1624" s="1">
        <v>5763.93</v>
      </c>
      <c r="G1624" s="1">
        <v>4305</v>
      </c>
      <c r="H1624" s="1">
        <v>33.911307780000001</v>
      </c>
    </row>
    <row r="1625" spans="1:8" ht="15.75" thickBot="1" x14ac:dyDescent="0.3">
      <c r="A1625" s="1">
        <v>2015</v>
      </c>
      <c r="B1625" s="1" t="s">
        <v>12</v>
      </c>
      <c r="C1625" s="1" t="s">
        <v>9</v>
      </c>
      <c r="D1625" s="1" t="s">
        <v>19</v>
      </c>
      <c r="E1625" s="1">
        <v>1533.45</v>
      </c>
      <c r="F1625" s="1">
        <v>46.58</v>
      </c>
      <c r="G1625" s="1">
        <v>1721</v>
      </c>
      <c r="H1625" s="1">
        <v>0.89102266119999995</v>
      </c>
    </row>
    <row r="1626" spans="1:8" ht="15.75" thickBot="1" x14ac:dyDescent="0.3">
      <c r="A1626" s="1">
        <v>2015</v>
      </c>
      <c r="B1626" s="1" t="s">
        <v>14</v>
      </c>
      <c r="C1626" s="1" t="s">
        <v>9</v>
      </c>
      <c r="D1626" s="1" t="s">
        <v>37</v>
      </c>
      <c r="E1626" s="1">
        <v>181211467.30000001</v>
      </c>
      <c r="F1626" s="1">
        <v>5933900.5999999996</v>
      </c>
      <c r="G1626" s="1">
        <v>933825</v>
      </c>
      <c r="H1626" s="1">
        <v>194.05291930000001</v>
      </c>
    </row>
    <row r="1627" spans="1:8" ht="15.75" thickBot="1" x14ac:dyDescent="0.3">
      <c r="A1627" s="1">
        <v>2016</v>
      </c>
      <c r="B1627" s="1" t="s">
        <v>16</v>
      </c>
      <c r="C1627" s="1" t="s">
        <v>9</v>
      </c>
      <c r="D1627" s="1" t="s">
        <v>37</v>
      </c>
      <c r="E1627" s="1">
        <v>662038635.89999998</v>
      </c>
      <c r="F1627" s="1">
        <v>20360676.620000001</v>
      </c>
      <c r="G1627" s="1">
        <v>2290579</v>
      </c>
      <c r="H1627" s="1">
        <v>289.02676389999999</v>
      </c>
    </row>
    <row r="1628" spans="1:8" ht="15.75" thickBot="1" x14ac:dyDescent="0.3">
      <c r="A1628" s="1">
        <v>2017</v>
      </c>
      <c r="B1628" s="1" t="s">
        <v>16</v>
      </c>
      <c r="C1628" s="1" t="s">
        <v>9</v>
      </c>
      <c r="D1628" s="1" t="s">
        <v>19</v>
      </c>
      <c r="E1628" s="1">
        <v>330053.88</v>
      </c>
      <c r="F1628" s="1">
        <v>5584.12</v>
      </c>
      <c r="G1628" s="1">
        <v>6278</v>
      </c>
      <c r="H1628" s="1">
        <v>52.57309334</v>
      </c>
    </row>
    <row r="1629" spans="1:8" ht="15.75" thickBot="1" x14ac:dyDescent="0.3">
      <c r="A1629" s="1">
        <v>2014</v>
      </c>
      <c r="B1629" s="1" t="s">
        <v>12</v>
      </c>
      <c r="C1629" s="1" t="s">
        <v>28</v>
      </c>
      <c r="D1629" s="1" t="s">
        <v>24</v>
      </c>
      <c r="E1629" s="1">
        <v>8275276.1600000001</v>
      </c>
      <c r="F1629" s="1">
        <v>247796.32</v>
      </c>
      <c r="G1629" s="1">
        <v>12561</v>
      </c>
      <c r="H1629" s="1">
        <v>658.80711410000004</v>
      </c>
    </row>
    <row r="1630" spans="1:8" ht="15.75" thickBot="1" x14ac:dyDescent="0.3">
      <c r="A1630" s="1">
        <v>2014</v>
      </c>
      <c r="B1630" s="1" t="s">
        <v>35</v>
      </c>
      <c r="C1630" s="1" t="s">
        <v>12</v>
      </c>
      <c r="D1630" s="1" t="s">
        <v>27</v>
      </c>
      <c r="E1630" s="1">
        <v>16674.8</v>
      </c>
      <c r="F1630" s="1">
        <v>764.79</v>
      </c>
      <c r="G1630" s="1">
        <v>595</v>
      </c>
      <c r="H1630" s="1">
        <v>28.02487395</v>
      </c>
    </row>
    <row r="1631" spans="1:8" ht="15.75" thickBot="1" x14ac:dyDescent="0.3">
      <c r="A1631" s="1">
        <v>2015</v>
      </c>
      <c r="B1631" s="1" t="s">
        <v>11</v>
      </c>
      <c r="C1631" s="1" t="s">
        <v>28</v>
      </c>
      <c r="D1631" s="1" t="s">
        <v>31</v>
      </c>
      <c r="E1631" s="1">
        <v>17176895.379999999</v>
      </c>
      <c r="F1631" s="1">
        <v>435286.4</v>
      </c>
      <c r="G1631" s="1">
        <v>184105</v>
      </c>
      <c r="H1631" s="1">
        <v>93.299450750000005</v>
      </c>
    </row>
    <row r="1632" spans="1:8" ht="15.75" thickBot="1" x14ac:dyDescent="0.3">
      <c r="A1632" s="1">
        <v>2017</v>
      </c>
      <c r="B1632" s="1" t="s">
        <v>30</v>
      </c>
      <c r="C1632" s="1" t="s">
        <v>26</v>
      </c>
      <c r="D1632" s="1" t="s">
        <v>24</v>
      </c>
      <c r="E1632" s="1">
        <v>35688494.210000001</v>
      </c>
      <c r="F1632" s="1">
        <v>1271636.1499999999</v>
      </c>
      <c r="G1632" s="1">
        <v>221130</v>
      </c>
      <c r="H1632" s="1">
        <v>161.39146299999999</v>
      </c>
    </row>
    <row r="1633" spans="1:8" ht="15.75" thickBot="1" x14ac:dyDescent="0.3">
      <c r="A1633" s="1">
        <v>2016</v>
      </c>
      <c r="B1633" s="1" t="s">
        <v>11</v>
      </c>
      <c r="C1633" s="1" t="s">
        <v>26</v>
      </c>
      <c r="D1633" s="1" t="s">
        <v>13</v>
      </c>
      <c r="E1633" s="1">
        <v>936891.75</v>
      </c>
      <c r="F1633" s="1">
        <v>27655.37</v>
      </c>
      <c r="G1633" s="1">
        <v>58991</v>
      </c>
      <c r="H1633" s="1">
        <v>15.88194386</v>
      </c>
    </row>
    <row r="1634" spans="1:8" ht="15.75" thickBot="1" x14ac:dyDescent="0.3">
      <c r="A1634" s="1">
        <v>2014</v>
      </c>
      <c r="B1634" s="1" t="s">
        <v>30</v>
      </c>
      <c r="C1634" s="1" t="s">
        <v>28</v>
      </c>
      <c r="D1634" s="1" t="s">
        <v>36</v>
      </c>
      <c r="E1634" s="1">
        <v>139450039.90000001</v>
      </c>
      <c r="F1634" s="1">
        <v>814746.25</v>
      </c>
      <c r="G1634" s="1">
        <v>3645740</v>
      </c>
      <c r="H1634" s="1">
        <v>38.25013302</v>
      </c>
    </row>
    <row r="1635" spans="1:8" ht="15.75" thickBot="1" x14ac:dyDescent="0.3">
      <c r="A1635" s="1">
        <v>2014</v>
      </c>
      <c r="B1635" s="1" t="s">
        <v>16</v>
      </c>
      <c r="C1635" s="1" t="s">
        <v>25</v>
      </c>
      <c r="D1635" s="1" t="s">
        <v>22</v>
      </c>
      <c r="E1635" s="1">
        <v>167830.2</v>
      </c>
      <c r="F1635" s="1">
        <v>5011.49</v>
      </c>
      <c r="G1635" s="1">
        <v>9358</v>
      </c>
      <c r="H1635" s="1">
        <v>17.93440906</v>
      </c>
    </row>
    <row r="1636" spans="1:8" ht="15.75" thickBot="1" x14ac:dyDescent="0.3">
      <c r="A1636" s="1">
        <v>2015</v>
      </c>
      <c r="B1636" s="1" t="s">
        <v>14</v>
      </c>
      <c r="C1636" s="1" t="s">
        <v>9</v>
      </c>
      <c r="D1636" s="1" t="s">
        <v>32</v>
      </c>
      <c r="E1636" s="1">
        <v>305404.28999999998</v>
      </c>
      <c r="F1636" s="1">
        <v>10377.56</v>
      </c>
      <c r="G1636" s="1">
        <v>45323</v>
      </c>
      <c r="H1636" s="1">
        <v>6.7383952960000002</v>
      </c>
    </row>
    <row r="1637" spans="1:8" ht="15.75" thickBot="1" x14ac:dyDescent="0.3">
      <c r="A1637" s="1">
        <v>2014</v>
      </c>
      <c r="B1637" s="1" t="s">
        <v>40</v>
      </c>
      <c r="C1637" s="1" t="s">
        <v>21</v>
      </c>
      <c r="D1637" s="1" t="s">
        <v>32</v>
      </c>
      <c r="E1637" s="1">
        <v>1138.8900000000001</v>
      </c>
      <c r="F1637" s="1">
        <v>66.87</v>
      </c>
      <c r="G1637" s="1">
        <v>76</v>
      </c>
      <c r="H1637" s="1">
        <v>14.98539474</v>
      </c>
    </row>
    <row r="1638" spans="1:8" ht="15.75" thickBot="1" x14ac:dyDescent="0.3">
      <c r="A1638" s="1">
        <v>2017</v>
      </c>
      <c r="B1638" s="1" t="s">
        <v>16</v>
      </c>
      <c r="C1638" s="1" t="s">
        <v>23</v>
      </c>
      <c r="D1638" s="1" t="s">
        <v>31</v>
      </c>
      <c r="E1638" s="1">
        <v>3831951.7</v>
      </c>
      <c r="F1638" s="1">
        <v>143150.69</v>
      </c>
      <c r="G1638" s="1">
        <v>82617</v>
      </c>
      <c r="H1638" s="1">
        <v>46.38212111</v>
      </c>
    </row>
    <row r="1639" spans="1:8" ht="15.75" thickBot="1" x14ac:dyDescent="0.3">
      <c r="A1639" s="1">
        <v>2015</v>
      </c>
      <c r="B1639" s="1" t="s">
        <v>30</v>
      </c>
      <c r="C1639" s="1" t="s">
        <v>28</v>
      </c>
      <c r="D1639" s="1" t="s">
        <v>36</v>
      </c>
      <c r="E1639" s="1">
        <v>197940704.30000001</v>
      </c>
      <c r="F1639" s="1">
        <v>961273.02</v>
      </c>
      <c r="G1639" s="1">
        <v>4308841</v>
      </c>
      <c r="H1639" s="1">
        <v>45.938270699999997</v>
      </c>
    </row>
    <row r="1640" spans="1:8" ht="15.75" thickBot="1" x14ac:dyDescent="0.3">
      <c r="A1640" s="1">
        <v>2014</v>
      </c>
      <c r="B1640" s="1" t="s">
        <v>35</v>
      </c>
      <c r="C1640" s="1" t="s">
        <v>25</v>
      </c>
      <c r="D1640" s="1" t="s">
        <v>31</v>
      </c>
      <c r="E1640" s="1">
        <v>4.1100000000000003</v>
      </c>
      <c r="F1640" s="1">
        <v>0.42</v>
      </c>
      <c r="G1640" s="1">
        <v>7</v>
      </c>
      <c r="H1640" s="1">
        <v>0.58714285710000003</v>
      </c>
    </row>
    <row r="1641" spans="1:8" ht="15.75" thickBot="1" x14ac:dyDescent="0.3">
      <c r="A1641" s="1">
        <v>2016</v>
      </c>
      <c r="B1641" s="1" t="s">
        <v>30</v>
      </c>
      <c r="C1641" s="1" t="s">
        <v>26</v>
      </c>
      <c r="D1641" s="1" t="s">
        <v>13</v>
      </c>
      <c r="E1641" s="1">
        <v>5426608.7599999998</v>
      </c>
      <c r="F1641" s="1">
        <v>146996.47</v>
      </c>
      <c r="G1641" s="1">
        <v>94074</v>
      </c>
      <c r="H1641" s="1">
        <v>57.684469249999999</v>
      </c>
    </row>
    <row r="1642" spans="1:8" ht="15.75" thickBot="1" x14ac:dyDescent="0.3">
      <c r="A1642" s="1">
        <v>2015</v>
      </c>
      <c r="B1642" s="1" t="s">
        <v>30</v>
      </c>
      <c r="C1642" s="1" t="s">
        <v>33</v>
      </c>
      <c r="D1642" s="1" t="s">
        <v>27</v>
      </c>
      <c r="E1642" s="1">
        <v>610844445.29999995</v>
      </c>
      <c r="F1642" s="1">
        <v>21530649.149999999</v>
      </c>
      <c r="G1642" s="1">
        <v>8429096</v>
      </c>
      <c r="H1642" s="1">
        <v>72.468559540000001</v>
      </c>
    </row>
    <row r="1643" spans="1:8" ht="15.75" thickBot="1" x14ac:dyDescent="0.3">
      <c r="A1643" s="1">
        <v>2017</v>
      </c>
      <c r="B1643" s="1" t="s">
        <v>40</v>
      </c>
      <c r="C1643" s="1" t="s">
        <v>28</v>
      </c>
      <c r="D1643" s="1" t="s">
        <v>32</v>
      </c>
      <c r="E1643" s="1">
        <v>4317.01</v>
      </c>
      <c r="F1643" s="1">
        <v>198.43</v>
      </c>
      <c r="G1643" s="1">
        <v>137</v>
      </c>
      <c r="H1643" s="1">
        <v>31.511021899999999</v>
      </c>
    </row>
    <row r="1644" spans="1:8" ht="15.75" thickBot="1" x14ac:dyDescent="0.3">
      <c r="A1644" s="1">
        <v>2014</v>
      </c>
      <c r="B1644" s="1" t="s">
        <v>14</v>
      </c>
      <c r="C1644" s="1" t="s">
        <v>21</v>
      </c>
      <c r="D1644" s="1" t="s">
        <v>24</v>
      </c>
      <c r="E1644" s="1">
        <v>16572426.310000001</v>
      </c>
      <c r="F1644" s="1">
        <v>575121.26</v>
      </c>
      <c r="G1644" s="1">
        <v>128899</v>
      </c>
      <c r="H1644" s="1">
        <v>128.5690836</v>
      </c>
    </row>
    <row r="1645" spans="1:8" ht="15.75" thickBot="1" x14ac:dyDescent="0.3">
      <c r="A1645" s="1">
        <v>2015</v>
      </c>
      <c r="B1645" s="1" t="s">
        <v>12</v>
      </c>
      <c r="C1645" s="1" t="s">
        <v>26</v>
      </c>
      <c r="D1645" s="1" t="s">
        <v>13</v>
      </c>
      <c r="E1645" s="1">
        <v>23616.87</v>
      </c>
      <c r="F1645" s="1">
        <v>902.73</v>
      </c>
      <c r="G1645" s="1">
        <v>693</v>
      </c>
      <c r="H1645" s="1">
        <v>34.079177489999999</v>
      </c>
    </row>
    <row r="1646" spans="1:8" ht="15.75" thickBot="1" x14ac:dyDescent="0.3">
      <c r="A1646" s="1">
        <v>2015</v>
      </c>
      <c r="B1646" s="1" t="s">
        <v>12</v>
      </c>
      <c r="C1646" s="1" t="s">
        <v>26</v>
      </c>
      <c r="D1646" s="1" t="s">
        <v>29</v>
      </c>
      <c r="E1646" s="1">
        <v>871694.65</v>
      </c>
      <c r="F1646" s="1">
        <v>29556.75</v>
      </c>
      <c r="G1646" s="1">
        <v>3478</v>
      </c>
      <c r="H1646" s="1">
        <v>250.63100919999999</v>
      </c>
    </row>
    <row r="1647" spans="1:8" ht="15.75" thickBot="1" x14ac:dyDescent="0.3">
      <c r="A1647" s="1">
        <v>2016</v>
      </c>
      <c r="B1647" s="1" t="s">
        <v>20</v>
      </c>
      <c r="C1647" s="1" t="s">
        <v>23</v>
      </c>
      <c r="D1647" s="1" t="s">
        <v>27</v>
      </c>
      <c r="E1647" s="1">
        <v>7225311.3700000001</v>
      </c>
      <c r="F1647" s="1">
        <v>312702.3</v>
      </c>
      <c r="G1647" s="1">
        <v>290356</v>
      </c>
      <c r="H1647" s="1">
        <v>24.88431915</v>
      </c>
    </row>
    <row r="1648" spans="1:8" ht="15.75" thickBot="1" x14ac:dyDescent="0.3">
      <c r="A1648" s="1">
        <v>2016</v>
      </c>
      <c r="B1648" s="1" t="s">
        <v>35</v>
      </c>
      <c r="C1648" s="1" t="s">
        <v>15</v>
      </c>
      <c r="D1648" s="1" t="s">
        <v>24</v>
      </c>
      <c r="E1648" s="1">
        <v>9508.93</v>
      </c>
      <c r="F1648" s="1">
        <v>143.1</v>
      </c>
      <c r="G1648" s="1">
        <v>46</v>
      </c>
      <c r="H1648" s="1">
        <v>206.71586959999999</v>
      </c>
    </row>
    <row r="1649" spans="1:8" ht="15.75" thickBot="1" x14ac:dyDescent="0.3">
      <c r="A1649" s="1">
        <v>2015</v>
      </c>
      <c r="B1649" s="1" t="s">
        <v>30</v>
      </c>
      <c r="C1649" s="1" t="s">
        <v>9</v>
      </c>
      <c r="D1649" s="1" t="s">
        <v>19</v>
      </c>
      <c r="E1649" s="1">
        <v>15154.5</v>
      </c>
      <c r="F1649" s="1">
        <v>479.33</v>
      </c>
      <c r="G1649" s="1">
        <v>9122</v>
      </c>
      <c r="H1649" s="1">
        <v>1.661313308</v>
      </c>
    </row>
    <row r="1650" spans="1:8" ht="15.75" thickBot="1" x14ac:dyDescent="0.3">
      <c r="A1650" s="1">
        <v>2016</v>
      </c>
      <c r="B1650" s="1" t="s">
        <v>16</v>
      </c>
      <c r="C1650" s="1" t="s">
        <v>15</v>
      </c>
      <c r="D1650" s="1" t="s">
        <v>13</v>
      </c>
      <c r="E1650" s="1">
        <v>727680.29</v>
      </c>
      <c r="F1650" s="1">
        <v>25130.83</v>
      </c>
      <c r="G1650" s="1">
        <v>16170</v>
      </c>
      <c r="H1650" s="1">
        <v>45.00187322</v>
      </c>
    </row>
    <row r="1651" spans="1:8" ht="15.75" thickBot="1" x14ac:dyDescent="0.3">
      <c r="A1651" s="1">
        <v>2017</v>
      </c>
      <c r="B1651" s="1" t="s">
        <v>17</v>
      </c>
      <c r="C1651" s="1" t="s">
        <v>9</v>
      </c>
      <c r="D1651" s="1" t="s">
        <v>29</v>
      </c>
      <c r="E1651" s="1">
        <v>92119.86</v>
      </c>
      <c r="F1651" s="1">
        <v>1615.15</v>
      </c>
      <c r="G1651" s="1">
        <v>304</v>
      </c>
      <c r="H1651" s="1">
        <v>303.02585529999999</v>
      </c>
    </row>
    <row r="1652" spans="1:8" ht="15.75" thickBot="1" x14ac:dyDescent="0.3">
      <c r="A1652" s="1">
        <v>2016</v>
      </c>
      <c r="B1652" s="1" t="s">
        <v>8</v>
      </c>
      <c r="C1652" s="1" t="s">
        <v>28</v>
      </c>
      <c r="D1652" s="1" t="s">
        <v>24</v>
      </c>
      <c r="E1652" s="1">
        <v>103</v>
      </c>
      <c r="F1652" s="1">
        <v>3.59</v>
      </c>
      <c r="G1652" s="1">
        <v>2</v>
      </c>
      <c r="H1652" s="1">
        <v>51.5</v>
      </c>
    </row>
    <row r="1653" spans="1:8" ht="15.75" thickBot="1" x14ac:dyDescent="0.3">
      <c r="A1653" s="1">
        <v>2015</v>
      </c>
      <c r="B1653" s="1" t="s">
        <v>16</v>
      </c>
      <c r="C1653" s="1" t="s">
        <v>12</v>
      </c>
      <c r="D1653" s="1" t="s">
        <v>22</v>
      </c>
      <c r="E1653" s="1">
        <v>39752.31</v>
      </c>
      <c r="F1653" s="1">
        <v>1345.86</v>
      </c>
      <c r="G1653" s="1">
        <v>2469</v>
      </c>
      <c r="H1653" s="1">
        <v>16.100571080000002</v>
      </c>
    </row>
    <row r="1654" spans="1:8" ht="15.75" thickBot="1" x14ac:dyDescent="0.3">
      <c r="A1654" s="1">
        <v>2015</v>
      </c>
      <c r="B1654" s="1" t="s">
        <v>12</v>
      </c>
      <c r="C1654" s="1" t="s">
        <v>23</v>
      </c>
      <c r="D1654" s="1" t="s">
        <v>29</v>
      </c>
      <c r="E1654" s="1">
        <v>426072.86</v>
      </c>
      <c r="F1654" s="1">
        <v>15104.61</v>
      </c>
      <c r="G1654" s="1">
        <v>2217</v>
      </c>
      <c r="H1654" s="1">
        <v>192.18442039999999</v>
      </c>
    </row>
    <row r="1655" spans="1:8" ht="15.75" thickBot="1" x14ac:dyDescent="0.3">
      <c r="A1655" s="1">
        <v>2016</v>
      </c>
      <c r="B1655" s="1" t="s">
        <v>35</v>
      </c>
      <c r="C1655" s="1" t="s">
        <v>21</v>
      </c>
      <c r="D1655" s="1" t="s">
        <v>32</v>
      </c>
      <c r="E1655" s="1">
        <v>16879.8</v>
      </c>
      <c r="F1655" s="1">
        <v>556.28</v>
      </c>
      <c r="G1655" s="1">
        <v>965</v>
      </c>
      <c r="H1655" s="1">
        <v>17.49202073</v>
      </c>
    </row>
    <row r="1656" spans="1:8" ht="15.75" thickBot="1" x14ac:dyDescent="0.3">
      <c r="A1656" s="1">
        <v>2016</v>
      </c>
      <c r="B1656" s="1" t="s">
        <v>17</v>
      </c>
      <c r="C1656" s="1" t="s">
        <v>18</v>
      </c>
      <c r="D1656" s="1" t="s">
        <v>29</v>
      </c>
      <c r="E1656" s="1">
        <v>4182053.35</v>
      </c>
      <c r="F1656" s="1">
        <v>133963.82</v>
      </c>
      <c r="G1656" s="1">
        <v>10422</v>
      </c>
      <c r="H1656" s="1">
        <v>401.27167050000003</v>
      </c>
    </row>
    <row r="1657" spans="1:8" ht="15.75" thickBot="1" x14ac:dyDescent="0.3">
      <c r="A1657" s="1">
        <v>2017</v>
      </c>
      <c r="B1657" s="1" t="s">
        <v>12</v>
      </c>
      <c r="C1657" s="1" t="s">
        <v>12</v>
      </c>
      <c r="D1657" s="1" t="s">
        <v>27</v>
      </c>
      <c r="E1657" s="1">
        <v>5988190.1799999997</v>
      </c>
      <c r="F1657" s="1">
        <v>247414.1</v>
      </c>
      <c r="G1657" s="1">
        <v>172040</v>
      </c>
      <c r="H1657" s="1">
        <v>34.806964540000003</v>
      </c>
    </row>
    <row r="1658" spans="1:8" ht="15.75" thickBot="1" x14ac:dyDescent="0.3">
      <c r="A1658" s="1">
        <v>2017</v>
      </c>
      <c r="B1658" s="1" t="s">
        <v>14</v>
      </c>
      <c r="C1658" s="1" t="s">
        <v>21</v>
      </c>
      <c r="D1658" s="1" t="s">
        <v>24</v>
      </c>
      <c r="E1658" s="1">
        <v>28453861.289999999</v>
      </c>
      <c r="F1658" s="1">
        <v>984766.45</v>
      </c>
      <c r="G1658" s="1">
        <v>181510</v>
      </c>
      <c r="H1658" s="1">
        <v>156.76194860000001</v>
      </c>
    </row>
    <row r="1659" spans="1:8" ht="15.75" thickBot="1" x14ac:dyDescent="0.3">
      <c r="A1659" s="1">
        <v>2017</v>
      </c>
      <c r="B1659" s="1" t="s">
        <v>12</v>
      </c>
      <c r="C1659" s="1" t="s">
        <v>9</v>
      </c>
      <c r="D1659" s="1" t="s">
        <v>32</v>
      </c>
      <c r="E1659" s="1">
        <v>94457246.349999994</v>
      </c>
      <c r="F1659" s="1">
        <v>2947514.3</v>
      </c>
      <c r="G1659" s="1">
        <v>1046594</v>
      </c>
      <c r="H1659" s="1">
        <v>90.252042669999994</v>
      </c>
    </row>
    <row r="1660" spans="1:8" ht="15.75" thickBot="1" x14ac:dyDescent="0.3">
      <c r="A1660" s="1">
        <v>2014</v>
      </c>
      <c r="B1660" s="1" t="s">
        <v>17</v>
      </c>
      <c r="C1660" s="1" t="s">
        <v>28</v>
      </c>
      <c r="D1660" s="1" t="s">
        <v>29</v>
      </c>
      <c r="E1660" s="1">
        <v>41627478.359999999</v>
      </c>
      <c r="F1660" s="1">
        <v>1179293.3999999999</v>
      </c>
      <c r="G1660" s="1">
        <v>52686</v>
      </c>
      <c r="H1660" s="1">
        <v>790.10512010000002</v>
      </c>
    </row>
    <row r="1661" spans="1:8" ht="15.75" thickBot="1" x14ac:dyDescent="0.3">
      <c r="A1661" s="1">
        <v>2015</v>
      </c>
      <c r="B1661" s="1" t="s">
        <v>11</v>
      </c>
      <c r="C1661" s="1" t="s">
        <v>18</v>
      </c>
      <c r="D1661" s="1" t="s">
        <v>19</v>
      </c>
      <c r="E1661" s="1">
        <v>1042001.1</v>
      </c>
      <c r="F1661" s="1">
        <v>32351.86</v>
      </c>
      <c r="G1661" s="1">
        <v>5108</v>
      </c>
      <c r="H1661" s="1">
        <v>203.9939507</v>
      </c>
    </row>
    <row r="1662" spans="1:8" ht="15.75" thickBot="1" x14ac:dyDescent="0.3">
      <c r="A1662" s="1">
        <v>2014</v>
      </c>
      <c r="B1662" s="1" t="s">
        <v>8</v>
      </c>
      <c r="C1662" s="1" t="s">
        <v>21</v>
      </c>
      <c r="D1662" s="1" t="s">
        <v>19</v>
      </c>
      <c r="E1662" s="1">
        <v>6150.6</v>
      </c>
      <c r="F1662" s="1">
        <v>87.4</v>
      </c>
      <c r="G1662" s="1">
        <v>81</v>
      </c>
      <c r="H1662" s="1">
        <v>75.933333329999996</v>
      </c>
    </row>
    <row r="1663" spans="1:8" ht="15.75" thickBot="1" x14ac:dyDescent="0.3">
      <c r="A1663" s="1">
        <v>2017</v>
      </c>
      <c r="B1663" s="1" t="s">
        <v>30</v>
      </c>
      <c r="C1663" s="1" t="s">
        <v>9</v>
      </c>
      <c r="D1663" s="1" t="s">
        <v>32</v>
      </c>
      <c r="E1663" s="1">
        <v>97367540.810000002</v>
      </c>
      <c r="F1663" s="1">
        <v>3408790.71</v>
      </c>
      <c r="G1663" s="1">
        <v>1414225</v>
      </c>
      <c r="H1663" s="1">
        <v>68.848691549999998</v>
      </c>
    </row>
    <row r="1664" spans="1:8" ht="15.75" thickBot="1" x14ac:dyDescent="0.3">
      <c r="A1664" s="1">
        <v>2017</v>
      </c>
      <c r="B1664" s="1" t="s">
        <v>8</v>
      </c>
      <c r="C1664" s="1" t="s">
        <v>28</v>
      </c>
      <c r="D1664" s="1" t="s">
        <v>27</v>
      </c>
      <c r="E1664" s="1">
        <v>10038.280000000001</v>
      </c>
      <c r="F1664" s="1">
        <v>388.11</v>
      </c>
      <c r="G1664" s="1">
        <v>340</v>
      </c>
      <c r="H1664" s="1">
        <v>29.52435294</v>
      </c>
    </row>
    <row r="1665" spans="1:8" ht="15.75" thickBot="1" x14ac:dyDescent="0.3">
      <c r="A1665" s="1">
        <v>2014</v>
      </c>
      <c r="B1665" s="1" t="s">
        <v>30</v>
      </c>
      <c r="C1665" s="1" t="s">
        <v>28</v>
      </c>
      <c r="D1665" s="1" t="s">
        <v>29</v>
      </c>
      <c r="E1665" s="1">
        <v>20197015.609999999</v>
      </c>
      <c r="F1665" s="1">
        <v>576144.98</v>
      </c>
      <c r="G1665" s="1">
        <v>74914</v>
      </c>
      <c r="H1665" s="1">
        <v>269.60268589999998</v>
      </c>
    </row>
    <row r="1666" spans="1:8" ht="15.75" thickBot="1" x14ac:dyDescent="0.3">
      <c r="A1666" s="1">
        <v>2015</v>
      </c>
      <c r="B1666" s="1" t="s">
        <v>16</v>
      </c>
      <c r="C1666" s="1" t="s">
        <v>15</v>
      </c>
      <c r="D1666" s="1" t="s">
        <v>24</v>
      </c>
      <c r="E1666" s="1">
        <v>28442381.449999999</v>
      </c>
      <c r="F1666" s="1">
        <v>948926.08</v>
      </c>
      <c r="G1666" s="1">
        <v>96895</v>
      </c>
      <c r="H1666" s="1">
        <v>293.53817479999998</v>
      </c>
    </row>
    <row r="1667" spans="1:8" ht="15.75" thickBot="1" x14ac:dyDescent="0.3">
      <c r="A1667" s="1">
        <v>2016</v>
      </c>
      <c r="B1667" s="1" t="s">
        <v>12</v>
      </c>
      <c r="C1667" s="1" t="s">
        <v>25</v>
      </c>
      <c r="D1667" s="1" t="s">
        <v>10</v>
      </c>
      <c r="E1667" s="1">
        <v>7646191.5999999996</v>
      </c>
      <c r="F1667" s="1">
        <v>198398.74</v>
      </c>
      <c r="G1667" s="1">
        <v>133416</v>
      </c>
      <c r="H1667" s="1">
        <v>57.310904239999999</v>
      </c>
    </row>
    <row r="1668" spans="1:8" ht="15.75" thickBot="1" x14ac:dyDescent="0.3">
      <c r="A1668" s="1">
        <v>2015</v>
      </c>
      <c r="B1668" s="1" t="s">
        <v>11</v>
      </c>
      <c r="C1668" s="1" t="s">
        <v>26</v>
      </c>
      <c r="D1668" s="1" t="s">
        <v>27</v>
      </c>
      <c r="E1668" s="1">
        <v>228237014.30000001</v>
      </c>
      <c r="F1668" s="1">
        <v>6574755.5099999998</v>
      </c>
      <c r="G1668" s="1">
        <v>3468030</v>
      </c>
      <c r="H1668" s="1">
        <v>65.811718549999995</v>
      </c>
    </row>
    <row r="1669" spans="1:8" ht="15.75" thickBot="1" x14ac:dyDescent="0.3">
      <c r="A1669" s="1">
        <v>2015</v>
      </c>
      <c r="B1669" s="1" t="s">
        <v>16</v>
      </c>
      <c r="C1669" s="1" t="s">
        <v>12</v>
      </c>
      <c r="D1669" s="1" t="s">
        <v>19</v>
      </c>
      <c r="E1669" s="1">
        <v>37224061.640000001</v>
      </c>
      <c r="F1669" s="1">
        <v>1340005.83</v>
      </c>
      <c r="G1669" s="1">
        <v>194546</v>
      </c>
      <c r="H1669" s="1">
        <v>191.3380981</v>
      </c>
    </row>
    <row r="1670" spans="1:8" ht="15.75" thickBot="1" x14ac:dyDescent="0.3">
      <c r="A1670" s="1">
        <v>2014</v>
      </c>
      <c r="B1670" s="1" t="s">
        <v>17</v>
      </c>
      <c r="C1670" s="1" t="s">
        <v>26</v>
      </c>
      <c r="D1670" s="1" t="s">
        <v>32</v>
      </c>
      <c r="E1670" s="1">
        <v>67311613.019999996</v>
      </c>
      <c r="F1670" s="1">
        <v>2469334.85</v>
      </c>
      <c r="G1670" s="1">
        <v>1381910</v>
      </c>
      <c r="H1670" s="1">
        <v>48.709114939999999</v>
      </c>
    </row>
    <row r="1671" spans="1:8" ht="15.75" thickBot="1" x14ac:dyDescent="0.3">
      <c r="A1671" s="1">
        <v>2017</v>
      </c>
      <c r="B1671" s="1" t="s">
        <v>17</v>
      </c>
      <c r="C1671" s="1" t="s">
        <v>28</v>
      </c>
      <c r="D1671" s="1" t="s">
        <v>27</v>
      </c>
      <c r="E1671" s="1">
        <v>618428300.20000005</v>
      </c>
      <c r="F1671" s="1">
        <v>19393401.960000001</v>
      </c>
      <c r="G1671" s="1">
        <v>6330171</v>
      </c>
      <c r="H1671" s="1">
        <v>97.695354550000005</v>
      </c>
    </row>
    <row r="1672" spans="1:8" ht="15.75" thickBot="1" x14ac:dyDescent="0.3">
      <c r="A1672" s="1">
        <v>2016</v>
      </c>
      <c r="B1672" s="1" t="s">
        <v>14</v>
      </c>
      <c r="C1672" s="1" t="s">
        <v>15</v>
      </c>
      <c r="D1672" s="1" t="s">
        <v>10</v>
      </c>
      <c r="E1672" s="1">
        <v>5587342.46</v>
      </c>
      <c r="F1672" s="1">
        <v>209615.7</v>
      </c>
      <c r="G1672" s="1">
        <v>103260</v>
      </c>
      <c r="H1672" s="1">
        <v>54.10945632</v>
      </c>
    </row>
    <row r="1673" spans="1:8" ht="15.75" thickBot="1" x14ac:dyDescent="0.3">
      <c r="A1673" s="1">
        <v>2017</v>
      </c>
      <c r="B1673" s="1" t="s">
        <v>35</v>
      </c>
      <c r="C1673" s="1" t="s">
        <v>25</v>
      </c>
      <c r="D1673" s="1" t="s">
        <v>13</v>
      </c>
      <c r="E1673" s="1">
        <v>1270.22</v>
      </c>
      <c r="F1673" s="1">
        <v>35.409999999999997</v>
      </c>
      <c r="G1673" s="1">
        <v>41</v>
      </c>
      <c r="H1673" s="1">
        <v>30.980975610000002</v>
      </c>
    </row>
    <row r="1674" spans="1:8" ht="15.75" thickBot="1" x14ac:dyDescent="0.3">
      <c r="A1674" s="1">
        <v>2017</v>
      </c>
      <c r="B1674" s="1" t="s">
        <v>11</v>
      </c>
      <c r="C1674" s="1" t="s">
        <v>28</v>
      </c>
      <c r="D1674" s="1" t="s">
        <v>22</v>
      </c>
      <c r="E1674" s="1">
        <v>74277681.390000001</v>
      </c>
      <c r="F1674" s="1">
        <v>2121642.85</v>
      </c>
      <c r="G1674" s="1">
        <v>3375499</v>
      </c>
      <c r="H1674" s="1">
        <v>22.004948420000002</v>
      </c>
    </row>
    <row r="1675" spans="1:8" ht="15.75" thickBot="1" x14ac:dyDescent="0.3">
      <c r="A1675" s="1">
        <v>2016</v>
      </c>
      <c r="B1675" s="1" t="s">
        <v>12</v>
      </c>
      <c r="C1675" s="1" t="s">
        <v>28</v>
      </c>
      <c r="D1675" s="1" t="s">
        <v>31</v>
      </c>
      <c r="E1675" s="1">
        <v>309801.26</v>
      </c>
      <c r="F1675" s="1">
        <v>9764.36</v>
      </c>
      <c r="G1675" s="1">
        <v>5517</v>
      </c>
      <c r="H1675" s="1">
        <v>56.153935109999999</v>
      </c>
    </row>
    <row r="1676" spans="1:8" ht="15.75" thickBot="1" x14ac:dyDescent="0.3">
      <c r="A1676" s="1">
        <v>2016</v>
      </c>
      <c r="B1676" s="1" t="s">
        <v>11</v>
      </c>
      <c r="C1676" s="1" t="s">
        <v>28</v>
      </c>
      <c r="D1676" s="1" t="s">
        <v>32</v>
      </c>
      <c r="E1676" s="1">
        <v>169435055.40000001</v>
      </c>
      <c r="F1676" s="1">
        <v>5115346.3899999997</v>
      </c>
      <c r="G1676" s="1">
        <v>2369983</v>
      </c>
      <c r="H1676" s="1">
        <v>71.492097349999995</v>
      </c>
    </row>
    <row r="1677" spans="1:8" ht="15.75" thickBot="1" x14ac:dyDescent="0.3">
      <c r="A1677" s="1">
        <v>2014</v>
      </c>
      <c r="B1677" s="1" t="s">
        <v>17</v>
      </c>
      <c r="C1677" s="1" t="s">
        <v>15</v>
      </c>
      <c r="D1677" s="1" t="s">
        <v>29</v>
      </c>
      <c r="E1677" s="1">
        <v>5205613.3600000003</v>
      </c>
      <c r="F1677" s="1">
        <v>159503.70000000001</v>
      </c>
      <c r="G1677" s="1">
        <v>14851</v>
      </c>
      <c r="H1677" s="1">
        <v>350.52274999999997</v>
      </c>
    </row>
    <row r="1678" spans="1:8" ht="15.75" thickBot="1" x14ac:dyDescent="0.3">
      <c r="A1678" s="1">
        <v>2017</v>
      </c>
      <c r="B1678" s="1" t="s">
        <v>20</v>
      </c>
      <c r="C1678" s="1" t="s">
        <v>21</v>
      </c>
      <c r="D1678" s="1" t="s">
        <v>10</v>
      </c>
      <c r="E1678" s="1">
        <v>1555108.46</v>
      </c>
      <c r="F1678" s="1">
        <v>69456.509999999995</v>
      </c>
      <c r="G1678" s="1">
        <v>72131</v>
      </c>
      <c r="H1678" s="1">
        <v>21.559502290000001</v>
      </c>
    </row>
    <row r="1679" spans="1:8" ht="15.75" thickBot="1" x14ac:dyDescent="0.3">
      <c r="A1679" s="1">
        <v>2016</v>
      </c>
      <c r="B1679" s="1" t="s">
        <v>30</v>
      </c>
      <c r="C1679" s="1" t="s">
        <v>9</v>
      </c>
      <c r="D1679" s="1" t="s">
        <v>31</v>
      </c>
      <c r="E1679" s="1">
        <v>31.97</v>
      </c>
      <c r="F1679" s="1">
        <v>2.14</v>
      </c>
      <c r="G1679" s="1">
        <v>5</v>
      </c>
      <c r="H1679" s="1">
        <v>6.3940000000000001</v>
      </c>
    </row>
    <row r="1680" spans="1:8" ht="15.75" thickBot="1" x14ac:dyDescent="0.3">
      <c r="A1680" s="1">
        <v>2017</v>
      </c>
      <c r="B1680" s="1" t="s">
        <v>35</v>
      </c>
      <c r="C1680" s="1" t="s">
        <v>26</v>
      </c>
      <c r="D1680" s="1" t="s">
        <v>13</v>
      </c>
      <c r="E1680" s="1">
        <v>132.47</v>
      </c>
      <c r="F1680" s="1">
        <v>8.42</v>
      </c>
      <c r="G1680" s="1">
        <v>37</v>
      </c>
      <c r="H1680" s="1">
        <v>3.5802702700000002</v>
      </c>
    </row>
    <row r="1681" spans="1:8" ht="15.75" thickBot="1" x14ac:dyDescent="0.3">
      <c r="A1681" s="1">
        <v>2016</v>
      </c>
      <c r="B1681" s="1" t="s">
        <v>35</v>
      </c>
      <c r="C1681" s="1" t="s">
        <v>25</v>
      </c>
      <c r="D1681" s="1" t="s">
        <v>32</v>
      </c>
      <c r="E1681" s="1">
        <v>11365.54</v>
      </c>
      <c r="F1681" s="1">
        <v>339.32</v>
      </c>
      <c r="G1681" s="1">
        <v>670</v>
      </c>
      <c r="H1681" s="1">
        <v>16.963492540000001</v>
      </c>
    </row>
    <row r="1682" spans="1:8" ht="15.75" thickBot="1" x14ac:dyDescent="0.3">
      <c r="A1682" s="1">
        <v>2014</v>
      </c>
      <c r="B1682" s="1" t="s">
        <v>14</v>
      </c>
      <c r="C1682" s="1" t="s">
        <v>9</v>
      </c>
      <c r="D1682" s="1" t="s">
        <v>13</v>
      </c>
      <c r="E1682" s="1">
        <v>75</v>
      </c>
      <c r="F1682" s="1">
        <v>2.48</v>
      </c>
      <c r="G1682" s="1">
        <v>1</v>
      </c>
      <c r="H1682" s="1">
        <v>75</v>
      </c>
    </row>
    <row r="1683" spans="1:8" ht="15.75" thickBot="1" x14ac:dyDescent="0.3">
      <c r="A1683" s="1">
        <v>2016</v>
      </c>
      <c r="B1683" s="1" t="s">
        <v>20</v>
      </c>
      <c r="C1683" s="1" t="s">
        <v>28</v>
      </c>
      <c r="D1683" s="1" t="s">
        <v>29</v>
      </c>
      <c r="E1683" s="1">
        <v>1522936.82</v>
      </c>
      <c r="F1683" s="1">
        <v>50253.62</v>
      </c>
      <c r="G1683" s="1">
        <v>13725</v>
      </c>
      <c r="H1683" s="1">
        <v>110.9607883</v>
      </c>
    </row>
    <row r="1684" spans="1:8" ht="15.75" thickBot="1" x14ac:dyDescent="0.3">
      <c r="A1684" s="1">
        <v>2017</v>
      </c>
      <c r="B1684" s="1" t="s">
        <v>20</v>
      </c>
      <c r="C1684" s="1" t="s">
        <v>28</v>
      </c>
      <c r="D1684" s="1" t="s">
        <v>24</v>
      </c>
      <c r="E1684" s="1">
        <v>2468109.1</v>
      </c>
      <c r="F1684" s="1">
        <v>83375.360000000001</v>
      </c>
      <c r="G1684" s="1">
        <v>21966</v>
      </c>
      <c r="H1684" s="1">
        <v>112.36042519999999</v>
      </c>
    </row>
    <row r="1685" spans="1:8" ht="15.75" thickBot="1" x14ac:dyDescent="0.3">
      <c r="A1685" s="1">
        <v>2014</v>
      </c>
      <c r="B1685" s="1" t="s">
        <v>17</v>
      </c>
      <c r="C1685" s="1" t="s">
        <v>18</v>
      </c>
      <c r="D1685" s="1" t="s">
        <v>19</v>
      </c>
      <c r="E1685" s="1">
        <v>4012944.82</v>
      </c>
      <c r="F1685" s="1">
        <v>131241.97</v>
      </c>
      <c r="G1685" s="1">
        <v>20222</v>
      </c>
      <c r="H1685" s="1">
        <v>198.44450699999999</v>
      </c>
    </row>
    <row r="1686" spans="1:8" ht="15.75" thickBot="1" x14ac:dyDescent="0.3">
      <c r="A1686" s="1">
        <v>2014</v>
      </c>
      <c r="B1686" s="1" t="s">
        <v>14</v>
      </c>
      <c r="C1686" s="1" t="s">
        <v>18</v>
      </c>
      <c r="D1686" s="1" t="s">
        <v>27</v>
      </c>
      <c r="E1686" s="1">
        <v>22475180.73</v>
      </c>
      <c r="F1686" s="1">
        <v>857412.71</v>
      </c>
      <c r="G1686" s="1">
        <v>496925</v>
      </c>
      <c r="H1686" s="1">
        <v>45.228516839999998</v>
      </c>
    </row>
    <row r="1687" spans="1:8" ht="15.75" thickBot="1" x14ac:dyDescent="0.3">
      <c r="A1687" s="1">
        <v>2017</v>
      </c>
      <c r="B1687" s="1" t="s">
        <v>35</v>
      </c>
      <c r="C1687" s="1" t="s">
        <v>12</v>
      </c>
      <c r="D1687" s="1" t="s">
        <v>10</v>
      </c>
      <c r="E1687" s="1">
        <v>-198.48</v>
      </c>
      <c r="F1687" s="1">
        <v>140.69</v>
      </c>
      <c r="G1687" s="1">
        <v>438</v>
      </c>
      <c r="H1687" s="1">
        <v>-0.45315068489999999</v>
      </c>
    </row>
    <row r="1688" spans="1:8" ht="15.75" thickBot="1" x14ac:dyDescent="0.3">
      <c r="A1688" s="1">
        <v>2017</v>
      </c>
      <c r="B1688" s="1" t="s">
        <v>16</v>
      </c>
      <c r="C1688" s="1" t="s">
        <v>33</v>
      </c>
      <c r="D1688" s="1" t="s">
        <v>31</v>
      </c>
      <c r="E1688" s="1">
        <v>11457624.880000001</v>
      </c>
      <c r="F1688" s="1">
        <v>419719.2</v>
      </c>
      <c r="G1688" s="1">
        <v>232702</v>
      </c>
      <c r="H1688" s="1">
        <v>49.237328769999998</v>
      </c>
    </row>
    <row r="1689" spans="1:8" ht="15.75" thickBot="1" x14ac:dyDescent="0.3">
      <c r="A1689" s="1">
        <v>2017</v>
      </c>
      <c r="B1689" s="1" t="s">
        <v>20</v>
      </c>
      <c r="C1689" s="1" t="s">
        <v>12</v>
      </c>
      <c r="D1689" s="1" t="s">
        <v>10</v>
      </c>
      <c r="E1689" s="1">
        <v>1284541.42</v>
      </c>
      <c r="F1689" s="1">
        <v>55329.84</v>
      </c>
      <c r="G1689" s="1">
        <v>54308</v>
      </c>
      <c r="H1689" s="1">
        <v>23.652894969999998</v>
      </c>
    </row>
    <row r="1690" spans="1:8" ht="15.75" thickBot="1" x14ac:dyDescent="0.3">
      <c r="A1690" s="1">
        <v>2016</v>
      </c>
      <c r="B1690" s="1" t="s">
        <v>40</v>
      </c>
      <c r="C1690" s="1" t="s">
        <v>9</v>
      </c>
      <c r="D1690" s="1" t="s">
        <v>27</v>
      </c>
      <c r="E1690" s="1">
        <v>7754.47</v>
      </c>
      <c r="F1690" s="1">
        <v>280.27</v>
      </c>
      <c r="G1690" s="1">
        <v>65</v>
      </c>
      <c r="H1690" s="1">
        <v>119.2995385</v>
      </c>
    </row>
    <row r="1691" spans="1:8" ht="15.75" thickBot="1" x14ac:dyDescent="0.3">
      <c r="A1691" s="1">
        <v>2014</v>
      </c>
      <c r="B1691" s="1" t="s">
        <v>12</v>
      </c>
      <c r="C1691" s="1" t="s">
        <v>18</v>
      </c>
      <c r="D1691" s="1" t="s">
        <v>19</v>
      </c>
      <c r="E1691" s="1">
        <v>1590417.94</v>
      </c>
      <c r="F1691" s="1">
        <v>47113.4</v>
      </c>
      <c r="G1691" s="1">
        <v>6874</v>
      </c>
      <c r="H1691" s="1">
        <v>231.36717200000001</v>
      </c>
    </row>
    <row r="1692" spans="1:8" ht="15.75" thickBot="1" x14ac:dyDescent="0.3">
      <c r="A1692" s="1">
        <v>2015</v>
      </c>
      <c r="B1692" s="1" t="s">
        <v>20</v>
      </c>
      <c r="C1692" s="1" t="s">
        <v>23</v>
      </c>
      <c r="D1692" s="1" t="s">
        <v>13</v>
      </c>
      <c r="E1692" s="1">
        <v>6881.39</v>
      </c>
      <c r="F1692" s="1">
        <v>261.58</v>
      </c>
      <c r="G1692" s="1">
        <v>245</v>
      </c>
      <c r="H1692" s="1">
        <v>28.087306120000001</v>
      </c>
    </row>
    <row r="1693" spans="1:8" ht="15.75" thickBot="1" x14ac:dyDescent="0.3">
      <c r="A1693" s="1">
        <v>2015</v>
      </c>
      <c r="B1693" s="1" t="s">
        <v>20</v>
      </c>
      <c r="C1693" s="1" t="s">
        <v>9</v>
      </c>
      <c r="D1693" s="1" t="s">
        <v>29</v>
      </c>
      <c r="E1693" s="1">
        <v>14559.17</v>
      </c>
      <c r="F1693" s="1">
        <v>349.78</v>
      </c>
      <c r="G1693" s="1">
        <v>149</v>
      </c>
      <c r="H1693" s="1">
        <v>97.712550340000007</v>
      </c>
    </row>
    <row r="1694" spans="1:8" ht="15.75" thickBot="1" x14ac:dyDescent="0.3">
      <c r="A1694" s="1">
        <v>2015</v>
      </c>
      <c r="B1694" s="1" t="s">
        <v>40</v>
      </c>
      <c r="C1694" s="1" t="s">
        <v>28</v>
      </c>
      <c r="D1694" s="1" t="s">
        <v>36</v>
      </c>
      <c r="E1694" s="1">
        <v>125837.5</v>
      </c>
      <c r="F1694" s="1">
        <v>919.74</v>
      </c>
      <c r="G1694" s="1">
        <v>4486</v>
      </c>
      <c r="H1694" s="1">
        <v>28.051159160000001</v>
      </c>
    </row>
    <row r="1695" spans="1:8" ht="15.75" thickBot="1" x14ac:dyDescent="0.3">
      <c r="A1695" s="1">
        <v>2017</v>
      </c>
      <c r="B1695" s="1" t="s">
        <v>40</v>
      </c>
      <c r="C1695" s="1" t="s">
        <v>15</v>
      </c>
      <c r="D1695" s="1" t="s">
        <v>27</v>
      </c>
      <c r="E1695" s="1">
        <v>16284.75</v>
      </c>
      <c r="F1695" s="1">
        <v>556.95000000000005</v>
      </c>
      <c r="G1695" s="1">
        <v>234</v>
      </c>
      <c r="H1695" s="1">
        <v>69.592948719999995</v>
      </c>
    </row>
    <row r="1696" spans="1:8" ht="15.75" thickBot="1" x14ac:dyDescent="0.3">
      <c r="A1696" s="1">
        <v>2017</v>
      </c>
      <c r="B1696" s="1" t="s">
        <v>35</v>
      </c>
      <c r="C1696" s="1" t="s">
        <v>26</v>
      </c>
      <c r="D1696" s="1" t="s">
        <v>29</v>
      </c>
      <c r="E1696" s="1">
        <v>1116.99</v>
      </c>
      <c r="F1696" s="1">
        <v>34.4</v>
      </c>
      <c r="G1696" s="1">
        <v>8</v>
      </c>
      <c r="H1696" s="1">
        <v>139.62375</v>
      </c>
    </row>
    <row r="1697" spans="1:8" ht="15.75" thickBot="1" x14ac:dyDescent="0.3">
      <c r="A1697" s="1">
        <v>2017</v>
      </c>
      <c r="B1697" s="1" t="s">
        <v>16</v>
      </c>
      <c r="C1697" s="1" t="s">
        <v>18</v>
      </c>
      <c r="D1697" s="1" t="s">
        <v>10</v>
      </c>
      <c r="E1697" s="1">
        <v>4843973.2</v>
      </c>
      <c r="F1697" s="1">
        <v>182112.74</v>
      </c>
      <c r="G1697" s="1">
        <v>81069</v>
      </c>
      <c r="H1697" s="1">
        <v>59.751239069999997</v>
      </c>
    </row>
    <row r="1698" spans="1:8" ht="15.75" thickBot="1" x14ac:dyDescent="0.3">
      <c r="A1698" s="1">
        <v>2015</v>
      </c>
      <c r="B1698" s="1" t="s">
        <v>12</v>
      </c>
      <c r="C1698" s="1" t="s">
        <v>15</v>
      </c>
      <c r="D1698" s="1" t="s">
        <v>24</v>
      </c>
      <c r="E1698" s="1">
        <v>3676695.53</v>
      </c>
      <c r="F1698" s="1">
        <v>114650.16</v>
      </c>
      <c r="G1698" s="1">
        <v>8619</v>
      </c>
      <c r="H1698" s="1">
        <v>426.58029119999998</v>
      </c>
    </row>
    <row r="1699" spans="1:8" ht="15.75" thickBot="1" x14ac:dyDescent="0.3">
      <c r="A1699" s="1">
        <v>2014</v>
      </c>
      <c r="B1699" s="1" t="s">
        <v>8</v>
      </c>
      <c r="C1699" s="1" t="s">
        <v>23</v>
      </c>
      <c r="D1699" s="1" t="s">
        <v>32</v>
      </c>
      <c r="E1699" s="1">
        <v>257.88</v>
      </c>
      <c r="F1699" s="1">
        <v>10.47</v>
      </c>
      <c r="G1699" s="1">
        <v>10</v>
      </c>
      <c r="H1699" s="1">
        <v>25.788</v>
      </c>
    </row>
    <row r="1700" spans="1:8" ht="15.75" thickBot="1" x14ac:dyDescent="0.3">
      <c r="A1700" s="1">
        <v>2017</v>
      </c>
      <c r="B1700" s="1" t="s">
        <v>40</v>
      </c>
      <c r="C1700" s="1" t="s">
        <v>12</v>
      </c>
      <c r="D1700" s="1" t="s">
        <v>13</v>
      </c>
      <c r="E1700" s="1">
        <v>491.94</v>
      </c>
      <c r="F1700" s="1">
        <v>9.74</v>
      </c>
      <c r="G1700" s="1">
        <v>21</v>
      </c>
      <c r="H1700" s="1">
        <v>23.425714289999998</v>
      </c>
    </row>
    <row r="1701" spans="1:8" ht="15.75" thickBot="1" x14ac:dyDescent="0.3">
      <c r="A1701" s="1">
        <v>2017</v>
      </c>
      <c r="B1701" s="1" t="s">
        <v>16</v>
      </c>
      <c r="C1701" s="1" t="s">
        <v>9</v>
      </c>
      <c r="D1701" s="1" t="s">
        <v>24</v>
      </c>
      <c r="E1701" s="1">
        <v>47743622.659999996</v>
      </c>
      <c r="F1701" s="1">
        <v>1562171.7</v>
      </c>
      <c r="G1701" s="1">
        <v>147718</v>
      </c>
      <c r="H1701" s="1">
        <v>323.20788709999999</v>
      </c>
    </row>
    <row r="1702" spans="1:8" ht="15.75" thickBot="1" x14ac:dyDescent="0.3">
      <c r="A1702" s="1">
        <v>2015</v>
      </c>
      <c r="B1702" s="1" t="s">
        <v>16</v>
      </c>
      <c r="C1702" s="1" t="s">
        <v>25</v>
      </c>
      <c r="D1702" s="1" t="s">
        <v>31</v>
      </c>
      <c r="E1702" s="1">
        <v>5077087.3499999996</v>
      </c>
      <c r="F1702" s="1">
        <v>191224.14</v>
      </c>
      <c r="G1702" s="1">
        <v>105092</v>
      </c>
      <c r="H1702" s="1">
        <v>48.310883320000002</v>
      </c>
    </row>
    <row r="1703" spans="1:8" ht="15.75" thickBot="1" x14ac:dyDescent="0.3">
      <c r="A1703" s="1">
        <v>2016</v>
      </c>
      <c r="B1703" s="1" t="s">
        <v>35</v>
      </c>
      <c r="C1703" s="1" t="s">
        <v>28</v>
      </c>
      <c r="D1703" s="1" t="s">
        <v>13</v>
      </c>
      <c r="E1703" s="1">
        <v>-21.19</v>
      </c>
      <c r="F1703" s="1">
        <v>0</v>
      </c>
      <c r="G1703" s="1">
        <v>17</v>
      </c>
      <c r="H1703" s="1">
        <v>-1.246470588</v>
      </c>
    </row>
    <row r="1704" spans="1:8" ht="15.75" thickBot="1" x14ac:dyDescent="0.3">
      <c r="A1704" s="1">
        <v>2017</v>
      </c>
      <c r="B1704" s="1" t="s">
        <v>12</v>
      </c>
      <c r="C1704" s="1" t="s">
        <v>9</v>
      </c>
      <c r="D1704" s="1" t="s">
        <v>19</v>
      </c>
      <c r="E1704" s="1">
        <v>52815.41</v>
      </c>
      <c r="F1704" s="1">
        <v>1151.92</v>
      </c>
      <c r="G1704" s="1">
        <v>1287</v>
      </c>
      <c r="H1704" s="1">
        <v>41.037614609999999</v>
      </c>
    </row>
    <row r="1705" spans="1:8" ht="15.75" thickBot="1" x14ac:dyDescent="0.3">
      <c r="A1705" s="1">
        <v>2017</v>
      </c>
      <c r="B1705" s="1" t="s">
        <v>16</v>
      </c>
      <c r="C1705" s="1" t="s">
        <v>9</v>
      </c>
      <c r="D1705" s="1" t="s">
        <v>22</v>
      </c>
      <c r="E1705" s="1">
        <v>82.66</v>
      </c>
      <c r="F1705" s="1">
        <v>3.24</v>
      </c>
      <c r="G1705" s="1">
        <v>332</v>
      </c>
      <c r="H1705" s="1">
        <v>0.24897590359999999</v>
      </c>
    </row>
    <row r="1706" spans="1:8" ht="15.75" thickBot="1" x14ac:dyDescent="0.3">
      <c r="A1706" s="1">
        <v>2015</v>
      </c>
      <c r="B1706" s="1" t="s">
        <v>35</v>
      </c>
      <c r="C1706" s="1" t="s">
        <v>23</v>
      </c>
      <c r="D1706" s="1" t="s">
        <v>13</v>
      </c>
      <c r="E1706" s="1">
        <v>0</v>
      </c>
      <c r="F1706" s="1">
        <v>0</v>
      </c>
      <c r="G1706" s="1">
        <v>1</v>
      </c>
      <c r="H1706" s="1">
        <v>0</v>
      </c>
    </row>
    <row r="1707" spans="1:8" ht="15.75" thickBot="1" x14ac:dyDescent="0.3">
      <c r="A1707" s="1">
        <v>2015</v>
      </c>
      <c r="B1707" s="1" t="s">
        <v>12</v>
      </c>
      <c r="C1707" s="1" t="s">
        <v>9</v>
      </c>
      <c r="D1707" s="1" t="s">
        <v>10</v>
      </c>
      <c r="E1707" s="1">
        <v>1361.38</v>
      </c>
      <c r="F1707" s="1">
        <v>71.099999999999994</v>
      </c>
      <c r="G1707" s="1">
        <v>1116</v>
      </c>
      <c r="H1707" s="1">
        <v>1.2198745520000001</v>
      </c>
    </row>
    <row r="1708" spans="1:8" ht="15.75" thickBot="1" x14ac:dyDescent="0.3">
      <c r="A1708" s="1">
        <v>2017</v>
      </c>
      <c r="B1708" s="1" t="s">
        <v>35</v>
      </c>
      <c r="C1708" s="1" t="s">
        <v>33</v>
      </c>
      <c r="D1708" s="1" t="s">
        <v>24</v>
      </c>
      <c r="E1708" s="1">
        <v>4355.57</v>
      </c>
      <c r="F1708" s="1">
        <v>80.099999999999994</v>
      </c>
      <c r="G1708" s="1">
        <v>49</v>
      </c>
      <c r="H1708" s="1">
        <v>88.889183669999994</v>
      </c>
    </row>
    <row r="1709" spans="1:8" ht="15.75" thickBot="1" x14ac:dyDescent="0.3">
      <c r="A1709" s="1">
        <v>2015</v>
      </c>
      <c r="B1709" s="1" t="s">
        <v>17</v>
      </c>
      <c r="C1709" s="1" t="s">
        <v>21</v>
      </c>
      <c r="D1709" s="1" t="s">
        <v>24</v>
      </c>
      <c r="E1709" s="1">
        <v>29543099.98</v>
      </c>
      <c r="F1709" s="1">
        <v>1020154.56</v>
      </c>
      <c r="G1709" s="1">
        <v>131913</v>
      </c>
      <c r="H1709" s="1">
        <v>223.9589728</v>
      </c>
    </row>
    <row r="1710" spans="1:8" ht="15.75" thickBot="1" x14ac:dyDescent="0.3">
      <c r="A1710" s="1">
        <v>2014</v>
      </c>
      <c r="B1710" s="1" t="s">
        <v>14</v>
      </c>
      <c r="C1710" s="1" t="s">
        <v>26</v>
      </c>
      <c r="D1710" s="1" t="s">
        <v>10</v>
      </c>
      <c r="E1710" s="1">
        <v>1790741.32</v>
      </c>
      <c r="F1710" s="1">
        <v>66886.59</v>
      </c>
      <c r="G1710" s="1">
        <v>34576</v>
      </c>
      <c r="H1710" s="1">
        <v>51.791454190000003</v>
      </c>
    </row>
    <row r="1711" spans="1:8" ht="15.75" thickBot="1" x14ac:dyDescent="0.3">
      <c r="A1711" s="1">
        <v>2017</v>
      </c>
      <c r="B1711" s="1" t="s">
        <v>40</v>
      </c>
      <c r="C1711" s="1" t="s">
        <v>21</v>
      </c>
      <c r="D1711" s="1" t="s">
        <v>13</v>
      </c>
      <c r="E1711" s="1">
        <v>6735.29</v>
      </c>
      <c r="F1711" s="1">
        <v>29.39</v>
      </c>
      <c r="G1711" s="1">
        <v>59</v>
      </c>
      <c r="H1711" s="1">
        <v>114.1574576</v>
      </c>
    </row>
    <row r="1712" spans="1:8" ht="15.75" thickBot="1" x14ac:dyDescent="0.3">
      <c r="A1712" s="1">
        <v>2015</v>
      </c>
      <c r="B1712" s="1" t="s">
        <v>16</v>
      </c>
      <c r="C1712" s="1" t="s">
        <v>18</v>
      </c>
      <c r="D1712" s="1" t="s">
        <v>31</v>
      </c>
      <c r="E1712" s="1">
        <v>606075.59</v>
      </c>
      <c r="F1712" s="1">
        <v>23072.34</v>
      </c>
      <c r="G1712" s="1">
        <v>11800</v>
      </c>
      <c r="H1712" s="1">
        <v>51.362338139999999</v>
      </c>
    </row>
    <row r="1713" spans="1:8" ht="15.75" thickBot="1" x14ac:dyDescent="0.3">
      <c r="A1713" s="1">
        <v>2017</v>
      </c>
      <c r="B1713" s="1" t="s">
        <v>20</v>
      </c>
      <c r="C1713" s="1" t="s">
        <v>25</v>
      </c>
      <c r="D1713" s="1" t="s">
        <v>10</v>
      </c>
      <c r="E1713" s="1">
        <v>1325590.1599999999</v>
      </c>
      <c r="F1713" s="1">
        <v>59859.08</v>
      </c>
      <c r="G1713" s="1">
        <v>62601</v>
      </c>
      <c r="H1713" s="1">
        <v>21.1752234</v>
      </c>
    </row>
    <row r="1714" spans="1:8" ht="15.75" thickBot="1" x14ac:dyDescent="0.3">
      <c r="A1714" s="1">
        <v>2014</v>
      </c>
      <c r="B1714" s="1" t="s">
        <v>30</v>
      </c>
      <c r="C1714" s="1" t="s">
        <v>9</v>
      </c>
      <c r="D1714" s="1" t="s">
        <v>24</v>
      </c>
      <c r="E1714" s="1">
        <v>16607340.68</v>
      </c>
      <c r="F1714" s="1">
        <v>537608.73</v>
      </c>
      <c r="G1714" s="1">
        <v>81760</v>
      </c>
      <c r="H1714" s="1">
        <v>203.12305140000001</v>
      </c>
    </row>
    <row r="1715" spans="1:8" ht="15.75" thickBot="1" x14ac:dyDescent="0.3">
      <c r="A1715" s="1">
        <v>2014</v>
      </c>
      <c r="B1715" s="1" t="s">
        <v>14</v>
      </c>
      <c r="C1715" s="1" t="s">
        <v>12</v>
      </c>
      <c r="D1715" s="1" t="s">
        <v>19</v>
      </c>
      <c r="E1715" s="1">
        <v>34979308.469999999</v>
      </c>
      <c r="F1715" s="1">
        <v>1203270.26</v>
      </c>
      <c r="G1715" s="1">
        <v>231504</v>
      </c>
      <c r="H1715" s="1">
        <v>151.09591399999999</v>
      </c>
    </row>
    <row r="1716" spans="1:8" ht="15.75" thickBot="1" x14ac:dyDescent="0.3">
      <c r="A1716" s="1">
        <v>2015</v>
      </c>
      <c r="B1716" s="1" t="s">
        <v>12</v>
      </c>
      <c r="C1716" s="1" t="s">
        <v>9</v>
      </c>
      <c r="D1716" s="1" t="s">
        <v>27</v>
      </c>
      <c r="E1716" s="1">
        <v>61302.51</v>
      </c>
      <c r="F1716" s="1">
        <v>2187.62</v>
      </c>
      <c r="G1716" s="1">
        <v>4291</v>
      </c>
      <c r="H1716" s="1">
        <v>14.286299229999999</v>
      </c>
    </row>
    <row r="1717" spans="1:8" ht="15.75" thickBot="1" x14ac:dyDescent="0.3">
      <c r="A1717" s="1">
        <v>2017</v>
      </c>
      <c r="B1717" s="1" t="s">
        <v>12</v>
      </c>
      <c r="C1717" s="1" t="s">
        <v>15</v>
      </c>
      <c r="D1717" s="1" t="s">
        <v>34</v>
      </c>
      <c r="E1717" s="1">
        <v>12093.02</v>
      </c>
      <c r="F1717" s="1">
        <v>431.31</v>
      </c>
      <c r="G1717" s="1">
        <v>358</v>
      </c>
      <c r="H1717" s="1">
        <v>33.779385470000001</v>
      </c>
    </row>
    <row r="1718" spans="1:8" ht="15.75" thickBot="1" x14ac:dyDescent="0.3">
      <c r="A1718" s="1">
        <v>2014</v>
      </c>
      <c r="B1718" s="1" t="s">
        <v>8</v>
      </c>
      <c r="C1718" s="1" t="s">
        <v>23</v>
      </c>
      <c r="D1718" s="1" t="s">
        <v>19</v>
      </c>
      <c r="E1718" s="1">
        <v>1095.95</v>
      </c>
      <c r="F1718" s="1">
        <v>13.64</v>
      </c>
      <c r="G1718" s="1">
        <v>24</v>
      </c>
      <c r="H1718" s="1">
        <v>45.664583329999999</v>
      </c>
    </row>
    <row r="1719" spans="1:8" ht="15.75" thickBot="1" x14ac:dyDescent="0.3">
      <c r="A1719" s="1">
        <v>2017</v>
      </c>
      <c r="B1719" s="1" t="s">
        <v>16</v>
      </c>
      <c r="C1719" s="1" t="s">
        <v>9</v>
      </c>
      <c r="D1719" s="1" t="s">
        <v>34</v>
      </c>
      <c r="E1719" s="1">
        <v>439.3</v>
      </c>
      <c r="F1719" s="1">
        <v>20.059999999999999</v>
      </c>
      <c r="G1719" s="1">
        <v>226</v>
      </c>
      <c r="H1719" s="1">
        <v>1.9438053099999999</v>
      </c>
    </row>
    <row r="1720" spans="1:8" ht="15.75" thickBot="1" x14ac:dyDescent="0.3">
      <c r="A1720" s="1">
        <v>2017</v>
      </c>
      <c r="B1720" s="1" t="s">
        <v>35</v>
      </c>
      <c r="C1720" s="1" t="s">
        <v>26</v>
      </c>
      <c r="D1720" s="1" t="s">
        <v>19</v>
      </c>
      <c r="E1720" s="1">
        <v>8466.6</v>
      </c>
      <c r="F1720" s="1">
        <v>220.48</v>
      </c>
      <c r="G1720" s="1">
        <v>293</v>
      </c>
      <c r="H1720" s="1">
        <v>28.89624573</v>
      </c>
    </row>
    <row r="1721" spans="1:8" ht="15.75" thickBot="1" x14ac:dyDescent="0.3">
      <c r="A1721" s="1">
        <v>2015</v>
      </c>
      <c r="B1721" s="1" t="s">
        <v>35</v>
      </c>
      <c r="C1721" s="1" t="s">
        <v>9</v>
      </c>
      <c r="D1721" s="1" t="s">
        <v>13</v>
      </c>
      <c r="E1721" s="1">
        <v>0</v>
      </c>
      <c r="F1721" s="1">
        <v>0</v>
      </c>
      <c r="G1721" s="1">
        <v>3</v>
      </c>
      <c r="H1721" s="1">
        <v>0</v>
      </c>
    </row>
    <row r="1722" spans="1:8" ht="15.75" thickBot="1" x14ac:dyDescent="0.3">
      <c r="A1722" s="1">
        <v>2015</v>
      </c>
      <c r="B1722" s="1" t="s">
        <v>16</v>
      </c>
      <c r="C1722" s="1" t="s">
        <v>18</v>
      </c>
      <c r="D1722" s="1" t="s">
        <v>22</v>
      </c>
      <c r="E1722" s="1">
        <v>12668.66</v>
      </c>
      <c r="F1722" s="1">
        <v>385.15</v>
      </c>
      <c r="G1722" s="1">
        <v>848</v>
      </c>
      <c r="H1722" s="1">
        <v>14.93945755</v>
      </c>
    </row>
    <row r="1723" spans="1:8" ht="15.75" thickBot="1" x14ac:dyDescent="0.3">
      <c r="A1723" s="1">
        <v>2016</v>
      </c>
      <c r="B1723" s="1" t="s">
        <v>17</v>
      </c>
      <c r="C1723" s="1" t="s">
        <v>9</v>
      </c>
      <c r="D1723" s="1" t="s">
        <v>24</v>
      </c>
      <c r="E1723" s="1">
        <v>86675.62</v>
      </c>
      <c r="F1723" s="1">
        <v>1255</v>
      </c>
      <c r="G1723" s="1">
        <v>635</v>
      </c>
      <c r="H1723" s="1">
        <v>136.49703940000001</v>
      </c>
    </row>
    <row r="1724" spans="1:8" ht="15.75" thickBot="1" x14ac:dyDescent="0.3">
      <c r="A1724" s="1">
        <v>2017</v>
      </c>
      <c r="B1724" s="1" t="s">
        <v>11</v>
      </c>
      <c r="C1724" s="1" t="s">
        <v>28</v>
      </c>
      <c r="D1724" s="1" t="s">
        <v>10</v>
      </c>
      <c r="E1724" s="1">
        <v>518642521.89999998</v>
      </c>
      <c r="F1724" s="1">
        <v>11691234</v>
      </c>
      <c r="G1724" s="1">
        <v>7683788</v>
      </c>
      <c r="H1724" s="1">
        <v>67.498286250000007</v>
      </c>
    </row>
    <row r="1725" spans="1:8" ht="15.75" thickBot="1" x14ac:dyDescent="0.3">
      <c r="A1725" s="1">
        <v>2015</v>
      </c>
      <c r="B1725" s="1" t="s">
        <v>30</v>
      </c>
      <c r="C1725" s="1" t="s">
        <v>18</v>
      </c>
      <c r="D1725" s="1" t="s">
        <v>27</v>
      </c>
      <c r="E1725" s="1">
        <v>77328541.25</v>
      </c>
      <c r="F1725" s="1">
        <v>2562583.67</v>
      </c>
      <c r="G1725" s="1">
        <v>719182</v>
      </c>
      <c r="H1725" s="1">
        <v>107.5229097</v>
      </c>
    </row>
    <row r="1726" spans="1:8" ht="15.75" thickBot="1" x14ac:dyDescent="0.3">
      <c r="A1726" s="1">
        <v>2016</v>
      </c>
      <c r="B1726" s="1" t="s">
        <v>40</v>
      </c>
      <c r="C1726" s="1" t="s">
        <v>9</v>
      </c>
      <c r="D1726" s="1" t="s">
        <v>19</v>
      </c>
      <c r="E1726" s="1">
        <v>20</v>
      </c>
      <c r="F1726" s="1">
        <v>0.88</v>
      </c>
      <c r="G1726" s="1">
        <v>1</v>
      </c>
      <c r="H1726" s="1">
        <v>20</v>
      </c>
    </row>
    <row r="1727" spans="1:8" ht="15.75" thickBot="1" x14ac:dyDescent="0.3">
      <c r="A1727" s="1">
        <v>2016</v>
      </c>
      <c r="B1727" s="1" t="s">
        <v>20</v>
      </c>
      <c r="C1727" s="1" t="s">
        <v>21</v>
      </c>
      <c r="D1727" s="1" t="s">
        <v>32</v>
      </c>
      <c r="E1727" s="1">
        <v>6320512.0999999996</v>
      </c>
      <c r="F1727" s="1">
        <v>256179.41</v>
      </c>
      <c r="G1727" s="1">
        <v>223019</v>
      </c>
      <c r="H1727" s="1">
        <v>28.340688910000001</v>
      </c>
    </row>
    <row r="1728" spans="1:8" ht="15.75" thickBot="1" x14ac:dyDescent="0.3">
      <c r="A1728" s="1">
        <v>2016</v>
      </c>
      <c r="B1728" s="1" t="s">
        <v>11</v>
      </c>
      <c r="C1728" s="1" t="s">
        <v>9</v>
      </c>
      <c r="D1728" s="1" t="s">
        <v>22</v>
      </c>
      <c r="E1728" s="1">
        <v>2638.45</v>
      </c>
      <c r="F1728" s="1">
        <v>63.01</v>
      </c>
      <c r="G1728" s="1">
        <v>262</v>
      </c>
      <c r="H1728" s="1">
        <v>10.07041985</v>
      </c>
    </row>
    <row r="1729" spans="1:8" ht="15.75" thickBot="1" x14ac:dyDescent="0.3">
      <c r="A1729" s="1">
        <v>2014</v>
      </c>
      <c r="B1729" s="1" t="s">
        <v>14</v>
      </c>
      <c r="C1729" s="1" t="s">
        <v>18</v>
      </c>
      <c r="D1729" s="1" t="s">
        <v>19</v>
      </c>
      <c r="E1729" s="1">
        <v>8747316.5199999996</v>
      </c>
      <c r="F1729" s="1">
        <v>284537.23</v>
      </c>
      <c r="G1729" s="1">
        <v>47283</v>
      </c>
      <c r="H1729" s="1">
        <v>184.9991862</v>
      </c>
    </row>
    <row r="1730" spans="1:8" ht="15.75" thickBot="1" x14ac:dyDescent="0.3">
      <c r="A1730" s="1">
        <v>2015</v>
      </c>
      <c r="B1730" s="1" t="s">
        <v>35</v>
      </c>
      <c r="C1730" s="1" t="s">
        <v>15</v>
      </c>
      <c r="D1730" s="1" t="s">
        <v>31</v>
      </c>
      <c r="E1730" s="1">
        <v>78.45</v>
      </c>
      <c r="F1730" s="1">
        <v>2.58</v>
      </c>
      <c r="G1730" s="1">
        <v>9</v>
      </c>
      <c r="H1730" s="1">
        <v>8.7166666670000001</v>
      </c>
    </row>
    <row r="1731" spans="1:8" ht="15.75" thickBot="1" x14ac:dyDescent="0.3">
      <c r="A1731" s="1">
        <v>2015</v>
      </c>
      <c r="B1731" s="1" t="s">
        <v>30</v>
      </c>
      <c r="C1731" s="1" t="s">
        <v>25</v>
      </c>
      <c r="D1731" s="1" t="s">
        <v>29</v>
      </c>
      <c r="E1731" s="1">
        <v>10487482.58</v>
      </c>
      <c r="F1731" s="1">
        <v>345393.73</v>
      </c>
      <c r="G1731" s="1">
        <v>60157</v>
      </c>
      <c r="H1731" s="1">
        <v>174.33519920000001</v>
      </c>
    </row>
    <row r="1732" spans="1:8" ht="15.75" thickBot="1" x14ac:dyDescent="0.3">
      <c r="A1732" s="1">
        <v>2015</v>
      </c>
      <c r="B1732" s="1" t="s">
        <v>40</v>
      </c>
      <c r="C1732" s="1" t="s">
        <v>33</v>
      </c>
      <c r="D1732" s="1" t="s">
        <v>32</v>
      </c>
      <c r="E1732" s="1">
        <v>6439.6</v>
      </c>
      <c r="F1732" s="1">
        <v>285.89</v>
      </c>
      <c r="G1732" s="1">
        <v>146</v>
      </c>
      <c r="H1732" s="1">
        <v>44.106849320000002</v>
      </c>
    </row>
    <row r="1733" spans="1:8" ht="15.75" thickBot="1" x14ac:dyDescent="0.3">
      <c r="A1733" s="1">
        <v>2014</v>
      </c>
      <c r="B1733" s="1" t="s">
        <v>8</v>
      </c>
      <c r="C1733" s="1" t="s">
        <v>15</v>
      </c>
      <c r="D1733" s="1" t="s">
        <v>19</v>
      </c>
      <c r="E1733" s="1">
        <v>9749.52</v>
      </c>
      <c r="F1733" s="1">
        <v>192.77</v>
      </c>
      <c r="G1733" s="1">
        <v>49</v>
      </c>
      <c r="H1733" s="1">
        <v>198.96979590000001</v>
      </c>
    </row>
    <row r="1734" spans="1:8" ht="15.75" thickBot="1" x14ac:dyDescent="0.3">
      <c r="A1734" s="1">
        <v>2017</v>
      </c>
      <c r="B1734" s="1" t="s">
        <v>12</v>
      </c>
      <c r="C1734" s="1" t="s">
        <v>28</v>
      </c>
      <c r="D1734" s="1" t="s">
        <v>31</v>
      </c>
      <c r="E1734" s="1">
        <v>410627.84000000003</v>
      </c>
      <c r="F1734" s="1">
        <v>11090.53</v>
      </c>
      <c r="G1734" s="1">
        <v>6136</v>
      </c>
      <c r="H1734" s="1">
        <v>66.921095179999995</v>
      </c>
    </row>
    <row r="1735" spans="1:8" ht="15.75" thickBot="1" x14ac:dyDescent="0.3">
      <c r="A1735" s="1">
        <v>2017</v>
      </c>
      <c r="B1735" s="1" t="s">
        <v>14</v>
      </c>
      <c r="C1735" s="1" t="s">
        <v>9</v>
      </c>
      <c r="D1735" s="1" t="s">
        <v>32</v>
      </c>
      <c r="E1735" s="1">
        <v>390363.19</v>
      </c>
      <c r="F1735" s="1">
        <v>11501.94</v>
      </c>
      <c r="G1735" s="1">
        <v>57219</v>
      </c>
      <c r="H1735" s="1">
        <v>6.8222651570000004</v>
      </c>
    </row>
    <row r="1736" spans="1:8" ht="15.75" thickBot="1" x14ac:dyDescent="0.3">
      <c r="A1736" s="1">
        <v>2015</v>
      </c>
      <c r="B1736" s="1" t="s">
        <v>17</v>
      </c>
      <c r="C1736" s="1" t="s">
        <v>28</v>
      </c>
      <c r="D1736" s="1" t="s">
        <v>27</v>
      </c>
      <c r="E1736" s="1">
        <v>562902724.39999998</v>
      </c>
      <c r="F1736" s="1">
        <v>17656330.789999999</v>
      </c>
      <c r="G1736" s="1">
        <v>5581716</v>
      </c>
      <c r="H1736" s="1">
        <v>100.84761109999999</v>
      </c>
    </row>
    <row r="1737" spans="1:8" ht="15.75" thickBot="1" x14ac:dyDescent="0.3">
      <c r="A1737" s="1">
        <v>2015</v>
      </c>
      <c r="B1737" s="1" t="s">
        <v>20</v>
      </c>
      <c r="C1737" s="1" t="s">
        <v>18</v>
      </c>
      <c r="D1737" s="1" t="s">
        <v>29</v>
      </c>
      <c r="E1737" s="1">
        <v>513748.17</v>
      </c>
      <c r="F1737" s="1">
        <v>16495.63</v>
      </c>
      <c r="G1737" s="1">
        <v>3971</v>
      </c>
      <c r="H1737" s="1">
        <v>129.37501130000001</v>
      </c>
    </row>
    <row r="1738" spans="1:8" ht="15.75" thickBot="1" x14ac:dyDescent="0.3">
      <c r="A1738" s="1">
        <v>2017</v>
      </c>
      <c r="B1738" s="1" t="s">
        <v>20</v>
      </c>
      <c r="C1738" s="1" t="s">
        <v>23</v>
      </c>
      <c r="D1738" s="1" t="s">
        <v>22</v>
      </c>
      <c r="E1738" s="1">
        <v>63.48</v>
      </c>
      <c r="F1738" s="1">
        <v>2.4300000000000002</v>
      </c>
      <c r="G1738" s="1">
        <v>7</v>
      </c>
      <c r="H1738" s="1">
        <v>9.0685714290000004</v>
      </c>
    </row>
    <row r="1739" spans="1:8" ht="15.75" thickBot="1" x14ac:dyDescent="0.3">
      <c r="A1739" s="1">
        <v>2017</v>
      </c>
      <c r="B1739" s="1" t="s">
        <v>12</v>
      </c>
      <c r="C1739" s="1" t="s">
        <v>28</v>
      </c>
      <c r="D1739" s="1" t="s">
        <v>22</v>
      </c>
      <c r="E1739" s="1">
        <v>534.77</v>
      </c>
      <c r="F1739" s="1">
        <v>30.66</v>
      </c>
      <c r="G1739" s="1">
        <v>70</v>
      </c>
      <c r="H1739" s="1">
        <v>7.6395714290000001</v>
      </c>
    </row>
    <row r="1740" spans="1:8" ht="15.75" thickBot="1" x14ac:dyDescent="0.3">
      <c r="A1740" s="1">
        <v>2015</v>
      </c>
      <c r="B1740" s="1" t="s">
        <v>17</v>
      </c>
      <c r="C1740" s="1" t="s">
        <v>33</v>
      </c>
      <c r="D1740" s="1" t="s">
        <v>24</v>
      </c>
      <c r="E1740" s="1">
        <v>28152051.420000002</v>
      </c>
      <c r="F1740" s="1">
        <v>970455.6</v>
      </c>
      <c r="G1740" s="1">
        <v>122463</v>
      </c>
      <c r="H1740" s="1">
        <v>229.88209839999999</v>
      </c>
    </row>
    <row r="1741" spans="1:8" ht="15.75" thickBot="1" x14ac:dyDescent="0.3">
      <c r="A1741" s="1">
        <v>2017</v>
      </c>
      <c r="B1741" s="1" t="s">
        <v>30</v>
      </c>
      <c r="C1741" s="1" t="s">
        <v>9</v>
      </c>
      <c r="D1741" s="1" t="s">
        <v>29</v>
      </c>
      <c r="E1741" s="1">
        <v>84884.56</v>
      </c>
      <c r="F1741" s="1">
        <v>1386.72</v>
      </c>
      <c r="G1741" s="1">
        <v>638</v>
      </c>
      <c r="H1741" s="1">
        <v>133.04789969999999</v>
      </c>
    </row>
    <row r="1742" spans="1:8" ht="15.75" thickBot="1" x14ac:dyDescent="0.3">
      <c r="A1742" s="1">
        <v>2016</v>
      </c>
      <c r="B1742" s="1" t="s">
        <v>17</v>
      </c>
      <c r="C1742" s="1" t="s">
        <v>25</v>
      </c>
      <c r="D1742" s="1" t="s">
        <v>10</v>
      </c>
      <c r="E1742" s="1">
        <v>86677773.239999995</v>
      </c>
      <c r="F1742" s="1">
        <v>2755412.38</v>
      </c>
      <c r="G1742" s="1">
        <v>1689788</v>
      </c>
      <c r="H1742" s="1">
        <v>51.295057870000001</v>
      </c>
    </row>
    <row r="1743" spans="1:8" ht="15.75" thickBot="1" x14ac:dyDescent="0.3">
      <c r="A1743" s="1">
        <v>2017</v>
      </c>
      <c r="B1743" s="1" t="s">
        <v>17</v>
      </c>
      <c r="C1743" s="1" t="s">
        <v>21</v>
      </c>
      <c r="D1743" s="1" t="s">
        <v>34</v>
      </c>
      <c r="E1743" s="1">
        <v>2003931.62</v>
      </c>
      <c r="F1743" s="1">
        <v>69254.12</v>
      </c>
      <c r="G1743" s="1">
        <v>47294</v>
      </c>
      <c r="H1743" s="1">
        <v>42.371793889999999</v>
      </c>
    </row>
    <row r="1744" spans="1:8" ht="15.75" thickBot="1" x14ac:dyDescent="0.3">
      <c r="A1744" s="1">
        <v>2014</v>
      </c>
      <c r="B1744" s="1" t="s">
        <v>17</v>
      </c>
      <c r="C1744" s="1" t="s">
        <v>18</v>
      </c>
      <c r="D1744" s="1" t="s">
        <v>22</v>
      </c>
      <c r="E1744" s="1">
        <v>75357.070000000007</v>
      </c>
      <c r="F1744" s="1">
        <v>2391.81</v>
      </c>
      <c r="G1744" s="1">
        <v>6574</v>
      </c>
      <c r="H1744" s="1">
        <v>11.462894739999999</v>
      </c>
    </row>
    <row r="1745" spans="1:8" ht="15.75" thickBot="1" x14ac:dyDescent="0.3">
      <c r="A1745" s="1">
        <v>2015</v>
      </c>
      <c r="B1745" s="1" t="s">
        <v>20</v>
      </c>
      <c r="C1745" s="1" t="s">
        <v>23</v>
      </c>
      <c r="D1745" s="1" t="s">
        <v>31</v>
      </c>
      <c r="E1745" s="1">
        <v>10841.64</v>
      </c>
      <c r="F1745" s="1">
        <v>449.26</v>
      </c>
      <c r="G1745" s="1">
        <v>265433</v>
      </c>
      <c r="H1745" s="1">
        <v>4.0845109689999999E-2</v>
      </c>
    </row>
    <row r="1746" spans="1:8" ht="15.75" thickBot="1" x14ac:dyDescent="0.3">
      <c r="A1746" s="1">
        <v>2017</v>
      </c>
      <c r="B1746" s="1" t="s">
        <v>16</v>
      </c>
      <c r="C1746" s="1" t="s">
        <v>21</v>
      </c>
      <c r="D1746" s="1" t="s">
        <v>34</v>
      </c>
      <c r="E1746" s="1">
        <v>1449579.7</v>
      </c>
      <c r="F1746" s="1">
        <v>54595.28</v>
      </c>
      <c r="G1746" s="1">
        <v>36166</v>
      </c>
      <c r="H1746" s="1">
        <v>40.08128353</v>
      </c>
    </row>
    <row r="1747" spans="1:8" ht="15.75" thickBot="1" x14ac:dyDescent="0.3">
      <c r="A1747" s="1">
        <v>2017</v>
      </c>
      <c r="B1747" s="1" t="s">
        <v>14</v>
      </c>
      <c r="C1747" s="1" t="s">
        <v>18</v>
      </c>
      <c r="D1747" s="1" t="s">
        <v>34</v>
      </c>
      <c r="E1747" s="1">
        <v>9497.6299999999992</v>
      </c>
      <c r="F1747" s="1">
        <v>353.44</v>
      </c>
      <c r="G1747" s="1">
        <v>315</v>
      </c>
      <c r="H1747" s="1">
        <v>30.151206349999999</v>
      </c>
    </row>
    <row r="1748" spans="1:8" ht="15.75" thickBot="1" x14ac:dyDescent="0.3">
      <c r="A1748" s="1">
        <v>2017</v>
      </c>
      <c r="B1748" s="1" t="s">
        <v>11</v>
      </c>
      <c r="C1748" s="1" t="s">
        <v>15</v>
      </c>
      <c r="D1748" s="1" t="s">
        <v>29</v>
      </c>
      <c r="E1748" s="1">
        <v>3003846.33</v>
      </c>
      <c r="F1748" s="1">
        <v>84348.62</v>
      </c>
      <c r="G1748" s="1">
        <v>6295</v>
      </c>
      <c r="H1748" s="1">
        <v>477.17971879999999</v>
      </c>
    </row>
    <row r="1749" spans="1:8" ht="15.75" thickBot="1" x14ac:dyDescent="0.3">
      <c r="A1749" s="1">
        <v>2014</v>
      </c>
      <c r="B1749" s="1" t="s">
        <v>30</v>
      </c>
      <c r="C1749" s="1" t="s">
        <v>9</v>
      </c>
      <c r="D1749" s="1" t="s">
        <v>19</v>
      </c>
      <c r="E1749" s="1">
        <v>9221.27</v>
      </c>
      <c r="F1749" s="1">
        <v>177.81</v>
      </c>
      <c r="G1749" s="1">
        <v>4817</v>
      </c>
      <c r="H1749" s="1">
        <v>1.9143180399999999</v>
      </c>
    </row>
    <row r="1750" spans="1:8" ht="15.75" thickBot="1" x14ac:dyDescent="0.3">
      <c r="A1750" s="1">
        <v>2017</v>
      </c>
      <c r="B1750" s="1" t="s">
        <v>14</v>
      </c>
      <c r="C1750" s="1" t="s">
        <v>18</v>
      </c>
      <c r="D1750" s="1" t="s">
        <v>27</v>
      </c>
      <c r="E1750" s="1">
        <v>18061083.579999998</v>
      </c>
      <c r="F1750" s="1">
        <v>702576.29</v>
      </c>
      <c r="G1750" s="1">
        <v>438870</v>
      </c>
      <c r="H1750" s="1">
        <v>41.153607170000001</v>
      </c>
    </row>
    <row r="1751" spans="1:8" ht="15.75" thickBot="1" x14ac:dyDescent="0.3">
      <c r="A1751" s="1">
        <v>2015</v>
      </c>
      <c r="B1751" s="1" t="s">
        <v>12</v>
      </c>
      <c r="C1751" s="1" t="s">
        <v>28</v>
      </c>
      <c r="D1751" s="1" t="s">
        <v>36</v>
      </c>
      <c r="E1751" s="1">
        <v>7709823.8899999997</v>
      </c>
      <c r="F1751" s="1">
        <v>8356.76</v>
      </c>
      <c r="G1751" s="1">
        <v>37887</v>
      </c>
      <c r="H1751" s="1">
        <v>203.49523289999999</v>
      </c>
    </row>
    <row r="1752" spans="1:8" ht="15.75" thickBot="1" x14ac:dyDescent="0.3">
      <c r="A1752" s="1">
        <v>2015</v>
      </c>
      <c r="B1752" s="1" t="s">
        <v>14</v>
      </c>
      <c r="C1752" s="1" t="s">
        <v>12</v>
      </c>
      <c r="D1752" s="1" t="s">
        <v>31</v>
      </c>
      <c r="E1752" s="1">
        <v>667166.93999999994</v>
      </c>
      <c r="F1752" s="1">
        <v>27076.95</v>
      </c>
      <c r="G1752" s="1">
        <v>15638</v>
      </c>
      <c r="H1752" s="1">
        <v>42.663188390000002</v>
      </c>
    </row>
    <row r="1753" spans="1:8" ht="15.75" thickBot="1" x14ac:dyDescent="0.3">
      <c r="A1753" s="1">
        <v>2015</v>
      </c>
      <c r="B1753" s="1" t="s">
        <v>14</v>
      </c>
      <c r="C1753" s="1" t="s">
        <v>18</v>
      </c>
      <c r="D1753" s="1" t="s">
        <v>19</v>
      </c>
      <c r="E1753" s="1">
        <v>10491987.93</v>
      </c>
      <c r="F1753" s="1">
        <v>344592.74</v>
      </c>
      <c r="G1753" s="1">
        <v>57778</v>
      </c>
      <c r="H1753" s="1">
        <v>181.5914004</v>
      </c>
    </row>
    <row r="1754" spans="1:8" ht="15.75" thickBot="1" x14ac:dyDescent="0.3">
      <c r="A1754" s="1">
        <v>2015</v>
      </c>
      <c r="B1754" s="1" t="s">
        <v>20</v>
      </c>
      <c r="C1754" s="1" t="s">
        <v>9</v>
      </c>
      <c r="D1754" s="1" t="s">
        <v>13</v>
      </c>
      <c r="E1754" s="1">
        <v>-1</v>
      </c>
      <c r="F1754" s="1">
        <v>0</v>
      </c>
      <c r="G1754" s="1">
        <v>10</v>
      </c>
      <c r="H1754" s="1">
        <v>-0.1</v>
      </c>
    </row>
    <row r="1755" spans="1:8" ht="15.75" thickBot="1" x14ac:dyDescent="0.3">
      <c r="A1755" s="1">
        <v>2015</v>
      </c>
      <c r="B1755" s="1" t="s">
        <v>14</v>
      </c>
      <c r="C1755" s="1" t="s">
        <v>26</v>
      </c>
      <c r="D1755" s="1" t="s">
        <v>19</v>
      </c>
      <c r="E1755" s="1">
        <v>33406994.969999999</v>
      </c>
      <c r="F1755" s="1">
        <v>1209491.4099999999</v>
      </c>
      <c r="G1755" s="1">
        <v>398973</v>
      </c>
      <c r="H1755" s="1">
        <v>83.732470539999994</v>
      </c>
    </row>
    <row r="1756" spans="1:8" ht="15.75" thickBot="1" x14ac:dyDescent="0.3">
      <c r="A1756" s="1">
        <v>2017</v>
      </c>
      <c r="B1756" s="1" t="s">
        <v>17</v>
      </c>
      <c r="C1756" s="1" t="s">
        <v>15</v>
      </c>
      <c r="D1756" s="1" t="s">
        <v>32</v>
      </c>
      <c r="E1756" s="1">
        <v>116895947.59999999</v>
      </c>
      <c r="F1756" s="1">
        <v>4087351.06</v>
      </c>
      <c r="G1756" s="1">
        <v>1695757</v>
      </c>
      <c r="H1756" s="1">
        <v>68.934374180000006</v>
      </c>
    </row>
    <row r="1757" spans="1:8" ht="15.75" thickBot="1" x14ac:dyDescent="0.3">
      <c r="A1757" s="1">
        <v>2015</v>
      </c>
      <c r="B1757" s="1" t="s">
        <v>20</v>
      </c>
      <c r="C1757" s="1" t="s">
        <v>26</v>
      </c>
      <c r="D1757" s="1" t="s">
        <v>31</v>
      </c>
      <c r="E1757" s="1">
        <v>20189.47</v>
      </c>
      <c r="F1757" s="1">
        <v>855.66</v>
      </c>
      <c r="G1757" s="1">
        <v>785</v>
      </c>
      <c r="H1757" s="1">
        <v>25.71907006</v>
      </c>
    </row>
    <row r="1758" spans="1:8" ht="15.75" thickBot="1" x14ac:dyDescent="0.3">
      <c r="A1758" s="1">
        <v>2014</v>
      </c>
      <c r="B1758" s="1" t="s">
        <v>8</v>
      </c>
      <c r="C1758" s="1" t="s">
        <v>9</v>
      </c>
      <c r="D1758" s="1" t="s">
        <v>37</v>
      </c>
      <c r="E1758" s="1">
        <v>125</v>
      </c>
      <c r="F1758" s="1">
        <v>4.2300000000000004</v>
      </c>
      <c r="G1758" s="1">
        <v>2</v>
      </c>
      <c r="H1758" s="1">
        <v>62.5</v>
      </c>
    </row>
    <row r="1759" spans="1:8" ht="15.75" thickBot="1" x14ac:dyDescent="0.3">
      <c r="A1759" s="1">
        <v>2017</v>
      </c>
      <c r="B1759" s="1" t="s">
        <v>11</v>
      </c>
      <c r="C1759" s="1" t="s">
        <v>12</v>
      </c>
      <c r="D1759" s="1" t="s">
        <v>10</v>
      </c>
      <c r="E1759" s="1">
        <v>195513499.59999999</v>
      </c>
      <c r="F1759" s="1">
        <v>5071905.45</v>
      </c>
      <c r="G1759" s="1">
        <v>4249662</v>
      </c>
      <c r="H1759" s="1">
        <v>46.006835270000003</v>
      </c>
    </row>
    <row r="1760" spans="1:8" ht="15.75" thickBot="1" x14ac:dyDescent="0.3">
      <c r="A1760" s="1">
        <v>2017</v>
      </c>
      <c r="B1760" s="1" t="s">
        <v>35</v>
      </c>
      <c r="C1760" s="1" t="s">
        <v>15</v>
      </c>
      <c r="D1760" s="1" t="s">
        <v>10</v>
      </c>
      <c r="E1760" s="1">
        <v>-141.53</v>
      </c>
      <c r="F1760" s="1">
        <v>77.28</v>
      </c>
      <c r="G1760" s="1">
        <v>232</v>
      </c>
      <c r="H1760" s="1">
        <v>-0.61004310340000001</v>
      </c>
    </row>
    <row r="1761" spans="1:8" ht="15.75" thickBot="1" x14ac:dyDescent="0.3">
      <c r="A1761" s="1">
        <v>2016</v>
      </c>
      <c r="B1761" s="1" t="s">
        <v>17</v>
      </c>
      <c r="C1761" s="1" t="s">
        <v>25</v>
      </c>
      <c r="D1761" s="1" t="s">
        <v>22</v>
      </c>
      <c r="E1761" s="1">
        <v>1643704.92</v>
      </c>
      <c r="F1761" s="1">
        <v>53675.87</v>
      </c>
      <c r="G1761" s="1">
        <v>100084</v>
      </c>
      <c r="H1761" s="1">
        <v>16.423253670000001</v>
      </c>
    </row>
    <row r="1762" spans="1:8" ht="15.75" thickBot="1" x14ac:dyDescent="0.3">
      <c r="A1762" s="1">
        <v>2017</v>
      </c>
      <c r="B1762" s="1" t="s">
        <v>17</v>
      </c>
      <c r="C1762" s="1" t="s">
        <v>33</v>
      </c>
      <c r="D1762" s="1" t="s">
        <v>10</v>
      </c>
      <c r="E1762" s="1">
        <v>133697977.5</v>
      </c>
      <c r="F1762" s="1">
        <v>4446758.42</v>
      </c>
      <c r="G1762" s="1">
        <v>2447092</v>
      </c>
      <c r="H1762" s="1">
        <v>54.635452000000001</v>
      </c>
    </row>
    <row r="1763" spans="1:8" ht="15.75" thickBot="1" x14ac:dyDescent="0.3">
      <c r="A1763" s="1">
        <v>2014</v>
      </c>
      <c r="B1763" s="1" t="s">
        <v>8</v>
      </c>
      <c r="C1763" s="1" t="s">
        <v>15</v>
      </c>
      <c r="D1763" s="1" t="s">
        <v>27</v>
      </c>
      <c r="E1763" s="1">
        <v>5038.2700000000004</v>
      </c>
      <c r="F1763" s="1">
        <v>164.04</v>
      </c>
      <c r="G1763" s="1">
        <v>58</v>
      </c>
      <c r="H1763" s="1">
        <v>86.866724140000002</v>
      </c>
    </row>
    <row r="1764" spans="1:8" ht="15.75" thickBot="1" x14ac:dyDescent="0.3">
      <c r="A1764" s="1">
        <v>2016</v>
      </c>
      <c r="B1764" s="1" t="s">
        <v>12</v>
      </c>
      <c r="C1764" s="1" t="s">
        <v>18</v>
      </c>
      <c r="D1764" s="1" t="s">
        <v>13</v>
      </c>
      <c r="E1764" s="1">
        <v>8924.1</v>
      </c>
      <c r="F1764" s="1">
        <v>415.83</v>
      </c>
      <c r="G1764" s="1">
        <v>161</v>
      </c>
      <c r="H1764" s="1">
        <v>55.429192550000003</v>
      </c>
    </row>
    <row r="1765" spans="1:8" ht="15.75" thickBot="1" x14ac:dyDescent="0.3">
      <c r="A1765" s="1">
        <v>2015</v>
      </c>
      <c r="B1765" s="1" t="s">
        <v>40</v>
      </c>
      <c r="C1765" s="1" t="s">
        <v>26</v>
      </c>
      <c r="D1765" s="1" t="s">
        <v>13</v>
      </c>
      <c r="E1765" s="1">
        <v>140.84</v>
      </c>
      <c r="F1765" s="1">
        <v>0</v>
      </c>
      <c r="G1765" s="1">
        <v>3</v>
      </c>
      <c r="H1765" s="1">
        <v>46.946666669999999</v>
      </c>
    </row>
    <row r="1766" spans="1:8" ht="15.75" thickBot="1" x14ac:dyDescent="0.3">
      <c r="A1766" s="1">
        <v>2017</v>
      </c>
      <c r="B1766" s="1" t="s">
        <v>20</v>
      </c>
      <c r="C1766" s="1" t="s">
        <v>12</v>
      </c>
      <c r="D1766" s="1" t="s">
        <v>22</v>
      </c>
      <c r="E1766" s="1">
        <v>106.75</v>
      </c>
      <c r="F1766" s="1">
        <v>5.92</v>
      </c>
      <c r="G1766" s="1">
        <v>10</v>
      </c>
      <c r="H1766" s="1">
        <v>10.675000000000001</v>
      </c>
    </row>
    <row r="1767" spans="1:8" ht="15.75" thickBot="1" x14ac:dyDescent="0.3">
      <c r="A1767" s="1">
        <v>2016</v>
      </c>
      <c r="B1767" s="1" t="s">
        <v>17</v>
      </c>
      <c r="C1767" s="1" t="s">
        <v>26</v>
      </c>
      <c r="D1767" s="1" t="s">
        <v>27</v>
      </c>
      <c r="E1767" s="1">
        <v>572423137.5</v>
      </c>
      <c r="F1767" s="1">
        <v>20129126.609999999</v>
      </c>
      <c r="G1767" s="1">
        <v>9836605</v>
      </c>
      <c r="H1767" s="1">
        <v>58.193160900000002</v>
      </c>
    </row>
    <row r="1768" spans="1:8" ht="15.75" thickBot="1" x14ac:dyDescent="0.3">
      <c r="A1768" s="1">
        <v>2014</v>
      </c>
      <c r="B1768" s="1" t="s">
        <v>12</v>
      </c>
      <c r="C1768" s="1" t="s">
        <v>9</v>
      </c>
      <c r="D1768" s="1" t="s">
        <v>27</v>
      </c>
      <c r="E1768" s="1">
        <v>2173608.94</v>
      </c>
      <c r="F1768" s="1">
        <v>79276.88</v>
      </c>
      <c r="G1768" s="1">
        <v>33992</v>
      </c>
      <c r="H1768" s="1">
        <v>63.944720519999997</v>
      </c>
    </row>
    <row r="1769" spans="1:8" ht="15.75" thickBot="1" x14ac:dyDescent="0.3">
      <c r="A1769" s="1">
        <v>2017</v>
      </c>
      <c r="B1769" s="1" t="s">
        <v>12</v>
      </c>
      <c r="C1769" s="1" t="s">
        <v>9</v>
      </c>
      <c r="D1769" s="1" t="s">
        <v>29</v>
      </c>
      <c r="E1769" s="1">
        <v>8397230.8699999992</v>
      </c>
      <c r="F1769" s="1">
        <v>256588.23</v>
      </c>
      <c r="G1769" s="1">
        <v>24670</v>
      </c>
      <c r="H1769" s="1">
        <v>340.38228090000001</v>
      </c>
    </row>
    <row r="1770" spans="1:8" ht="15.75" thickBot="1" x14ac:dyDescent="0.3">
      <c r="A1770" s="1">
        <v>2016</v>
      </c>
      <c r="B1770" s="1" t="s">
        <v>12</v>
      </c>
      <c r="C1770" s="1" t="s">
        <v>9</v>
      </c>
      <c r="D1770" s="1" t="s">
        <v>37</v>
      </c>
      <c r="E1770" s="1">
        <v>95101041.510000005</v>
      </c>
      <c r="F1770" s="1">
        <v>2716567.92</v>
      </c>
      <c r="G1770" s="1">
        <v>212324</v>
      </c>
      <c r="H1770" s="1">
        <v>447.90528399999999</v>
      </c>
    </row>
    <row r="1771" spans="1:8" ht="15.75" thickBot="1" x14ac:dyDescent="0.3">
      <c r="A1771" s="1">
        <v>2015</v>
      </c>
      <c r="B1771" s="1" t="s">
        <v>12</v>
      </c>
      <c r="C1771" s="1" t="s">
        <v>21</v>
      </c>
      <c r="D1771" s="1" t="s">
        <v>24</v>
      </c>
      <c r="E1771" s="1">
        <v>3124008.64</v>
      </c>
      <c r="F1771" s="1">
        <v>99642.26</v>
      </c>
      <c r="G1771" s="1">
        <v>9751</v>
      </c>
      <c r="H1771" s="1">
        <v>320.37828330000002</v>
      </c>
    </row>
    <row r="1772" spans="1:8" ht="15.75" thickBot="1" x14ac:dyDescent="0.3">
      <c r="A1772" s="1">
        <v>2015</v>
      </c>
      <c r="B1772" s="1" t="s">
        <v>17</v>
      </c>
      <c r="C1772" s="1" t="s">
        <v>33</v>
      </c>
      <c r="D1772" s="1" t="s">
        <v>29</v>
      </c>
      <c r="E1772" s="1">
        <v>15888199.210000001</v>
      </c>
      <c r="F1772" s="1">
        <v>543280.99</v>
      </c>
      <c r="G1772" s="1">
        <v>47952</v>
      </c>
      <c r="H1772" s="1">
        <v>331.33548569999999</v>
      </c>
    </row>
    <row r="1773" spans="1:8" ht="15.75" thickBot="1" x14ac:dyDescent="0.3">
      <c r="A1773" s="1">
        <v>2017</v>
      </c>
      <c r="B1773" s="1" t="s">
        <v>35</v>
      </c>
      <c r="C1773" s="1" t="s">
        <v>25</v>
      </c>
      <c r="D1773" s="1" t="s">
        <v>31</v>
      </c>
      <c r="E1773" s="1">
        <v>867.79</v>
      </c>
      <c r="F1773" s="1">
        <v>31.17</v>
      </c>
      <c r="G1773" s="1">
        <v>22</v>
      </c>
      <c r="H1773" s="1">
        <v>39.445</v>
      </c>
    </row>
    <row r="1774" spans="1:8" ht="15.75" thickBot="1" x14ac:dyDescent="0.3">
      <c r="A1774" s="1">
        <v>2014</v>
      </c>
      <c r="B1774" s="1" t="s">
        <v>16</v>
      </c>
      <c r="C1774" s="1" t="s">
        <v>25</v>
      </c>
      <c r="D1774" s="1" t="s">
        <v>24</v>
      </c>
      <c r="E1774" s="1">
        <v>33325418.870000001</v>
      </c>
      <c r="F1774" s="1">
        <v>1165309.4099999999</v>
      </c>
      <c r="G1774" s="1">
        <v>193746</v>
      </c>
      <c r="H1774" s="1">
        <v>172.00571299999999</v>
      </c>
    </row>
    <row r="1775" spans="1:8" ht="15.75" thickBot="1" x14ac:dyDescent="0.3">
      <c r="A1775" s="1">
        <v>2014</v>
      </c>
      <c r="B1775" s="1" t="s">
        <v>14</v>
      </c>
      <c r="C1775" s="1" t="s">
        <v>9</v>
      </c>
      <c r="D1775" s="1" t="s">
        <v>24</v>
      </c>
      <c r="E1775" s="1">
        <v>29899831.780000001</v>
      </c>
      <c r="F1775" s="1">
        <v>940784.88</v>
      </c>
      <c r="G1775" s="1">
        <v>113191</v>
      </c>
      <c r="H1775" s="1">
        <v>264.1537912</v>
      </c>
    </row>
    <row r="1776" spans="1:8" ht="15.75" thickBot="1" x14ac:dyDescent="0.3">
      <c r="A1776" s="1">
        <v>2014</v>
      </c>
      <c r="B1776" s="1" t="s">
        <v>12</v>
      </c>
      <c r="C1776" s="1" t="s">
        <v>15</v>
      </c>
      <c r="D1776" s="1" t="s">
        <v>24</v>
      </c>
      <c r="E1776" s="1">
        <v>2661008.11</v>
      </c>
      <c r="F1776" s="1">
        <v>81471.789999999994</v>
      </c>
      <c r="G1776" s="1">
        <v>6964</v>
      </c>
      <c r="H1776" s="1">
        <v>382.1091485</v>
      </c>
    </row>
    <row r="1777" spans="1:8" ht="15.75" thickBot="1" x14ac:dyDescent="0.3">
      <c r="A1777" s="1">
        <v>2016</v>
      </c>
      <c r="B1777" s="1" t="s">
        <v>17</v>
      </c>
      <c r="C1777" s="1" t="s">
        <v>33</v>
      </c>
      <c r="D1777" s="1" t="s">
        <v>13</v>
      </c>
      <c r="E1777" s="1">
        <v>2206247.63</v>
      </c>
      <c r="F1777" s="1">
        <v>70530.740000000005</v>
      </c>
      <c r="G1777" s="1">
        <v>48060</v>
      </c>
      <c r="H1777" s="1">
        <v>45.906109649999998</v>
      </c>
    </row>
    <row r="1778" spans="1:8" ht="15.75" thickBot="1" x14ac:dyDescent="0.3">
      <c r="A1778" s="1">
        <v>2017</v>
      </c>
      <c r="B1778" s="1" t="s">
        <v>30</v>
      </c>
      <c r="C1778" s="1" t="s">
        <v>21</v>
      </c>
      <c r="D1778" s="1" t="s">
        <v>19</v>
      </c>
      <c r="E1778" s="1">
        <v>397562576.30000001</v>
      </c>
      <c r="F1778" s="1">
        <v>8073965.1100000003</v>
      </c>
      <c r="G1778" s="1">
        <v>2553387</v>
      </c>
      <c r="H1778" s="1">
        <v>155.70008630000001</v>
      </c>
    </row>
    <row r="1779" spans="1:8" ht="15.75" thickBot="1" x14ac:dyDescent="0.3">
      <c r="A1779" s="1">
        <v>2016</v>
      </c>
      <c r="B1779" s="1" t="s">
        <v>17</v>
      </c>
      <c r="C1779" s="1" t="s">
        <v>15</v>
      </c>
      <c r="D1779" s="1" t="s">
        <v>32</v>
      </c>
      <c r="E1779" s="1">
        <v>102724181.2</v>
      </c>
      <c r="F1779" s="1">
        <v>3639614.61</v>
      </c>
      <c r="G1779" s="1">
        <v>1600893</v>
      </c>
      <c r="H1779" s="1">
        <v>64.16680015</v>
      </c>
    </row>
    <row r="1780" spans="1:8" ht="15.75" thickBot="1" x14ac:dyDescent="0.3">
      <c r="A1780" s="1">
        <v>2017</v>
      </c>
      <c r="B1780" s="1" t="s">
        <v>17</v>
      </c>
      <c r="C1780" s="1" t="s">
        <v>23</v>
      </c>
      <c r="D1780" s="1" t="s">
        <v>19</v>
      </c>
      <c r="E1780" s="1">
        <v>24614077.399999999</v>
      </c>
      <c r="F1780" s="1">
        <v>871437.15</v>
      </c>
      <c r="G1780" s="1">
        <v>172787</v>
      </c>
      <c r="H1780" s="1">
        <v>142.4532945</v>
      </c>
    </row>
    <row r="1781" spans="1:8" ht="15.75" thickBot="1" x14ac:dyDescent="0.3">
      <c r="A1781" s="1">
        <v>2017</v>
      </c>
      <c r="B1781" s="1" t="s">
        <v>8</v>
      </c>
      <c r="C1781" s="1" t="s">
        <v>15</v>
      </c>
      <c r="D1781" s="1" t="s">
        <v>19</v>
      </c>
      <c r="E1781" s="1">
        <v>371.09</v>
      </c>
      <c r="F1781" s="1">
        <v>7.76</v>
      </c>
      <c r="G1781" s="1">
        <v>6</v>
      </c>
      <c r="H1781" s="1">
        <v>61.848333330000003</v>
      </c>
    </row>
    <row r="1782" spans="1:8" ht="15.75" thickBot="1" x14ac:dyDescent="0.3">
      <c r="A1782" s="1">
        <v>2017</v>
      </c>
      <c r="B1782" s="1" t="s">
        <v>20</v>
      </c>
      <c r="C1782" s="1" t="s">
        <v>9</v>
      </c>
      <c r="D1782" s="1" t="s">
        <v>27</v>
      </c>
      <c r="E1782" s="1">
        <v>13816.86</v>
      </c>
      <c r="F1782" s="1">
        <v>481.12</v>
      </c>
      <c r="G1782" s="1">
        <v>1072</v>
      </c>
      <c r="H1782" s="1">
        <v>12.88886194</v>
      </c>
    </row>
    <row r="1783" spans="1:8" ht="15.75" thickBot="1" x14ac:dyDescent="0.3">
      <c r="A1783" s="1">
        <v>2017</v>
      </c>
      <c r="B1783" s="1" t="s">
        <v>17</v>
      </c>
      <c r="C1783" s="1" t="s">
        <v>9</v>
      </c>
      <c r="D1783" s="1" t="s">
        <v>27</v>
      </c>
      <c r="E1783" s="1">
        <v>141611339.80000001</v>
      </c>
      <c r="F1783" s="1">
        <v>4587016.09</v>
      </c>
      <c r="G1783" s="1">
        <v>2066707</v>
      </c>
      <c r="H1783" s="1">
        <v>68.520278770000004</v>
      </c>
    </row>
    <row r="1784" spans="1:8" ht="15.75" thickBot="1" x14ac:dyDescent="0.3">
      <c r="A1784" s="1">
        <v>2016</v>
      </c>
      <c r="B1784" s="1" t="s">
        <v>17</v>
      </c>
      <c r="C1784" s="1" t="s">
        <v>25</v>
      </c>
      <c r="D1784" s="1" t="s">
        <v>27</v>
      </c>
      <c r="E1784" s="1">
        <v>749958451.10000002</v>
      </c>
      <c r="F1784" s="1">
        <v>26157959.120000001</v>
      </c>
      <c r="G1784" s="1">
        <v>12545752</v>
      </c>
      <c r="H1784" s="1">
        <v>59.777879480000003</v>
      </c>
    </row>
    <row r="1785" spans="1:8" ht="15.75" thickBot="1" x14ac:dyDescent="0.3">
      <c r="A1785" s="1">
        <v>2016</v>
      </c>
      <c r="B1785" s="1" t="s">
        <v>30</v>
      </c>
      <c r="C1785" s="1" t="s">
        <v>21</v>
      </c>
      <c r="D1785" s="1" t="s">
        <v>32</v>
      </c>
      <c r="E1785" s="1">
        <v>29599990.760000002</v>
      </c>
      <c r="F1785" s="1">
        <v>1167944.1100000001</v>
      </c>
      <c r="G1785" s="1">
        <v>722379</v>
      </c>
      <c r="H1785" s="1">
        <v>40.975707710000002</v>
      </c>
    </row>
    <row r="1786" spans="1:8" ht="15.75" thickBot="1" x14ac:dyDescent="0.3">
      <c r="A1786" s="1">
        <v>2016</v>
      </c>
      <c r="B1786" s="1" t="s">
        <v>11</v>
      </c>
      <c r="C1786" s="1" t="s">
        <v>23</v>
      </c>
      <c r="D1786" s="1" t="s">
        <v>19</v>
      </c>
      <c r="E1786" s="1">
        <v>4536807.09</v>
      </c>
      <c r="F1786" s="1">
        <v>155065.72</v>
      </c>
      <c r="G1786" s="1">
        <v>40516</v>
      </c>
      <c r="H1786" s="1">
        <v>111.9756908</v>
      </c>
    </row>
    <row r="1787" spans="1:8" ht="15.75" thickBot="1" x14ac:dyDescent="0.3">
      <c r="A1787" s="1">
        <v>2016</v>
      </c>
      <c r="B1787" s="1" t="s">
        <v>11</v>
      </c>
      <c r="C1787" s="1" t="s">
        <v>25</v>
      </c>
      <c r="D1787" s="1" t="s">
        <v>19</v>
      </c>
      <c r="E1787" s="1">
        <v>8352330.2999999998</v>
      </c>
      <c r="F1787" s="1">
        <v>278958.73</v>
      </c>
      <c r="G1787" s="1">
        <v>57529</v>
      </c>
      <c r="H1787" s="1">
        <v>145.18469469999999</v>
      </c>
    </row>
    <row r="1788" spans="1:8" ht="15.75" thickBot="1" x14ac:dyDescent="0.3">
      <c r="A1788" s="1">
        <v>2017</v>
      </c>
      <c r="B1788" s="1" t="s">
        <v>14</v>
      </c>
      <c r="C1788" s="1" t="s">
        <v>18</v>
      </c>
      <c r="D1788" s="1" t="s">
        <v>10</v>
      </c>
      <c r="E1788" s="1">
        <v>2758289.55</v>
      </c>
      <c r="F1788" s="1">
        <v>105907.94</v>
      </c>
      <c r="G1788" s="1">
        <v>59646</v>
      </c>
      <c r="H1788" s="1">
        <v>46.244334070000001</v>
      </c>
    </row>
    <row r="1789" spans="1:8" ht="15.75" thickBot="1" x14ac:dyDescent="0.3">
      <c r="A1789" s="1">
        <v>2016</v>
      </c>
      <c r="B1789" s="1" t="s">
        <v>16</v>
      </c>
      <c r="C1789" s="1" t="s">
        <v>15</v>
      </c>
      <c r="D1789" s="1" t="s">
        <v>10</v>
      </c>
      <c r="E1789" s="1">
        <v>14963129.82</v>
      </c>
      <c r="F1789" s="1">
        <v>552860.93000000005</v>
      </c>
      <c r="G1789" s="1">
        <v>254287</v>
      </c>
      <c r="H1789" s="1">
        <v>58.843471430000001</v>
      </c>
    </row>
    <row r="1790" spans="1:8" ht="15.75" thickBot="1" x14ac:dyDescent="0.3">
      <c r="A1790" s="1">
        <v>2014</v>
      </c>
      <c r="B1790" s="1" t="s">
        <v>20</v>
      </c>
      <c r="C1790" s="1" t="s">
        <v>23</v>
      </c>
      <c r="D1790" s="1" t="s">
        <v>10</v>
      </c>
      <c r="E1790" s="1">
        <v>49638.97</v>
      </c>
      <c r="F1790" s="1">
        <v>1913.07</v>
      </c>
      <c r="G1790" s="1">
        <v>553966</v>
      </c>
      <c r="H1790" s="1">
        <v>8.9606528199999994E-2</v>
      </c>
    </row>
    <row r="1791" spans="1:8" ht="15.75" thickBot="1" x14ac:dyDescent="0.3">
      <c r="A1791" s="1">
        <v>2017</v>
      </c>
      <c r="B1791" s="1" t="s">
        <v>11</v>
      </c>
      <c r="C1791" s="1" t="s">
        <v>26</v>
      </c>
      <c r="D1791" s="1" t="s">
        <v>24</v>
      </c>
      <c r="E1791" s="1">
        <v>8627965.5700000003</v>
      </c>
      <c r="F1791" s="1">
        <v>260376.07</v>
      </c>
      <c r="G1791" s="1">
        <v>31802</v>
      </c>
      <c r="H1791" s="1">
        <v>271.30260900000002</v>
      </c>
    </row>
    <row r="1792" spans="1:8" ht="15.75" thickBot="1" x14ac:dyDescent="0.3">
      <c r="A1792" s="1">
        <v>2014</v>
      </c>
      <c r="B1792" s="1" t="s">
        <v>16</v>
      </c>
      <c r="C1792" s="1" t="s">
        <v>28</v>
      </c>
      <c r="D1792" s="1" t="s">
        <v>31</v>
      </c>
      <c r="E1792" s="1">
        <v>2137012.85</v>
      </c>
      <c r="F1792" s="1">
        <v>76827.990000000005</v>
      </c>
      <c r="G1792" s="1">
        <v>35254</v>
      </c>
      <c r="H1792" s="1">
        <v>60.617599419999998</v>
      </c>
    </row>
    <row r="1793" spans="1:8" ht="15.75" thickBot="1" x14ac:dyDescent="0.3">
      <c r="A1793" s="1">
        <v>2014</v>
      </c>
      <c r="B1793" s="1" t="s">
        <v>40</v>
      </c>
      <c r="C1793" s="1" t="s">
        <v>9</v>
      </c>
      <c r="D1793" s="1" t="s">
        <v>27</v>
      </c>
      <c r="E1793" s="1">
        <v>20290.57</v>
      </c>
      <c r="F1793" s="1">
        <v>676.48</v>
      </c>
      <c r="G1793" s="1">
        <v>131</v>
      </c>
      <c r="H1793" s="1">
        <v>154.88984730000001</v>
      </c>
    </row>
    <row r="1794" spans="1:8" ht="15.75" thickBot="1" x14ac:dyDescent="0.3">
      <c r="A1794" s="1">
        <v>2017</v>
      </c>
      <c r="B1794" s="1" t="s">
        <v>17</v>
      </c>
      <c r="C1794" s="1" t="s">
        <v>18</v>
      </c>
      <c r="D1794" s="1" t="s">
        <v>34</v>
      </c>
      <c r="E1794" s="1">
        <v>50482.14</v>
      </c>
      <c r="F1794" s="1">
        <v>1641.43</v>
      </c>
      <c r="G1794" s="1">
        <v>944</v>
      </c>
      <c r="H1794" s="1">
        <v>53.476843219999999</v>
      </c>
    </row>
    <row r="1795" spans="1:8" ht="15.75" thickBot="1" x14ac:dyDescent="0.3">
      <c r="A1795" s="1">
        <v>2017</v>
      </c>
      <c r="B1795" s="1" t="s">
        <v>16</v>
      </c>
      <c r="C1795" s="1" t="s">
        <v>28</v>
      </c>
      <c r="D1795" s="1" t="s">
        <v>19</v>
      </c>
      <c r="E1795" s="1">
        <v>575901150.39999998</v>
      </c>
      <c r="F1795" s="1">
        <v>11447336.210000001</v>
      </c>
      <c r="G1795" s="1">
        <v>1381395</v>
      </c>
      <c r="H1795" s="1">
        <v>416.89824440000001</v>
      </c>
    </row>
    <row r="1796" spans="1:8" ht="15.75" thickBot="1" x14ac:dyDescent="0.3">
      <c r="A1796" s="1">
        <v>2017</v>
      </c>
      <c r="B1796" s="1" t="s">
        <v>20</v>
      </c>
      <c r="C1796" s="1" t="s">
        <v>9</v>
      </c>
      <c r="D1796" s="1" t="s">
        <v>32</v>
      </c>
      <c r="E1796" s="1">
        <v>33508892.640000001</v>
      </c>
      <c r="F1796" s="1">
        <v>1181475.52</v>
      </c>
      <c r="G1796" s="1">
        <v>751396</v>
      </c>
      <c r="H1796" s="1">
        <v>44.595516400000001</v>
      </c>
    </row>
    <row r="1797" spans="1:8" ht="15.75" thickBot="1" x14ac:dyDescent="0.3">
      <c r="A1797" s="1">
        <v>2016</v>
      </c>
      <c r="B1797" s="1" t="s">
        <v>14</v>
      </c>
      <c r="C1797" s="1" t="s">
        <v>33</v>
      </c>
      <c r="D1797" s="1" t="s">
        <v>27</v>
      </c>
      <c r="E1797" s="1">
        <v>189922315.59999999</v>
      </c>
      <c r="F1797" s="1">
        <v>8024159.4800000004</v>
      </c>
      <c r="G1797" s="1">
        <v>6262963</v>
      </c>
      <c r="H1797" s="1">
        <v>30.324674689999998</v>
      </c>
    </row>
    <row r="1798" spans="1:8" ht="15.75" thickBot="1" x14ac:dyDescent="0.3">
      <c r="A1798" s="1">
        <v>2017</v>
      </c>
      <c r="B1798" s="1" t="s">
        <v>11</v>
      </c>
      <c r="C1798" s="1" t="s">
        <v>9</v>
      </c>
      <c r="D1798" s="1" t="s">
        <v>22</v>
      </c>
      <c r="E1798" s="1">
        <v>3063.82</v>
      </c>
      <c r="F1798" s="1">
        <v>73.2</v>
      </c>
      <c r="G1798" s="1">
        <v>289</v>
      </c>
      <c r="H1798" s="1">
        <v>10.60145329</v>
      </c>
    </row>
    <row r="1799" spans="1:8" ht="15.75" thickBot="1" x14ac:dyDescent="0.3">
      <c r="A1799" s="1">
        <v>2016</v>
      </c>
      <c r="B1799" s="1" t="s">
        <v>20</v>
      </c>
      <c r="C1799" s="1" t="s">
        <v>23</v>
      </c>
      <c r="D1799" s="1" t="s">
        <v>24</v>
      </c>
      <c r="E1799" s="1">
        <v>349551.68</v>
      </c>
      <c r="F1799" s="1">
        <v>13197.45</v>
      </c>
      <c r="G1799" s="1">
        <v>5583</v>
      </c>
      <c r="H1799" s="1">
        <v>62.610008960000002</v>
      </c>
    </row>
    <row r="1800" spans="1:8" ht="15.75" thickBot="1" x14ac:dyDescent="0.3">
      <c r="A1800" s="1">
        <v>2015</v>
      </c>
      <c r="B1800" s="1" t="s">
        <v>8</v>
      </c>
      <c r="C1800" s="1" t="s">
        <v>18</v>
      </c>
      <c r="D1800" s="1" t="s">
        <v>24</v>
      </c>
      <c r="E1800" s="1">
        <v>207</v>
      </c>
      <c r="F1800" s="1">
        <v>6.3</v>
      </c>
      <c r="G1800" s="1">
        <v>1</v>
      </c>
      <c r="H1800" s="1">
        <v>207</v>
      </c>
    </row>
    <row r="1801" spans="1:8" ht="15.75" thickBot="1" x14ac:dyDescent="0.3">
      <c r="A1801" s="1">
        <v>2016</v>
      </c>
      <c r="B1801" s="1" t="s">
        <v>8</v>
      </c>
      <c r="C1801" s="1" t="s">
        <v>15</v>
      </c>
      <c r="D1801" s="1" t="s">
        <v>32</v>
      </c>
      <c r="E1801" s="1">
        <v>75</v>
      </c>
      <c r="F1801" s="1">
        <v>2.78</v>
      </c>
      <c r="G1801" s="1">
        <v>2</v>
      </c>
      <c r="H1801" s="1">
        <v>37.5</v>
      </c>
    </row>
    <row r="1802" spans="1:8" ht="15.75" thickBot="1" x14ac:dyDescent="0.3">
      <c r="A1802" s="1">
        <v>2014</v>
      </c>
      <c r="B1802" s="1" t="s">
        <v>30</v>
      </c>
      <c r="C1802" s="1" t="s">
        <v>28</v>
      </c>
      <c r="D1802" s="1" t="s">
        <v>32</v>
      </c>
      <c r="E1802" s="1">
        <v>12289016.779999999</v>
      </c>
      <c r="F1802" s="1">
        <v>458397.37</v>
      </c>
      <c r="G1802" s="1">
        <v>315404</v>
      </c>
      <c r="H1802" s="1">
        <v>38.962780369999997</v>
      </c>
    </row>
    <row r="1803" spans="1:8" ht="15.75" thickBot="1" x14ac:dyDescent="0.3">
      <c r="A1803" s="1">
        <v>2017</v>
      </c>
      <c r="B1803" s="1" t="s">
        <v>11</v>
      </c>
      <c r="C1803" s="1" t="s">
        <v>15</v>
      </c>
      <c r="D1803" s="1" t="s">
        <v>32</v>
      </c>
      <c r="E1803" s="1">
        <v>65154147.899999999</v>
      </c>
      <c r="F1803" s="1">
        <v>2116991.7200000002</v>
      </c>
      <c r="G1803" s="1">
        <v>1134294</v>
      </c>
      <c r="H1803" s="1">
        <v>57.44026496</v>
      </c>
    </row>
    <row r="1804" spans="1:8" ht="15.75" thickBot="1" x14ac:dyDescent="0.3">
      <c r="A1804" s="1">
        <v>2017</v>
      </c>
      <c r="B1804" s="1" t="s">
        <v>11</v>
      </c>
      <c r="C1804" s="1" t="s">
        <v>28</v>
      </c>
      <c r="D1804" s="1" t="s">
        <v>29</v>
      </c>
      <c r="E1804" s="1">
        <v>28360537.579999998</v>
      </c>
      <c r="F1804" s="1">
        <v>730003.35</v>
      </c>
      <c r="G1804" s="1">
        <v>24883</v>
      </c>
      <c r="H1804" s="1">
        <v>1139.7555589999999</v>
      </c>
    </row>
    <row r="1805" spans="1:8" ht="15.75" thickBot="1" x14ac:dyDescent="0.3">
      <c r="A1805" s="1">
        <v>2016</v>
      </c>
      <c r="B1805" s="1" t="s">
        <v>11</v>
      </c>
      <c r="C1805" s="1" t="s">
        <v>21</v>
      </c>
      <c r="D1805" s="1" t="s">
        <v>31</v>
      </c>
      <c r="E1805" s="1">
        <v>52530623.170000002</v>
      </c>
      <c r="F1805" s="1">
        <v>1510241.87</v>
      </c>
      <c r="G1805" s="1">
        <v>1039603</v>
      </c>
      <c r="H1805" s="1">
        <v>50.529503249999998</v>
      </c>
    </row>
    <row r="1806" spans="1:8" ht="15.75" thickBot="1" x14ac:dyDescent="0.3">
      <c r="A1806" s="1">
        <v>2016</v>
      </c>
      <c r="B1806" s="1" t="s">
        <v>14</v>
      </c>
      <c r="C1806" s="1" t="s">
        <v>33</v>
      </c>
      <c r="D1806" s="1" t="s">
        <v>32</v>
      </c>
      <c r="E1806" s="1">
        <v>134392966.30000001</v>
      </c>
      <c r="F1806" s="1">
        <v>4978770.62</v>
      </c>
      <c r="G1806" s="1">
        <v>2839264</v>
      </c>
      <c r="H1806" s="1">
        <v>47.333733770000002</v>
      </c>
    </row>
    <row r="1807" spans="1:8" ht="15.75" thickBot="1" x14ac:dyDescent="0.3">
      <c r="A1807" s="1">
        <v>2015</v>
      </c>
      <c r="B1807" s="1" t="s">
        <v>20</v>
      </c>
      <c r="C1807" s="1" t="s">
        <v>25</v>
      </c>
      <c r="D1807" s="1" t="s">
        <v>31</v>
      </c>
      <c r="E1807" s="1">
        <v>35469.160000000003</v>
      </c>
      <c r="F1807" s="1">
        <v>1458.81</v>
      </c>
      <c r="G1807" s="1">
        <v>3659</v>
      </c>
      <c r="H1807" s="1">
        <v>9.6936758679999997</v>
      </c>
    </row>
    <row r="1808" spans="1:8" ht="15.75" thickBot="1" x14ac:dyDescent="0.3">
      <c r="A1808" s="1">
        <v>2014</v>
      </c>
      <c r="B1808" s="1" t="s">
        <v>20</v>
      </c>
      <c r="C1808" s="1" t="s">
        <v>26</v>
      </c>
      <c r="D1808" s="1" t="s">
        <v>29</v>
      </c>
      <c r="E1808" s="1">
        <v>236418.51</v>
      </c>
      <c r="F1808" s="1">
        <v>8348.7199999999993</v>
      </c>
      <c r="G1808" s="1">
        <v>3353</v>
      </c>
      <c r="H1808" s="1">
        <v>70.509546670000006</v>
      </c>
    </row>
    <row r="1809" spans="1:8" ht="15.75" thickBot="1" x14ac:dyDescent="0.3">
      <c r="A1809" s="1">
        <v>2015</v>
      </c>
      <c r="B1809" s="1" t="s">
        <v>14</v>
      </c>
      <c r="C1809" s="1" t="s">
        <v>21</v>
      </c>
      <c r="D1809" s="1" t="s">
        <v>22</v>
      </c>
      <c r="E1809" s="1">
        <v>31529.89</v>
      </c>
      <c r="F1809" s="1">
        <v>929.19</v>
      </c>
      <c r="G1809" s="1">
        <v>1892</v>
      </c>
      <c r="H1809" s="1">
        <v>16.66484672</v>
      </c>
    </row>
    <row r="1810" spans="1:8" ht="15.75" thickBot="1" x14ac:dyDescent="0.3">
      <c r="A1810" s="1">
        <v>2015</v>
      </c>
      <c r="B1810" s="1" t="s">
        <v>35</v>
      </c>
      <c r="C1810" s="1" t="s">
        <v>9</v>
      </c>
      <c r="D1810" s="1" t="s">
        <v>29</v>
      </c>
      <c r="E1810" s="1">
        <v>3210.28</v>
      </c>
      <c r="F1810" s="1">
        <v>99.02</v>
      </c>
      <c r="G1810" s="1">
        <v>51</v>
      </c>
      <c r="H1810" s="1">
        <v>62.946666669999999</v>
      </c>
    </row>
    <row r="1811" spans="1:8" ht="15.75" thickBot="1" x14ac:dyDescent="0.3">
      <c r="A1811" s="1">
        <v>2017</v>
      </c>
      <c r="B1811" s="1" t="s">
        <v>16</v>
      </c>
      <c r="C1811" s="1" t="s">
        <v>26</v>
      </c>
      <c r="D1811" s="1" t="s">
        <v>32</v>
      </c>
      <c r="E1811" s="1">
        <v>111933100.09999999</v>
      </c>
      <c r="F1811" s="1">
        <v>4385271.71</v>
      </c>
      <c r="G1811" s="1">
        <v>2285943</v>
      </c>
      <c r="H1811" s="1">
        <v>48.965831629999997</v>
      </c>
    </row>
    <row r="1812" spans="1:8" ht="15.75" thickBot="1" x14ac:dyDescent="0.3">
      <c r="A1812" s="1">
        <v>2014</v>
      </c>
      <c r="B1812" s="1" t="s">
        <v>11</v>
      </c>
      <c r="C1812" s="1" t="s">
        <v>9</v>
      </c>
      <c r="D1812" s="1" t="s">
        <v>22</v>
      </c>
      <c r="E1812" s="1">
        <v>2451.38</v>
      </c>
      <c r="F1812" s="1">
        <v>65.27</v>
      </c>
      <c r="G1812" s="1">
        <v>319</v>
      </c>
      <c r="H1812" s="1">
        <v>7.6845768029999997</v>
      </c>
    </row>
    <row r="1813" spans="1:8" ht="15.75" thickBot="1" x14ac:dyDescent="0.3">
      <c r="A1813" s="1">
        <v>2014</v>
      </c>
      <c r="B1813" s="1" t="s">
        <v>35</v>
      </c>
      <c r="C1813" s="1" t="s">
        <v>28</v>
      </c>
      <c r="D1813" s="1" t="s">
        <v>24</v>
      </c>
      <c r="E1813" s="1">
        <v>25876.82</v>
      </c>
      <c r="F1813" s="1">
        <v>272.86</v>
      </c>
      <c r="G1813" s="1">
        <v>152</v>
      </c>
      <c r="H1813" s="1">
        <v>170.2422368</v>
      </c>
    </row>
    <row r="1814" spans="1:8" ht="15.75" thickBot="1" x14ac:dyDescent="0.3">
      <c r="A1814" s="1">
        <v>2017</v>
      </c>
      <c r="B1814" s="1" t="s">
        <v>14</v>
      </c>
      <c r="C1814" s="1" t="s">
        <v>15</v>
      </c>
      <c r="D1814" s="1" t="s">
        <v>10</v>
      </c>
      <c r="E1814" s="1">
        <v>9919014.9600000009</v>
      </c>
      <c r="F1814" s="1">
        <v>385865.67</v>
      </c>
      <c r="G1814" s="1">
        <v>233840</v>
      </c>
      <c r="H1814" s="1">
        <v>42.41795655</v>
      </c>
    </row>
    <row r="1815" spans="1:8" ht="15.75" thickBot="1" x14ac:dyDescent="0.3">
      <c r="A1815" s="1">
        <v>2016</v>
      </c>
      <c r="B1815" s="1" t="s">
        <v>11</v>
      </c>
      <c r="C1815" s="1" t="s">
        <v>9</v>
      </c>
      <c r="D1815" s="1" t="s">
        <v>29</v>
      </c>
      <c r="E1815" s="1">
        <v>21142.03</v>
      </c>
      <c r="F1815" s="1">
        <v>250.68</v>
      </c>
      <c r="G1815" s="1">
        <v>82</v>
      </c>
      <c r="H1815" s="1">
        <v>257.82963410000002</v>
      </c>
    </row>
    <row r="1816" spans="1:8" ht="15.75" thickBot="1" x14ac:dyDescent="0.3">
      <c r="A1816" s="1">
        <v>2014</v>
      </c>
      <c r="B1816" s="1" t="s">
        <v>12</v>
      </c>
      <c r="C1816" s="1" t="s">
        <v>25</v>
      </c>
      <c r="D1816" s="1" t="s">
        <v>22</v>
      </c>
      <c r="E1816" s="1">
        <v>157011</v>
      </c>
      <c r="F1816" s="1">
        <v>6017.6</v>
      </c>
      <c r="G1816" s="1">
        <v>8737</v>
      </c>
      <c r="H1816" s="1">
        <v>17.97081378</v>
      </c>
    </row>
    <row r="1817" spans="1:8" ht="15.75" thickBot="1" x14ac:dyDescent="0.3">
      <c r="A1817" s="1">
        <v>2017</v>
      </c>
      <c r="B1817" s="1" t="s">
        <v>35</v>
      </c>
      <c r="C1817" s="1" t="s">
        <v>21</v>
      </c>
      <c r="D1817" s="1" t="s">
        <v>27</v>
      </c>
      <c r="E1817" s="1">
        <v>26400.95</v>
      </c>
      <c r="F1817" s="1">
        <v>689.19</v>
      </c>
      <c r="G1817" s="1">
        <v>611</v>
      </c>
      <c r="H1817" s="1">
        <v>43.209410800000001</v>
      </c>
    </row>
    <row r="1818" spans="1:8" ht="15.75" thickBot="1" x14ac:dyDescent="0.3">
      <c r="A1818" s="1">
        <v>2015</v>
      </c>
      <c r="B1818" s="1" t="s">
        <v>17</v>
      </c>
      <c r="C1818" s="1" t="s">
        <v>23</v>
      </c>
      <c r="D1818" s="1" t="s">
        <v>24</v>
      </c>
      <c r="E1818" s="1">
        <v>16360370.199999999</v>
      </c>
      <c r="F1818" s="1">
        <v>556124.56000000006</v>
      </c>
      <c r="G1818" s="1">
        <v>77031</v>
      </c>
      <c r="H1818" s="1">
        <v>212.3868339</v>
      </c>
    </row>
    <row r="1819" spans="1:8" ht="15.75" thickBot="1" x14ac:dyDescent="0.3">
      <c r="A1819" s="1">
        <v>2014</v>
      </c>
      <c r="B1819" s="1" t="s">
        <v>11</v>
      </c>
      <c r="C1819" s="1" t="s">
        <v>9</v>
      </c>
      <c r="D1819" s="1" t="s">
        <v>22</v>
      </c>
      <c r="E1819" s="1">
        <v>1362.18</v>
      </c>
      <c r="F1819" s="1">
        <v>435.89</v>
      </c>
      <c r="G1819" s="1">
        <v>17458</v>
      </c>
      <c r="H1819" s="1">
        <v>7.8026119830000004E-2</v>
      </c>
    </row>
    <row r="1820" spans="1:8" ht="15.75" thickBot="1" x14ac:dyDescent="0.3">
      <c r="A1820" s="1">
        <v>2016</v>
      </c>
      <c r="B1820" s="1" t="s">
        <v>14</v>
      </c>
      <c r="C1820" s="1" t="s">
        <v>12</v>
      </c>
      <c r="D1820" s="1" t="s">
        <v>24</v>
      </c>
      <c r="E1820" s="1">
        <v>17613684.510000002</v>
      </c>
      <c r="F1820" s="1">
        <v>582173.52</v>
      </c>
      <c r="G1820" s="1">
        <v>81358</v>
      </c>
      <c r="H1820" s="1">
        <v>216.49603619999999</v>
      </c>
    </row>
    <row r="1821" spans="1:8" ht="15.75" thickBot="1" x14ac:dyDescent="0.3">
      <c r="A1821" s="1">
        <v>2016</v>
      </c>
      <c r="B1821" s="1" t="s">
        <v>17</v>
      </c>
      <c r="C1821" s="1" t="s">
        <v>21</v>
      </c>
      <c r="D1821" s="1" t="s">
        <v>24</v>
      </c>
      <c r="E1821" s="1">
        <v>32790705.280000001</v>
      </c>
      <c r="F1821" s="1">
        <v>1132610.08</v>
      </c>
      <c r="G1821" s="1">
        <v>144264</v>
      </c>
      <c r="H1821" s="1">
        <v>227.2965208</v>
      </c>
    </row>
    <row r="1822" spans="1:8" ht="15.75" thickBot="1" x14ac:dyDescent="0.3">
      <c r="A1822" s="1">
        <v>2015</v>
      </c>
      <c r="B1822" s="1" t="s">
        <v>12</v>
      </c>
      <c r="C1822" s="1" t="s">
        <v>23</v>
      </c>
      <c r="D1822" s="1" t="s">
        <v>27</v>
      </c>
      <c r="E1822" s="1">
        <v>22471223.719999999</v>
      </c>
      <c r="F1822" s="1">
        <v>935788.74</v>
      </c>
      <c r="G1822" s="1">
        <v>645074</v>
      </c>
      <c r="H1822" s="1">
        <v>34.835109959999997</v>
      </c>
    </row>
    <row r="1823" spans="1:8" ht="15.75" thickBot="1" x14ac:dyDescent="0.3">
      <c r="A1823" s="1">
        <v>2017</v>
      </c>
      <c r="B1823" s="1" t="s">
        <v>11</v>
      </c>
      <c r="C1823" s="1" t="s">
        <v>21</v>
      </c>
      <c r="D1823" s="1" t="s">
        <v>22</v>
      </c>
      <c r="E1823" s="1">
        <v>58492024.210000001</v>
      </c>
      <c r="F1823" s="1">
        <v>1816196.73</v>
      </c>
      <c r="G1823" s="1">
        <v>4138909</v>
      </c>
      <c r="H1823" s="1">
        <v>14.132232480000001</v>
      </c>
    </row>
    <row r="1824" spans="1:8" ht="15.75" thickBot="1" x14ac:dyDescent="0.3">
      <c r="A1824" s="1">
        <v>2015</v>
      </c>
      <c r="B1824" s="1" t="s">
        <v>17</v>
      </c>
      <c r="C1824" s="1" t="s">
        <v>9</v>
      </c>
      <c r="D1824" s="1" t="s">
        <v>10</v>
      </c>
      <c r="E1824" s="1">
        <v>30841.13</v>
      </c>
      <c r="F1824" s="1">
        <v>1216.3399999999999</v>
      </c>
      <c r="G1824" s="1">
        <v>11018</v>
      </c>
      <c r="H1824" s="1">
        <v>2.7991586490000002</v>
      </c>
    </row>
    <row r="1825" spans="1:8" ht="15.75" thickBot="1" x14ac:dyDescent="0.3">
      <c r="A1825" s="1">
        <v>2015</v>
      </c>
      <c r="B1825" s="1" t="s">
        <v>16</v>
      </c>
      <c r="C1825" s="1" t="s">
        <v>33</v>
      </c>
      <c r="D1825" s="1" t="s">
        <v>24</v>
      </c>
      <c r="E1825" s="1">
        <v>44805154</v>
      </c>
      <c r="F1825" s="1">
        <v>1538537.98</v>
      </c>
      <c r="G1825" s="1">
        <v>190052</v>
      </c>
      <c r="H1825" s="1">
        <v>235.75207839999999</v>
      </c>
    </row>
    <row r="1826" spans="1:8" ht="15.75" thickBot="1" x14ac:dyDescent="0.3">
      <c r="A1826" s="1">
        <v>2017</v>
      </c>
      <c r="B1826" s="1" t="s">
        <v>14</v>
      </c>
      <c r="C1826" s="1" t="s">
        <v>21</v>
      </c>
      <c r="D1826" s="1" t="s">
        <v>34</v>
      </c>
      <c r="E1826" s="1">
        <v>457669.86</v>
      </c>
      <c r="F1826" s="1">
        <v>19312.53</v>
      </c>
      <c r="G1826" s="1">
        <v>18219</v>
      </c>
      <c r="H1826" s="1">
        <v>25.120470940000001</v>
      </c>
    </row>
    <row r="1827" spans="1:8" ht="15.75" thickBot="1" x14ac:dyDescent="0.3">
      <c r="A1827" s="1">
        <v>2015</v>
      </c>
      <c r="B1827" s="1" t="s">
        <v>16</v>
      </c>
      <c r="C1827" s="1" t="s">
        <v>21</v>
      </c>
      <c r="D1827" s="1" t="s">
        <v>19</v>
      </c>
      <c r="E1827" s="1">
        <v>95514915.900000006</v>
      </c>
      <c r="F1827" s="1">
        <v>2982415.75</v>
      </c>
      <c r="G1827" s="1">
        <v>435583</v>
      </c>
      <c r="H1827" s="1">
        <v>219.2806329</v>
      </c>
    </row>
    <row r="1828" spans="1:8" ht="15.75" thickBot="1" x14ac:dyDescent="0.3">
      <c r="A1828" s="1">
        <v>2015</v>
      </c>
      <c r="B1828" s="1" t="s">
        <v>12</v>
      </c>
      <c r="C1828" s="1" t="s">
        <v>15</v>
      </c>
      <c r="D1828" s="1" t="s">
        <v>22</v>
      </c>
      <c r="E1828" s="1">
        <v>411.2</v>
      </c>
      <c r="F1828" s="1">
        <v>8.9600000000000009</v>
      </c>
      <c r="G1828" s="1">
        <v>25</v>
      </c>
      <c r="H1828" s="1">
        <v>16.448</v>
      </c>
    </row>
    <row r="1829" spans="1:8" ht="15.75" thickBot="1" x14ac:dyDescent="0.3">
      <c r="A1829" s="1">
        <v>2014</v>
      </c>
      <c r="B1829" s="1" t="s">
        <v>35</v>
      </c>
      <c r="C1829" s="1" t="s">
        <v>25</v>
      </c>
      <c r="D1829" s="1" t="s">
        <v>32</v>
      </c>
      <c r="E1829" s="1">
        <v>2128.92</v>
      </c>
      <c r="F1829" s="1">
        <v>143.83000000000001</v>
      </c>
      <c r="G1829" s="1">
        <v>413</v>
      </c>
      <c r="H1829" s="1">
        <v>5.1547699759999999</v>
      </c>
    </row>
    <row r="1830" spans="1:8" ht="15.75" thickBot="1" x14ac:dyDescent="0.3">
      <c r="A1830" s="1">
        <v>2014</v>
      </c>
      <c r="B1830" s="1" t="s">
        <v>16</v>
      </c>
      <c r="C1830" s="1" t="s">
        <v>15</v>
      </c>
      <c r="D1830" s="1" t="s">
        <v>29</v>
      </c>
      <c r="E1830" s="1">
        <v>9925124.1099999994</v>
      </c>
      <c r="F1830" s="1">
        <v>323855.53000000003</v>
      </c>
      <c r="G1830" s="1">
        <v>31683</v>
      </c>
      <c r="H1830" s="1">
        <v>313.26339389999998</v>
      </c>
    </row>
    <row r="1831" spans="1:8" ht="15.75" thickBot="1" x14ac:dyDescent="0.3">
      <c r="A1831" s="1">
        <v>2015</v>
      </c>
      <c r="B1831" s="1" t="s">
        <v>35</v>
      </c>
      <c r="C1831" s="1" t="s">
        <v>25</v>
      </c>
      <c r="D1831" s="1" t="s">
        <v>24</v>
      </c>
      <c r="E1831" s="1">
        <v>1379.92</v>
      </c>
      <c r="F1831" s="1">
        <v>74.650000000000006</v>
      </c>
      <c r="G1831" s="1">
        <v>25</v>
      </c>
      <c r="H1831" s="1">
        <v>55.196800000000003</v>
      </c>
    </row>
    <row r="1832" spans="1:8" ht="15.75" thickBot="1" x14ac:dyDescent="0.3">
      <c r="A1832" s="1">
        <v>2015</v>
      </c>
      <c r="B1832" s="1" t="s">
        <v>16</v>
      </c>
      <c r="C1832" s="1" t="s">
        <v>23</v>
      </c>
      <c r="D1832" s="1" t="s">
        <v>32</v>
      </c>
      <c r="E1832" s="1">
        <v>40761818.909999996</v>
      </c>
      <c r="F1832" s="1">
        <v>1680785.2</v>
      </c>
      <c r="G1832" s="1">
        <v>968145</v>
      </c>
      <c r="H1832" s="1">
        <v>42.103010300000001</v>
      </c>
    </row>
    <row r="1833" spans="1:8" ht="15.75" thickBot="1" x14ac:dyDescent="0.3">
      <c r="A1833" s="1">
        <v>2017</v>
      </c>
      <c r="B1833" s="1" t="s">
        <v>17</v>
      </c>
      <c r="C1833" s="1" t="s">
        <v>9</v>
      </c>
      <c r="D1833" s="1" t="s">
        <v>13</v>
      </c>
      <c r="E1833" s="1">
        <v>61.9</v>
      </c>
      <c r="F1833" s="1">
        <v>2.1</v>
      </c>
      <c r="G1833" s="1">
        <v>3</v>
      </c>
      <c r="H1833" s="1">
        <v>20.633333329999999</v>
      </c>
    </row>
    <row r="1834" spans="1:8" ht="15.75" thickBot="1" x14ac:dyDescent="0.3">
      <c r="A1834" s="1">
        <v>2014</v>
      </c>
      <c r="B1834" s="1" t="s">
        <v>17</v>
      </c>
      <c r="C1834" s="1" t="s">
        <v>12</v>
      </c>
      <c r="D1834" s="1" t="s">
        <v>22</v>
      </c>
      <c r="E1834" s="1">
        <v>412577.23</v>
      </c>
      <c r="F1834" s="1">
        <v>16002.81</v>
      </c>
      <c r="G1834" s="1">
        <v>48799</v>
      </c>
      <c r="H1834" s="1">
        <v>8.4546246850000006</v>
      </c>
    </row>
    <row r="1835" spans="1:8" ht="15.75" thickBot="1" x14ac:dyDescent="0.3">
      <c r="A1835" s="1">
        <v>2017</v>
      </c>
      <c r="B1835" s="1" t="s">
        <v>16</v>
      </c>
      <c r="C1835" s="1" t="s">
        <v>26</v>
      </c>
      <c r="D1835" s="1" t="s">
        <v>13</v>
      </c>
      <c r="E1835" s="1">
        <v>14798726.17</v>
      </c>
      <c r="F1835" s="1">
        <v>527474.92000000004</v>
      </c>
      <c r="G1835" s="1">
        <v>397029</v>
      </c>
      <c r="H1835" s="1">
        <v>37.273665579999999</v>
      </c>
    </row>
    <row r="1836" spans="1:8" ht="15.75" thickBot="1" x14ac:dyDescent="0.3">
      <c r="A1836" s="1">
        <v>2017</v>
      </c>
      <c r="B1836" s="1" t="s">
        <v>17</v>
      </c>
      <c r="C1836" s="1" t="s">
        <v>21</v>
      </c>
      <c r="D1836" s="1" t="s">
        <v>24</v>
      </c>
      <c r="E1836" s="1">
        <v>37997322.170000002</v>
      </c>
      <c r="F1836" s="1">
        <v>1348938.59</v>
      </c>
      <c r="G1836" s="1">
        <v>166125</v>
      </c>
      <c r="H1836" s="1">
        <v>228.72729670000001</v>
      </c>
    </row>
    <row r="1837" spans="1:8" ht="15.75" thickBot="1" x14ac:dyDescent="0.3">
      <c r="A1837" s="1">
        <v>2015</v>
      </c>
      <c r="B1837" s="1" t="s">
        <v>35</v>
      </c>
      <c r="C1837" s="1" t="s">
        <v>9</v>
      </c>
      <c r="D1837" s="1" t="s">
        <v>27</v>
      </c>
      <c r="E1837" s="1">
        <v>20032.12</v>
      </c>
      <c r="F1837" s="1">
        <v>555.66999999999996</v>
      </c>
      <c r="G1837" s="1">
        <v>121</v>
      </c>
      <c r="H1837" s="1">
        <v>165.55471069999999</v>
      </c>
    </row>
    <row r="1838" spans="1:8" ht="15.75" thickBot="1" x14ac:dyDescent="0.3">
      <c r="A1838" s="1">
        <v>2016</v>
      </c>
      <c r="B1838" s="1" t="s">
        <v>30</v>
      </c>
      <c r="C1838" s="1" t="s">
        <v>12</v>
      </c>
      <c r="D1838" s="1" t="s">
        <v>32</v>
      </c>
      <c r="E1838" s="1">
        <v>21618880.23</v>
      </c>
      <c r="F1838" s="1">
        <v>831848.36</v>
      </c>
      <c r="G1838" s="1">
        <v>436106</v>
      </c>
      <c r="H1838" s="1">
        <v>49.572535649999999</v>
      </c>
    </row>
    <row r="1839" spans="1:8" ht="15.75" thickBot="1" x14ac:dyDescent="0.3">
      <c r="A1839" s="1">
        <v>2015</v>
      </c>
      <c r="B1839" s="1" t="s">
        <v>17</v>
      </c>
      <c r="C1839" s="1" t="s">
        <v>23</v>
      </c>
      <c r="D1839" s="1" t="s">
        <v>19</v>
      </c>
      <c r="E1839" s="1">
        <v>19109603.07</v>
      </c>
      <c r="F1839" s="1">
        <v>699139.91</v>
      </c>
      <c r="G1839" s="1">
        <v>131299</v>
      </c>
      <c r="H1839" s="1">
        <v>145.54263990000001</v>
      </c>
    </row>
    <row r="1840" spans="1:8" ht="15.75" thickBot="1" x14ac:dyDescent="0.3">
      <c r="A1840" s="1">
        <v>2016</v>
      </c>
      <c r="B1840" s="1" t="s">
        <v>17</v>
      </c>
      <c r="C1840" s="1" t="s">
        <v>9</v>
      </c>
      <c r="D1840" s="1" t="s">
        <v>13</v>
      </c>
      <c r="E1840" s="1">
        <v>27.98</v>
      </c>
      <c r="F1840" s="1">
        <v>1.1100000000000001</v>
      </c>
      <c r="G1840" s="1">
        <v>1</v>
      </c>
      <c r="H1840" s="1">
        <v>27.98</v>
      </c>
    </row>
    <row r="1841" spans="1:8" ht="15.75" thickBot="1" x14ac:dyDescent="0.3">
      <c r="A1841" s="1">
        <v>2017</v>
      </c>
      <c r="B1841" s="1" t="s">
        <v>8</v>
      </c>
      <c r="C1841" s="1" t="s">
        <v>12</v>
      </c>
      <c r="D1841" s="1" t="s">
        <v>32</v>
      </c>
      <c r="E1841" s="1">
        <v>516.75</v>
      </c>
      <c r="F1841" s="1">
        <v>22.07</v>
      </c>
      <c r="G1841" s="1">
        <v>12</v>
      </c>
      <c r="H1841" s="1">
        <v>43.0625</v>
      </c>
    </row>
    <row r="1842" spans="1:8" ht="15.75" thickBot="1" x14ac:dyDescent="0.3">
      <c r="A1842" s="1">
        <v>2017</v>
      </c>
      <c r="B1842" s="1" t="s">
        <v>14</v>
      </c>
      <c r="C1842" s="1" t="s">
        <v>22</v>
      </c>
      <c r="D1842" s="1" t="s">
        <v>32</v>
      </c>
      <c r="E1842" s="1">
        <v>70</v>
      </c>
      <c r="F1842" s="1">
        <v>2.39</v>
      </c>
      <c r="G1842" s="1">
        <v>2</v>
      </c>
      <c r="H1842" s="1">
        <v>35</v>
      </c>
    </row>
    <row r="1843" spans="1:8" ht="15.75" thickBot="1" x14ac:dyDescent="0.3">
      <c r="A1843" s="1">
        <v>2015</v>
      </c>
      <c r="B1843" s="1" t="s">
        <v>16</v>
      </c>
      <c r="C1843" s="1" t="s">
        <v>26</v>
      </c>
      <c r="D1843" s="1" t="s">
        <v>31</v>
      </c>
      <c r="E1843" s="1">
        <v>3132746.52</v>
      </c>
      <c r="F1843" s="1">
        <v>119474.47</v>
      </c>
      <c r="G1843" s="1">
        <v>64958</v>
      </c>
      <c r="H1843" s="1">
        <v>48.227262539999998</v>
      </c>
    </row>
    <row r="1844" spans="1:8" ht="15.75" thickBot="1" x14ac:dyDescent="0.3">
      <c r="A1844" s="1">
        <v>2016</v>
      </c>
      <c r="B1844" s="1" t="s">
        <v>35</v>
      </c>
      <c r="C1844" s="1" t="s">
        <v>9</v>
      </c>
      <c r="D1844" s="1" t="s">
        <v>37</v>
      </c>
      <c r="E1844" s="1">
        <v>4387.75</v>
      </c>
      <c r="F1844" s="1">
        <v>150.28</v>
      </c>
      <c r="G1844" s="1">
        <v>221</v>
      </c>
      <c r="H1844" s="1">
        <v>19.8540724</v>
      </c>
    </row>
    <row r="1845" spans="1:8" ht="15.75" thickBot="1" x14ac:dyDescent="0.3">
      <c r="A1845" s="1">
        <v>2016</v>
      </c>
      <c r="B1845" s="1" t="s">
        <v>40</v>
      </c>
      <c r="C1845" s="1" t="s">
        <v>12</v>
      </c>
      <c r="D1845" s="1" t="s">
        <v>13</v>
      </c>
      <c r="E1845" s="1">
        <v>350</v>
      </c>
      <c r="F1845" s="1">
        <v>8.34</v>
      </c>
      <c r="G1845" s="1">
        <v>8</v>
      </c>
      <c r="H1845" s="1">
        <v>43.75</v>
      </c>
    </row>
    <row r="1846" spans="1:8" ht="15.75" thickBot="1" x14ac:dyDescent="0.3">
      <c r="A1846" s="1">
        <v>2014</v>
      </c>
      <c r="B1846" s="1" t="s">
        <v>20</v>
      </c>
      <c r="C1846" s="1" t="s">
        <v>25</v>
      </c>
      <c r="D1846" s="1" t="s">
        <v>19</v>
      </c>
      <c r="E1846" s="1">
        <v>3293353.49</v>
      </c>
      <c r="F1846" s="1">
        <v>116847.98</v>
      </c>
      <c r="G1846" s="1">
        <v>52666</v>
      </c>
      <c r="H1846" s="1">
        <v>62.532819850000003</v>
      </c>
    </row>
    <row r="1847" spans="1:8" ht="15.75" thickBot="1" x14ac:dyDescent="0.3">
      <c r="A1847" s="1">
        <v>2015</v>
      </c>
      <c r="B1847" s="1" t="s">
        <v>11</v>
      </c>
      <c r="C1847" s="1" t="s">
        <v>33</v>
      </c>
      <c r="D1847" s="1" t="s">
        <v>13</v>
      </c>
      <c r="E1847" s="1">
        <v>173131.67</v>
      </c>
      <c r="F1847" s="1">
        <v>4347.54</v>
      </c>
      <c r="G1847" s="1">
        <v>3078</v>
      </c>
      <c r="H1847" s="1">
        <v>56.24810591</v>
      </c>
    </row>
    <row r="1848" spans="1:8" ht="15.75" thickBot="1" x14ac:dyDescent="0.3">
      <c r="A1848" s="1">
        <v>2014</v>
      </c>
      <c r="B1848" s="1" t="s">
        <v>35</v>
      </c>
      <c r="C1848" s="1" t="s">
        <v>23</v>
      </c>
      <c r="D1848" s="1" t="s">
        <v>13</v>
      </c>
      <c r="E1848" s="1">
        <v>20.46</v>
      </c>
      <c r="F1848" s="1">
        <v>0.89</v>
      </c>
      <c r="G1848" s="1">
        <v>1</v>
      </c>
      <c r="H1848" s="1">
        <v>20.46</v>
      </c>
    </row>
    <row r="1849" spans="1:8" ht="15.75" thickBot="1" x14ac:dyDescent="0.3">
      <c r="A1849" s="1">
        <v>2014</v>
      </c>
      <c r="B1849" s="1" t="s">
        <v>40</v>
      </c>
      <c r="C1849" s="1" t="s">
        <v>15</v>
      </c>
      <c r="D1849" s="1" t="s">
        <v>27</v>
      </c>
      <c r="E1849" s="1">
        <v>52476.68</v>
      </c>
      <c r="F1849" s="1">
        <v>1567.89</v>
      </c>
      <c r="G1849" s="1">
        <v>511</v>
      </c>
      <c r="H1849" s="1">
        <v>102.69409</v>
      </c>
    </row>
    <row r="1850" spans="1:8" ht="15.75" thickBot="1" x14ac:dyDescent="0.3">
      <c r="A1850" s="1">
        <v>2016</v>
      </c>
      <c r="B1850" s="1" t="s">
        <v>16</v>
      </c>
      <c r="C1850" s="1" t="s">
        <v>21</v>
      </c>
      <c r="D1850" s="1" t="s">
        <v>19</v>
      </c>
      <c r="E1850" s="1">
        <v>101859323.59999999</v>
      </c>
      <c r="F1850" s="1">
        <v>2995709.21</v>
      </c>
      <c r="G1850" s="1">
        <v>459734</v>
      </c>
      <c r="H1850" s="1">
        <v>221.5614325</v>
      </c>
    </row>
    <row r="1851" spans="1:8" ht="15.75" thickBot="1" x14ac:dyDescent="0.3">
      <c r="A1851" s="1">
        <v>2015</v>
      </c>
      <c r="B1851" s="1" t="s">
        <v>17</v>
      </c>
      <c r="C1851" s="1" t="s">
        <v>18</v>
      </c>
      <c r="D1851" s="1" t="s">
        <v>27</v>
      </c>
      <c r="E1851" s="1">
        <v>88805572.209999993</v>
      </c>
      <c r="F1851" s="1">
        <v>2879927.06</v>
      </c>
      <c r="G1851" s="1">
        <v>924523</v>
      </c>
      <c r="H1851" s="1">
        <v>96.055557530000002</v>
      </c>
    </row>
    <row r="1852" spans="1:8" ht="15.75" thickBot="1" x14ac:dyDescent="0.3">
      <c r="A1852" s="1">
        <v>2017</v>
      </c>
      <c r="B1852" s="1" t="s">
        <v>17</v>
      </c>
      <c r="C1852" s="1" t="s">
        <v>33</v>
      </c>
      <c r="D1852" s="1" t="s">
        <v>34</v>
      </c>
      <c r="E1852" s="1">
        <v>1439737.02</v>
      </c>
      <c r="F1852" s="1">
        <v>48731.47</v>
      </c>
      <c r="G1852" s="1">
        <v>31158</v>
      </c>
      <c r="H1852" s="1">
        <v>46.207619870000002</v>
      </c>
    </row>
    <row r="1853" spans="1:8" ht="15.75" thickBot="1" x14ac:dyDescent="0.3">
      <c r="A1853" s="1">
        <v>2014</v>
      </c>
      <c r="B1853" s="1" t="s">
        <v>17</v>
      </c>
      <c r="C1853" s="1" t="s">
        <v>28</v>
      </c>
      <c r="D1853" s="1" t="s">
        <v>27</v>
      </c>
      <c r="E1853" s="1">
        <v>527180832.30000001</v>
      </c>
      <c r="F1853" s="1">
        <v>16200506.1</v>
      </c>
      <c r="G1853" s="1">
        <v>5298493</v>
      </c>
      <c r="H1853" s="1">
        <v>99.49637233</v>
      </c>
    </row>
    <row r="1854" spans="1:8" ht="15.75" thickBot="1" x14ac:dyDescent="0.3">
      <c r="A1854" s="1">
        <v>2015</v>
      </c>
      <c r="B1854" s="1" t="s">
        <v>12</v>
      </c>
      <c r="C1854" s="1" t="s">
        <v>9</v>
      </c>
      <c r="D1854" s="1" t="s">
        <v>27</v>
      </c>
      <c r="E1854" s="1">
        <v>3335794.01</v>
      </c>
      <c r="F1854" s="1">
        <v>123866.22</v>
      </c>
      <c r="G1854" s="1">
        <v>57511</v>
      </c>
      <c r="H1854" s="1">
        <v>58.002712699999996</v>
      </c>
    </row>
    <row r="1855" spans="1:8" ht="15.75" thickBot="1" x14ac:dyDescent="0.3">
      <c r="A1855" s="1">
        <v>2016</v>
      </c>
      <c r="B1855" s="1" t="s">
        <v>35</v>
      </c>
      <c r="C1855" s="1" t="s">
        <v>26</v>
      </c>
      <c r="D1855" s="1" t="s">
        <v>32</v>
      </c>
      <c r="E1855" s="1">
        <v>1326.53</v>
      </c>
      <c r="F1855" s="1">
        <v>92.51</v>
      </c>
      <c r="G1855" s="1">
        <v>300</v>
      </c>
      <c r="H1855" s="1">
        <v>4.421766667</v>
      </c>
    </row>
    <row r="1856" spans="1:8" ht="15.75" thickBot="1" x14ac:dyDescent="0.3">
      <c r="A1856" s="1">
        <v>2015</v>
      </c>
      <c r="B1856" s="1" t="s">
        <v>40</v>
      </c>
      <c r="C1856" s="1" t="s">
        <v>9</v>
      </c>
      <c r="D1856" s="1" t="s">
        <v>13</v>
      </c>
      <c r="E1856" s="1">
        <v>86</v>
      </c>
      <c r="F1856" s="1">
        <v>0.45</v>
      </c>
      <c r="G1856" s="1">
        <v>9</v>
      </c>
      <c r="H1856" s="1">
        <v>9.5555555559999998</v>
      </c>
    </row>
    <row r="1857" spans="1:8" ht="15.75" thickBot="1" x14ac:dyDescent="0.3">
      <c r="A1857" s="1">
        <v>2014</v>
      </c>
      <c r="B1857" s="1" t="s">
        <v>11</v>
      </c>
      <c r="C1857" s="1" t="s">
        <v>9</v>
      </c>
      <c r="D1857" s="1" t="s">
        <v>19</v>
      </c>
      <c r="E1857" s="1">
        <v>7</v>
      </c>
      <c r="F1857" s="1">
        <v>0.43</v>
      </c>
      <c r="G1857" s="1">
        <v>56</v>
      </c>
      <c r="H1857" s="1">
        <v>0.125</v>
      </c>
    </row>
    <row r="1858" spans="1:8" ht="15.75" thickBot="1" x14ac:dyDescent="0.3">
      <c r="A1858" s="1">
        <v>2014</v>
      </c>
      <c r="B1858" s="1" t="s">
        <v>40</v>
      </c>
      <c r="C1858" s="1" t="s">
        <v>23</v>
      </c>
      <c r="D1858" s="1" t="s">
        <v>19</v>
      </c>
      <c r="E1858" s="1">
        <v>7663.11</v>
      </c>
      <c r="F1858" s="1">
        <v>147.41</v>
      </c>
      <c r="G1858" s="1">
        <v>90</v>
      </c>
      <c r="H1858" s="1">
        <v>85.145666669999997</v>
      </c>
    </row>
    <row r="1859" spans="1:8" ht="15.75" thickBot="1" x14ac:dyDescent="0.3">
      <c r="A1859" s="1">
        <v>2016</v>
      </c>
      <c r="B1859" s="1" t="s">
        <v>11</v>
      </c>
      <c r="C1859" s="1" t="s">
        <v>12</v>
      </c>
      <c r="D1859" s="1" t="s">
        <v>29</v>
      </c>
      <c r="E1859" s="1">
        <v>1202254.02</v>
      </c>
      <c r="F1859" s="1">
        <v>35559.19</v>
      </c>
      <c r="G1859" s="1">
        <v>3216</v>
      </c>
      <c r="H1859" s="1">
        <v>373.83520520000002</v>
      </c>
    </row>
    <row r="1860" spans="1:8" ht="15.75" thickBot="1" x14ac:dyDescent="0.3">
      <c r="A1860" s="1">
        <v>2015</v>
      </c>
      <c r="B1860" s="1" t="s">
        <v>40</v>
      </c>
      <c r="C1860" s="1" t="s">
        <v>15</v>
      </c>
      <c r="D1860" s="1" t="s">
        <v>19</v>
      </c>
      <c r="E1860" s="1">
        <v>33388.879999999997</v>
      </c>
      <c r="F1860" s="1">
        <v>879.11</v>
      </c>
      <c r="G1860" s="1">
        <v>299</v>
      </c>
      <c r="H1860" s="1">
        <v>111.66849499999999</v>
      </c>
    </row>
    <row r="1861" spans="1:8" ht="15.75" thickBot="1" x14ac:dyDescent="0.3">
      <c r="A1861" s="1">
        <v>2015</v>
      </c>
      <c r="B1861" s="1" t="s">
        <v>12</v>
      </c>
      <c r="C1861" s="1" t="s">
        <v>9</v>
      </c>
      <c r="D1861" s="1" t="s">
        <v>24</v>
      </c>
      <c r="E1861" s="1">
        <v>4874338.46</v>
      </c>
      <c r="F1861" s="1">
        <v>152625.12</v>
      </c>
      <c r="G1861" s="1">
        <v>15538</v>
      </c>
      <c r="H1861" s="1">
        <v>313.70436740000002</v>
      </c>
    </row>
    <row r="1862" spans="1:8" ht="15.75" thickBot="1" x14ac:dyDescent="0.3">
      <c r="A1862" s="1">
        <v>2016</v>
      </c>
      <c r="B1862" s="1" t="s">
        <v>35</v>
      </c>
      <c r="C1862" s="1" t="s">
        <v>28</v>
      </c>
      <c r="D1862" s="1" t="s">
        <v>36</v>
      </c>
      <c r="E1862" s="1">
        <v>20802.16</v>
      </c>
      <c r="F1862" s="1">
        <v>128.32</v>
      </c>
      <c r="G1862" s="1">
        <v>541</v>
      </c>
      <c r="H1862" s="1">
        <v>38.451312379999997</v>
      </c>
    </row>
    <row r="1863" spans="1:8" ht="15.75" thickBot="1" x14ac:dyDescent="0.3">
      <c r="A1863" s="1">
        <v>2016</v>
      </c>
      <c r="B1863" s="1" t="s">
        <v>16</v>
      </c>
      <c r="C1863" s="1" t="s">
        <v>9</v>
      </c>
      <c r="D1863" s="1" t="s">
        <v>29</v>
      </c>
      <c r="E1863" s="1">
        <v>17403071.73</v>
      </c>
      <c r="F1863" s="1">
        <v>556086.39</v>
      </c>
      <c r="G1863" s="1">
        <v>54248</v>
      </c>
      <c r="H1863" s="1">
        <v>320.80577590000001</v>
      </c>
    </row>
    <row r="1864" spans="1:8" ht="15.75" thickBot="1" x14ac:dyDescent="0.3">
      <c r="A1864" s="1">
        <v>2015</v>
      </c>
      <c r="B1864" s="1" t="s">
        <v>16</v>
      </c>
      <c r="C1864" s="1" t="s">
        <v>9</v>
      </c>
      <c r="D1864" s="1" t="s">
        <v>37</v>
      </c>
      <c r="E1864" s="1">
        <v>577679321.29999995</v>
      </c>
      <c r="F1864" s="1">
        <v>18211197.530000001</v>
      </c>
      <c r="G1864" s="1">
        <v>1900774</v>
      </c>
      <c r="H1864" s="1">
        <v>303.91794149999998</v>
      </c>
    </row>
    <row r="1865" spans="1:8" ht="15.75" thickBot="1" x14ac:dyDescent="0.3">
      <c r="A1865" s="1">
        <v>2017</v>
      </c>
      <c r="B1865" s="1" t="s">
        <v>17</v>
      </c>
      <c r="C1865" s="1" t="s">
        <v>25</v>
      </c>
      <c r="D1865" s="1" t="s">
        <v>29</v>
      </c>
      <c r="E1865" s="1">
        <v>26435343.059999999</v>
      </c>
      <c r="F1865" s="1">
        <v>930161.29</v>
      </c>
      <c r="G1865" s="1">
        <v>86845</v>
      </c>
      <c r="H1865" s="1">
        <v>304.39683409999998</v>
      </c>
    </row>
    <row r="1866" spans="1:8" ht="15.75" thickBot="1" x14ac:dyDescent="0.3">
      <c r="A1866" s="1">
        <v>2014</v>
      </c>
      <c r="B1866" s="1" t="s">
        <v>16</v>
      </c>
      <c r="C1866" s="1" t="s">
        <v>12</v>
      </c>
      <c r="D1866" s="1" t="s">
        <v>27</v>
      </c>
      <c r="E1866" s="1">
        <v>351120723.80000001</v>
      </c>
      <c r="F1866" s="1">
        <v>14237514.1</v>
      </c>
      <c r="G1866" s="1">
        <v>6784210</v>
      </c>
      <c r="H1866" s="1">
        <v>51.755580049999999</v>
      </c>
    </row>
    <row r="1867" spans="1:8" ht="15.75" thickBot="1" x14ac:dyDescent="0.3">
      <c r="A1867" s="1">
        <v>2017</v>
      </c>
      <c r="B1867" s="1" t="s">
        <v>12</v>
      </c>
      <c r="C1867" s="1" t="s">
        <v>25</v>
      </c>
      <c r="D1867" s="1" t="s">
        <v>24</v>
      </c>
      <c r="E1867" s="1">
        <v>2680478.2200000002</v>
      </c>
      <c r="F1867" s="1">
        <v>88373.25</v>
      </c>
      <c r="G1867" s="1">
        <v>9808</v>
      </c>
      <c r="H1867" s="1">
        <v>273.29508770000001</v>
      </c>
    </row>
    <row r="1868" spans="1:8" ht="15.75" thickBot="1" x14ac:dyDescent="0.3">
      <c r="A1868" s="1">
        <v>2015</v>
      </c>
      <c r="B1868" s="1" t="s">
        <v>16</v>
      </c>
      <c r="C1868" s="1" t="s">
        <v>15</v>
      </c>
      <c r="D1868" s="1" t="s">
        <v>22</v>
      </c>
      <c r="E1868" s="1">
        <v>92108.4</v>
      </c>
      <c r="F1868" s="1">
        <v>2670.29</v>
      </c>
      <c r="G1868" s="1">
        <v>5012</v>
      </c>
      <c r="H1868" s="1">
        <v>18.377573819999999</v>
      </c>
    </row>
    <row r="1869" spans="1:8" ht="15.75" thickBot="1" x14ac:dyDescent="0.3">
      <c r="A1869" s="1">
        <v>2015</v>
      </c>
      <c r="B1869" s="1" t="s">
        <v>11</v>
      </c>
      <c r="C1869" s="1" t="s">
        <v>12</v>
      </c>
      <c r="D1869" s="1" t="s">
        <v>22</v>
      </c>
      <c r="E1869" s="1">
        <v>5118741.6100000003</v>
      </c>
      <c r="F1869" s="1">
        <v>171273.16</v>
      </c>
      <c r="G1869" s="1">
        <v>327619</v>
      </c>
      <c r="H1869" s="1">
        <v>15.624068230000001</v>
      </c>
    </row>
    <row r="1870" spans="1:8" ht="15.75" thickBot="1" x14ac:dyDescent="0.3">
      <c r="A1870" s="1">
        <v>2014</v>
      </c>
      <c r="B1870" s="1" t="s">
        <v>35</v>
      </c>
      <c r="C1870" s="1" t="s">
        <v>21</v>
      </c>
      <c r="D1870" s="1" t="s">
        <v>27</v>
      </c>
      <c r="E1870" s="1">
        <v>30367.66</v>
      </c>
      <c r="F1870" s="1">
        <v>1272.06</v>
      </c>
      <c r="G1870" s="1">
        <v>621</v>
      </c>
      <c r="H1870" s="1">
        <v>48.901223829999999</v>
      </c>
    </row>
    <row r="1871" spans="1:8" ht="15.75" thickBot="1" x14ac:dyDescent="0.3">
      <c r="A1871" s="1">
        <v>2016</v>
      </c>
      <c r="B1871" s="1" t="s">
        <v>11</v>
      </c>
      <c r="C1871" s="1" t="s">
        <v>25</v>
      </c>
      <c r="D1871" s="1" t="s">
        <v>22</v>
      </c>
      <c r="E1871" s="1">
        <v>62409476.170000002</v>
      </c>
      <c r="F1871" s="1">
        <v>1894250.08</v>
      </c>
      <c r="G1871" s="1">
        <v>4816902</v>
      </c>
      <c r="H1871" s="1">
        <v>12.95635165</v>
      </c>
    </row>
    <row r="1872" spans="1:8" ht="15.75" thickBot="1" x14ac:dyDescent="0.3">
      <c r="A1872" s="1">
        <v>2015</v>
      </c>
      <c r="B1872" s="1" t="s">
        <v>12</v>
      </c>
      <c r="C1872" s="1" t="s">
        <v>28</v>
      </c>
      <c r="D1872" s="1" t="s">
        <v>32</v>
      </c>
      <c r="E1872" s="1">
        <v>7032832.4100000001</v>
      </c>
      <c r="F1872" s="1">
        <v>248343.46</v>
      </c>
      <c r="G1872" s="1">
        <v>132750</v>
      </c>
      <c r="H1872" s="1">
        <v>52.978021920000003</v>
      </c>
    </row>
    <row r="1873" spans="1:8" ht="15.75" thickBot="1" x14ac:dyDescent="0.3">
      <c r="A1873" s="1">
        <v>2017</v>
      </c>
      <c r="B1873" s="1" t="s">
        <v>30</v>
      </c>
      <c r="C1873" s="1" t="s">
        <v>12</v>
      </c>
      <c r="D1873" s="1" t="s">
        <v>24</v>
      </c>
      <c r="E1873" s="1">
        <v>33357647.859999999</v>
      </c>
      <c r="F1873" s="1">
        <v>1096060.25</v>
      </c>
      <c r="G1873" s="1">
        <v>164856</v>
      </c>
      <c r="H1873" s="1">
        <v>202.344154</v>
      </c>
    </row>
    <row r="1874" spans="1:8" ht="15.75" thickBot="1" x14ac:dyDescent="0.3">
      <c r="A1874" s="1">
        <v>2015</v>
      </c>
      <c r="B1874" s="1" t="s">
        <v>17</v>
      </c>
      <c r="C1874" s="1" t="s">
        <v>9</v>
      </c>
      <c r="D1874" s="1" t="s">
        <v>31</v>
      </c>
      <c r="E1874" s="1">
        <v>20254.009999999998</v>
      </c>
      <c r="F1874" s="1">
        <v>649.85</v>
      </c>
      <c r="G1874" s="1">
        <v>3781</v>
      </c>
      <c r="H1874" s="1">
        <v>5.3567865640000001</v>
      </c>
    </row>
    <row r="1875" spans="1:8" ht="15.75" thickBot="1" x14ac:dyDescent="0.3">
      <c r="A1875" s="1">
        <v>2016</v>
      </c>
      <c r="B1875" s="1" t="s">
        <v>12</v>
      </c>
      <c r="C1875" s="1" t="s">
        <v>25</v>
      </c>
      <c r="D1875" s="1" t="s">
        <v>19</v>
      </c>
      <c r="E1875" s="1">
        <v>6313440.9000000004</v>
      </c>
      <c r="F1875" s="1">
        <v>173476.94</v>
      </c>
      <c r="G1875" s="1">
        <v>27256</v>
      </c>
      <c r="H1875" s="1">
        <v>231.63490239999999</v>
      </c>
    </row>
    <row r="1876" spans="1:8" ht="15.75" thickBot="1" x14ac:dyDescent="0.3">
      <c r="A1876" s="1">
        <v>2016</v>
      </c>
      <c r="B1876" s="1" t="s">
        <v>12</v>
      </c>
      <c r="C1876" s="1" t="s">
        <v>9</v>
      </c>
      <c r="D1876" s="1" t="s">
        <v>19</v>
      </c>
      <c r="E1876" s="1">
        <v>35577.78</v>
      </c>
      <c r="F1876" s="1">
        <v>546.4</v>
      </c>
      <c r="G1876" s="1">
        <v>1273</v>
      </c>
      <c r="H1876" s="1">
        <v>27.94798115</v>
      </c>
    </row>
    <row r="1877" spans="1:8" ht="15.75" thickBot="1" x14ac:dyDescent="0.3">
      <c r="A1877" s="1">
        <v>2017</v>
      </c>
      <c r="B1877" s="1" t="s">
        <v>35</v>
      </c>
      <c r="C1877" s="1" t="s">
        <v>33</v>
      </c>
      <c r="D1877" s="1" t="s">
        <v>19</v>
      </c>
      <c r="E1877" s="1">
        <v>17852.7</v>
      </c>
      <c r="F1877" s="1">
        <v>835.61</v>
      </c>
      <c r="G1877" s="1">
        <v>846</v>
      </c>
      <c r="H1877" s="1">
        <v>21.102482269999999</v>
      </c>
    </row>
    <row r="1878" spans="1:8" ht="15.75" thickBot="1" x14ac:dyDescent="0.3">
      <c r="A1878" s="1">
        <v>2015</v>
      </c>
      <c r="B1878" s="1" t="s">
        <v>16</v>
      </c>
      <c r="C1878" s="1" t="s">
        <v>33</v>
      </c>
      <c r="D1878" s="1" t="s">
        <v>10</v>
      </c>
      <c r="E1878" s="1">
        <v>25120989.82</v>
      </c>
      <c r="F1878" s="1">
        <v>902893.08</v>
      </c>
      <c r="G1878" s="1">
        <v>430262</v>
      </c>
      <c r="H1878" s="1">
        <v>58.385332239999997</v>
      </c>
    </row>
    <row r="1879" spans="1:8" ht="15.75" thickBot="1" x14ac:dyDescent="0.3">
      <c r="A1879" s="1">
        <v>2016</v>
      </c>
      <c r="B1879" s="1" t="s">
        <v>35</v>
      </c>
      <c r="C1879" s="1" t="s">
        <v>12</v>
      </c>
      <c r="D1879" s="1" t="s">
        <v>27</v>
      </c>
      <c r="E1879" s="1">
        <v>10761.05</v>
      </c>
      <c r="F1879" s="1">
        <v>413.41</v>
      </c>
      <c r="G1879" s="1">
        <v>464</v>
      </c>
      <c r="H1879" s="1">
        <v>23.191918099999999</v>
      </c>
    </row>
    <row r="1880" spans="1:8" ht="15.75" thickBot="1" x14ac:dyDescent="0.3">
      <c r="A1880" s="1">
        <v>2017</v>
      </c>
      <c r="B1880" s="1" t="s">
        <v>16</v>
      </c>
      <c r="C1880" s="1" t="s">
        <v>12</v>
      </c>
      <c r="D1880" s="1" t="s">
        <v>32</v>
      </c>
      <c r="E1880" s="1">
        <v>102337820.90000001</v>
      </c>
      <c r="F1880" s="1">
        <v>3844237.72</v>
      </c>
      <c r="G1880" s="1">
        <v>1557562</v>
      </c>
      <c r="H1880" s="1">
        <v>65.703850590000002</v>
      </c>
    </row>
    <row r="1881" spans="1:8" ht="15.75" thickBot="1" x14ac:dyDescent="0.3">
      <c r="A1881" s="1">
        <v>2015</v>
      </c>
      <c r="B1881" s="1" t="s">
        <v>11</v>
      </c>
      <c r="C1881" s="1" t="s">
        <v>25</v>
      </c>
      <c r="D1881" s="1" t="s">
        <v>27</v>
      </c>
      <c r="E1881" s="1">
        <v>337906350</v>
      </c>
      <c r="F1881" s="1">
        <v>9665017.4600000009</v>
      </c>
      <c r="G1881" s="1">
        <v>4977946</v>
      </c>
      <c r="H1881" s="1">
        <v>67.880678099999997</v>
      </c>
    </row>
    <row r="1882" spans="1:8" ht="15.75" thickBot="1" x14ac:dyDescent="0.3">
      <c r="A1882" s="1">
        <v>2016</v>
      </c>
      <c r="B1882" s="1" t="s">
        <v>8</v>
      </c>
      <c r="C1882" s="1" t="s">
        <v>23</v>
      </c>
      <c r="D1882" s="1" t="s">
        <v>19</v>
      </c>
      <c r="E1882" s="1">
        <v>139.5</v>
      </c>
      <c r="F1882" s="1">
        <v>5.4</v>
      </c>
      <c r="G1882" s="1">
        <v>6</v>
      </c>
      <c r="H1882" s="1">
        <v>23.25</v>
      </c>
    </row>
    <row r="1883" spans="1:8" ht="15.75" thickBot="1" x14ac:dyDescent="0.3">
      <c r="A1883" s="1">
        <v>2017</v>
      </c>
      <c r="B1883" s="1" t="s">
        <v>20</v>
      </c>
      <c r="C1883" s="1" t="s">
        <v>23</v>
      </c>
      <c r="D1883" s="1" t="s">
        <v>10</v>
      </c>
      <c r="E1883" s="1">
        <v>618132.96</v>
      </c>
      <c r="F1883" s="1">
        <v>29103.45</v>
      </c>
      <c r="G1883" s="1">
        <v>32880</v>
      </c>
      <c r="H1883" s="1">
        <v>18.799664230000001</v>
      </c>
    </row>
    <row r="1884" spans="1:8" ht="15.75" thickBot="1" x14ac:dyDescent="0.3">
      <c r="A1884" s="1">
        <v>2015</v>
      </c>
      <c r="B1884" s="1" t="s">
        <v>12</v>
      </c>
      <c r="C1884" s="1" t="s">
        <v>21</v>
      </c>
      <c r="D1884" s="1" t="s">
        <v>29</v>
      </c>
      <c r="E1884" s="1">
        <v>2015728.85</v>
      </c>
      <c r="F1884" s="1">
        <v>63214.82</v>
      </c>
      <c r="G1884" s="1">
        <v>6528</v>
      </c>
      <c r="H1884" s="1">
        <v>308.781993</v>
      </c>
    </row>
    <row r="1885" spans="1:8" ht="15.75" thickBot="1" x14ac:dyDescent="0.3">
      <c r="A1885" s="1">
        <v>2015</v>
      </c>
      <c r="B1885" s="1" t="s">
        <v>20</v>
      </c>
      <c r="C1885" s="1" t="s">
        <v>33</v>
      </c>
      <c r="D1885" s="1" t="s">
        <v>24</v>
      </c>
      <c r="E1885" s="1">
        <v>1566990.54</v>
      </c>
      <c r="F1885" s="1">
        <v>53880.91</v>
      </c>
      <c r="G1885" s="1">
        <v>15832</v>
      </c>
      <c r="H1885" s="1">
        <v>98.976158409999996</v>
      </c>
    </row>
    <row r="1886" spans="1:8" ht="15.75" thickBot="1" x14ac:dyDescent="0.3">
      <c r="A1886" s="1">
        <v>2014</v>
      </c>
      <c r="B1886" s="1" t="s">
        <v>35</v>
      </c>
      <c r="C1886" s="1" t="s">
        <v>15</v>
      </c>
      <c r="D1886" s="1" t="s">
        <v>24</v>
      </c>
      <c r="E1886" s="1">
        <v>-2089.06</v>
      </c>
      <c r="F1886" s="1">
        <v>34.590000000000003</v>
      </c>
      <c r="G1886" s="1">
        <v>68</v>
      </c>
      <c r="H1886" s="1">
        <v>-30.721470589999999</v>
      </c>
    </row>
    <row r="1887" spans="1:8" ht="15.75" thickBot="1" x14ac:dyDescent="0.3">
      <c r="A1887" s="1">
        <v>2016</v>
      </c>
      <c r="B1887" s="1" t="s">
        <v>35</v>
      </c>
      <c r="C1887" s="1" t="s">
        <v>12</v>
      </c>
      <c r="D1887" s="1" t="s">
        <v>19</v>
      </c>
      <c r="E1887" s="1">
        <v>43148.15</v>
      </c>
      <c r="F1887" s="1">
        <v>778.38</v>
      </c>
      <c r="G1887" s="1">
        <v>714</v>
      </c>
      <c r="H1887" s="1">
        <v>60.431582630000001</v>
      </c>
    </row>
    <row r="1888" spans="1:8" ht="15.75" thickBot="1" x14ac:dyDescent="0.3">
      <c r="A1888" s="1">
        <v>2017</v>
      </c>
      <c r="B1888" s="1" t="s">
        <v>16</v>
      </c>
      <c r="C1888" s="1" t="s">
        <v>9</v>
      </c>
      <c r="D1888" s="1" t="s">
        <v>13</v>
      </c>
      <c r="E1888" s="1">
        <v>21836.93</v>
      </c>
      <c r="F1888" s="1">
        <v>595.24</v>
      </c>
      <c r="G1888" s="1">
        <v>2141</v>
      </c>
      <c r="H1888" s="1">
        <v>10.19940682</v>
      </c>
    </row>
    <row r="1889" spans="1:8" ht="15.75" thickBot="1" x14ac:dyDescent="0.3">
      <c r="A1889" s="1">
        <v>2014</v>
      </c>
      <c r="B1889" s="1" t="s">
        <v>16</v>
      </c>
      <c r="C1889" s="1" t="s">
        <v>28</v>
      </c>
      <c r="D1889" s="1" t="s">
        <v>19</v>
      </c>
      <c r="E1889" s="1">
        <v>388521908.69999999</v>
      </c>
      <c r="F1889" s="1">
        <v>10583592.08</v>
      </c>
      <c r="G1889" s="1">
        <v>962230</v>
      </c>
      <c r="H1889" s="1">
        <v>403.77239200000002</v>
      </c>
    </row>
    <row r="1890" spans="1:8" ht="15.75" thickBot="1" x14ac:dyDescent="0.3">
      <c r="A1890" s="1">
        <v>2016</v>
      </c>
      <c r="B1890" s="1" t="s">
        <v>16</v>
      </c>
      <c r="C1890" s="1" t="s">
        <v>18</v>
      </c>
      <c r="D1890" s="1" t="s">
        <v>27</v>
      </c>
      <c r="E1890" s="1">
        <v>62340223.310000002</v>
      </c>
      <c r="F1890" s="1">
        <v>2269616.11</v>
      </c>
      <c r="G1890" s="1">
        <v>892020</v>
      </c>
      <c r="H1890" s="1">
        <v>69.886575759999999</v>
      </c>
    </row>
    <row r="1891" spans="1:8" ht="15.75" thickBot="1" x14ac:dyDescent="0.3">
      <c r="A1891" s="1">
        <v>2015</v>
      </c>
      <c r="B1891" s="1" t="s">
        <v>8</v>
      </c>
      <c r="C1891" s="1" t="s">
        <v>12</v>
      </c>
      <c r="D1891" s="1" t="s">
        <v>32</v>
      </c>
      <c r="E1891" s="1">
        <v>444.23</v>
      </c>
      <c r="F1891" s="1">
        <v>23.71</v>
      </c>
      <c r="G1891" s="1">
        <v>15</v>
      </c>
      <c r="H1891" s="1">
        <v>29.615333329999999</v>
      </c>
    </row>
    <row r="1892" spans="1:8" ht="15.75" thickBot="1" x14ac:dyDescent="0.3">
      <c r="A1892" s="1">
        <v>2014</v>
      </c>
      <c r="B1892" s="1" t="s">
        <v>20</v>
      </c>
      <c r="C1892" s="1" t="s">
        <v>28</v>
      </c>
      <c r="D1892" s="1" t="s">
        <v>24</v>
      </c>
      <c r="E1892" s="1">
        <v>1859544.59</v>
      </c>
      <c r="F1892" s="1">
        <v>60826.48</v>
      </c>
      <c r="G1892" s="1">
        <v>17937</v>
      </c>
      <c r="H1892" s="1">
        <v>103.6708809</v>
      </c>
    </row>
    <row r="1893" spans="1:8" ht="15.75" thickBot="1" x14ac:dyDescent="0.3">
      <c r="A1893" s="1">
        <v>2014</v>
      </c>
      <c r="B1893" s="1" t="s">
        <v>14</v>
      </c>
      <c r="C1893" s="1" t="s">
        <v>23</v>
      </c>
      <c r="D1893" s="1" t="s">
        <v>29</v>
      </c>
      <c r="E1893" s="1">
        <v>3283103.64</v>
      </c>
      <c r="F1893" s="1">
        <v>121983.12</v>
      </c>
      <c r="G1893" s="1">
        <v>40574</v>
      </c>
      <c r="H1893" s="1">
        <v>80.916440080000001</v>
      </c>
    </row>
    <row r="1894" spans="1:8" ht="15.75" thickBot="1" x14ac:dyDescent="0.3">
      <c r="A1894" s="1">
        <v>2016</v>
      </c>
      <c r="B1894" s="1" t="s">
        <v>12</v>
      </c>
      <c r="C1894" s="1" t="s">
        <v>15</v>
      </c>
      <c r="D1894" s="1" t="s">
        <v>19</v>
      </c>
      <c r="E1894" s="1">
        <v>5530358.4299999997</v>
      </c>
      <c r="F1894" s="1">
        <v>147269.21</v>
      </c>
      <c r="G1894" s="1">
        <v>20647</v>
      </c>
      <c r="H1894" s="1">
        <v>267.85288079999998</v>
      </c>
    </row>
    <row r="1895" spans="1:8" ht="15.75" thickBot="1" x14ac:dyDescent="0.3">
      <c r="A1895" s="1">
        <v>2015</v>
      </c>
      <c r="B1895" s="1" t="s">
        <v>40</v>
      </c>
      <c r="C1895" s="1" t="s">
        <v>12</v>
      </c>
      <c r="D1895" s="1" t="s">
        <v>27</v>
      </c>
      <c r="E1895" s="1">
        <v>52848.52</v>
      </c>
      <c r="F1895" s="1">
        <v>1767.57</v>
      </c>
      <c r="G1895" s="1">
        <v>727</v>
      </c>
      <c r="H1895" s="1">
        <v>72.69397524</v>
      </c>
    </row>
    <row r="1896" spans="1:8" ht="15.75" thickBot="1" x14ac:dyDescent="0.3">
      <c r="A1896" s="1">
        <v>2016</v>
      </c>
      <c r="B1896" s="1" t="s">
        <v>8</v>
      </c>
      <c r="C1896" s="1" t="s">
        <v>18</v>
      </c>
      <c r="D1896" s="1" t="s">
        <v>19</v>
      </c>
      <c r="E1896" s="1">
        <v>562.73</v>
      </c>
      <c r="F1896" s="1">
        <v>10.98</v>
      </c>
      <c r="G1896" s="1">
        <v>7</v>
      </c>
      <c r="H1896" s="1">
        <v>80.39</v>
      </c>
    </row>
    <row r="1897" spans="1:8" ht="15.75" thickBot="1" x14ac:dyDescent="0.3">
      <c r="A1897" s="1">
        <v>2015</v>
      </c>
      <c r="B1897" s="1" t="s">
        <v>20</v>
      </c>
      <c r="C1897" s="1" t="s">
        <v>15</v>
      </c>
      <c r="D1897" s="1" t="s">
        <v>10</v>
      </c>
      <c r="E1897" s="1">
        <v>241901.39</v>
      </c>
      <c r="F1897" s="1">
        <v>9139.7099999999991</v>
      </c>
      <c r="G1897" s="1">
        <v>6401</v>
      </c>
      <c r="H1897" s="1">
        <v>37.791187309999998</v>
      </c>
    </row>
    <row r="1898" spans="1:8" ht="15.75" thickBot="1" x14ac:dyDescent="0.3">
      <c r="A1898" s="1">
        <v>2014</v>
      </c>
      <c r="B1898" s="1" t="s">
        <v>35</v>
      </c>
      <c r="C1898" s="1" t="s">
        <v>33</v>
      </c>
      <c r="D1898" s="1" t="s">
        <v>13</v>
      </c>
      <c r="E1898" s="1">
        <v>0</v>
      </c>
      <c r="F1898" s="1">
        <v>0</v>
      </c>
      <c r="G1898" s="1">
        <v>1</v>
      </c>
      <c r="H1898" s="1">
        <v>0</v>
      </c>
    </row>
    <row r="1899" spans="1:8" ht="15.75" thickBot="1" x14ac:dyDescent="0.3">
      <c r="A1899" s="1">
        <v>2016</v>
      </c>
      <c r="B1899" s="1" t="s">
        <v>12</v>
      </c>
      <c r="C1899" s="1" t="s">
        <v>15</v>
      </c>
      <c r="D1899" s="1" t="s">
        <v>10</v>
      </c>
      <c r="E1899" s="1">
        <v>3801505.35</v>
      </c>
      <c r="F1899" s="1">
        <v>105442.02</v>
      </c>
      <c r="G1899" s="1">
        <v>63145</v>
      </c>
      <c r="H1899" s="1">
        <v>60.202792780000003</v>
      </c>
    </row>
    <row r="1900" spans="1:8" ht="15.75" thickBot="1" x14ac:dyDescent="0.3">
      <c r="A1900" s="1">
        <v>2017</v>
      </c>
      <c r="B1900" s="1" t="s">
        <v>35</v>
      </c>
      <c r="C1900" s="1" t="s">
        <v>25</v>
      </c>
      <c r="D1900" s="1" t="s">
        <v>24</v>
      </c>
      <c r="E1900" s="1">
        <v>4669.7</v>
      </c>
      <c r="F1900" s="1">
        <v>60.93</v>
      </c>
      <c r="G1900" s="1">
        <v>28</v>
      </c>
      <c r="H1900" s="1">
        <v>166.77500000000001</v>
      </c>
    </row>
    <row r="1901" spans="1:8" ht="15.75" thickBot="1" x14ac:dyDescent="0.3">
      <c r="A1901" s="1">
        <v>2015</v>
      </c>
      <c r="B1901" s="1" t="s">
        <v>20</v>
      </c>
      <c r="C1901" s="1" t="s">
        <v>18</v>
      </c>
      <c r="D1901" s="1" t="s">
        <v>32</v>
      </c>
      <c r="E1901" s="1">
        <v>1734139.82</v>
      </c>
      <c r="F1901" s="1">
        <v>65695.820000000007</v>
      </c>
      <c r="G1901" s="1">
        <v>48933</v>
      </c>
      <c r="H1901" s="1">
        <v>35.439066070000003</v>
      </c>
    </row>
    <row r="1902" spans="1:8" ht="15.75" thickBot="1" x14ac:dyDescent="0.3">
      <c r="A1902" s="1">
        <v>2015</v>
      </c>
      <c r="B1902" s="1" t="s">
        <v>30</v>
      </c>
      <c r="C1902" s="1" t="s">
        <v>25</v>
      </c>
      <c r="D1902" s="1" t="s">
        <v>27</v>
      </c>
      <c r="E1902" s="1">
        <v>747312775.20000005</v>
      </c>
      <c r="F1902" s="1">
        <v>27537285.18</v>
      </c>
      <c r="G1902" s="1">
        <v>13085669</v>
      </c>
      <c r="H1902" s="1">
        <v>57.109252509999997</v>
      </c>
    </row>
    <row r="1903" spans="1:8" ht="15.75" thickBot="1" x14ac:dyDescent="0.3">
      <c r="A1903" s="1">
        <v>2017</v>
      </c>
      <c r="B1903" s="1" t="s">
        <v>17</v>
      </c>
      <c r="C1903" s="1" t="s">
        <v>9</v>
      </c>
      <c r="D1903" s="1" t="s">
        <v>32</v>
      </c>
      <c r="E1903" s="1">
        <v>407900.43</v>
      </c>
      <c r="F1903" s="1">
        <v>11517.39</v>
      </c>
      <c r="G1903" s="1">
        <v>89920</v>
      </c>
      <c r="H1903" s="1">
        <v>4.5362592299999998</v>
      </c>
    </row>
    <row r="1904" spans="1:8" ht="15.75" thickBot="1" x14ac:dyDescent="0.3">
      <c r="A1904" s="1">
        <v>2015</v>
      </c>
      <c r="B1904" s="1" t="s">
        <v>35</v>
      </c>
      <c r="C1904" s="1" t="s">
        <v>28</v>
      </c>
      <c r="D1904" s="1" t="s">
        <v>29</v>
      </c>
      <c r="E1904" s="1">
        <v>38970</v>
      </c>
      <c r="F1904" s="1">
        <v>358.91</v>
      </c>
      <c r="G1904" s="1">
        <v>73</v>
      </c>
      <c r="H1904" s="1">
        <v>533.83561640000005</v>
      </c>
    </row>
    <row r="1905" spans="1:8" ht="15.75" thickBot="1" x14ac:dyDescent="0.3">
      <c r="A1905" s="1">
        <v>2014</v>
      </c>
      <c r="B1905" s="1" t="s">
        <v>16</v>
      </c>
      <c r="C1905" s="1" t="s">
        <v>28</v>
      </c>
      <c r="D1905" s="1" t="s">
        <v>22</v>
      </c>
      <c r="E1905" s="1">
        <v>215871.88</v>
      </c>
      <c r="F1905" s="1">
        <v>8778.18</v>
      </c>
      <c r="G1905" s="1">
        <v>12532</v>
      </c>
      <c r="H1905" s="1">
        <v>17.22565273</v>
      </c>
    </row>
    <row r="1906" spans="1:8" ht="15.75" thickBot="1" x14ac:dyDescent="0.3">
      <c r="A1906" s="1">
        <v>2017</v>
      </c>
      <c r="B1906" s="1" t="s">
        <v>12</v>
      </c>
      <c r="C1906" s="1" t="s">
        <v>26</v>
      </c>
      <c r="D1906" s="1" t="s">
        <v>19</v>
      </c>
      <c r="E1906" s="1">
        <v>3986742.58</v>
      </c>
      <c r="F1906" s="1">
        <v>102644.34</v>
      </c>
      <c r="G1906" s="1">
        <v>25035</v>
      </c>
      <c r="H1906" s="1">
        <v>159.24675769999999</v>
      </c>
    </row>
    <row r="1907" spans="1:8" ht="15.75" thickBot="1" x14ac:dyDescent="0.3">
      <c r="A1907" s="1">
        <v>2016</v>
      </c>
      <c r="B1907" s="1" t="s">
        <v>14</v>
      </c>
      <c r="C1907" s="1" t="s">
        <v>28</v>
      </c>
      <c r="D1907" s="1" t="s">
        <v>29</v>
      </c>
      <c r="E1907" s="1">
        <v>30934323.890000001</v>
      </c>
      <c r="F1907" s="1">
        <v>999620.94</v>
      </c>
      <c r="G1907" s="1">
        <v>136365</v>
      </c>
      <c r="H1907" s="1">
        <v>226.84943999999999</v>
      </c>
    </row>
    <row r="1908" spans="1:8" ht="15.75" thickBot="1" x14ac:dyDescent="0.3">
      <c r="A1908" s="1">
        <v>2016</v>
      </c>
      <c r="B1908" s="1" t="s">
        <v>11</v>
      </c>
      <c r="C1908" s="1" t="s">
        <v>26</v>
      </c>
      <c r="D1908" s="1" t="s">
        <v>32</v>
      </c>
      <c r="E1908" s="1">
        <v>113863269.90000001</v>
      </c>
      <c r="F1908" s="1">
        <v>4248065.3099999996</v>
      </c>
      <c r="G1908" s="1">
        <v>3477309</v>
      </c>
      <c r="H1908" s="1">
        <v>32.744651079999997</v>
      </c>
    </row>
    <row r="1909" spans="1:8" ht="15.75" thickBot="1" x14ac:dyDescent="0.3">
      <c r="A1909" s="1">
        <v>2016</v>
      </c>
      <c r="B1909" s="1" t="s">
        <v>17</v>
      </c>
      <c r="C1909" s="1" t="s">
        <v>33</v>
      </c>
      <c r="D1909" s="1" t="s">
        <v>32</v>
      </c>
      <c r="E1909" s="1">
        <v>212943495.69999999</v>
      </c>
      <c r="F1909" s="1">
        <v>7681571.7000000002</v>
      </c>
      <c r="G1909" s="1">
        <v>3784404</v>
      </c>
      <c r="H1909" s="1">
        <v>56.268700619999997</v>
      </c>
    </row>
    <row r="1910" spans="1:8" ht="15.75" thickBot="1" x14ac:dyDescent="0.3">
      <c r="A1910" s="1">
        <v>2014</v>
      </c>
      <c r="B1910" s="1" t="s">
        <v>17</v>
      </c>
      <c r="C1910" s="1" t="s">
        <v>25</v>
      </c>
      <c r="D1910" s="1" t="s">
        <v>27</v>
      </c>
      <c r="E1910" s="1">
        <v>688858185.10000002</v>
      </c>
      <c r="F1910" s="1">
        <v>23193059.23</v>
      </c>
      <c r="G1910" s="1">
        <v>10459432</v>
      </c>
      <c r="H1910" s="1">
        <v>65.859999389999999</v>
      </c>
    </row>
    <row r="1911" spans="1:8" ht="15.75" thickBot="1" x14ac:dyDescent="0.3">
      <c r="A1911" s="1">
        <v>2016</v>
      </c>
      <c r="B1911" s="1" t="s">
        <v>16</v>
      </c>
      <c r="C1911" s="1" t="s">
        <v>18</v>
      </c>
      <c r="D1911" s="1" t="s">
        <v>22</v>
      </c>
      <c r="E1911" s="1">
        <v>11589.91</v>
      </c>
      <c r="F1911" s="1">
        <v>352.09</v>
      </c>
      <c r="G1911" s="1">
        <v>748</v>
      </c>
      <c r="H1911" s="1">
        <v>15.49453209</v>
      </c>
    </row>
    <row r="1912" spans="1:8" ht="15.75" thickBot="1" x14ac:dyDescent="0.3">
      <c r="A1912" s="1">
        <v>2017</v>
      </c>
      <c r="B1912" s="1" t="s">
        <v>16</v>
      </c>
      <c r="C1912" s="1" t="s">
        <v>9</v>
      </c>
      <c r="D1912" s="1" t="s">
        <v>27</v>
      </c>
      <c r="E1912" s="1">
        <v>712720.49</v>
      </c>
      <c r="F1912" s="1">
        <v>21116.02</v>
      </c>
      <c r="G1912" s="1">
        <v>53905</v>
      </c>
      <c r="H1912" s="1">
        <v>13.22178815</v>
      </c>
    </row>
    <row r="1913" spans="1:8" ht="15.75" thickBot="1" x14ac:dyDescent="0.3">
      <c r="A1913" s="1">
        <v>2014</v>
      </c>
      <c r="B1913" s="1" t="s">
        <v>16</v>
      </c>
      <c r="C1913" s="1" t="s">
        <v>26</v>
      </c>
      <c r="D1913" s="1" t="s">
        <v>19</v>
      </c>
      <c r="E1913" s="1">
        <v>62202595.759999998</v>
      </c>
      <c r="F1913" s="1">
        <v>2148533.3199999998</v>
      </c>
      <c r="G1913" s="1">
        <v>364726</v>
      </c>
      <c r="H1913" s="1">
        <v>170.546097</v>
      </c>
    </row>
    <row r="1914" spans="1:8" ht="15.75" thickBot="1" x14ac:dyDescent="0.3">
      <c r="A1914" s="1">
        <v>2015</v>
      </c>
      <c r="B1914" s="1" t="s">
        <v>14</v>
      </c>
      <c r="C1914" s="1" t="s">
        <v>18</v>
      </c>
      <c r="D1914" s="1" t="s">
        <v>22</v>
      </c>
      <c r="E1914" s="1">
        <v>2375.73</v>
      </c>
      <c r="F1914" s="1">
        <v>65.89</v>
      </c>
      <c r="G1914" s="1">
        <v>122</v>
      </c>
      <c r="H1914" s="1">
        <v>19.473196720000001</v>
      </c>
    </row>
    <row r="1915" spans="1:8" ht="15.75" thickBot="1" x14ac:dyDescent="0.3">
      <c r="A1915" s="1">
        <v>2015</v>
      </c>
      <c r="B1915" s="1" t="s">
        <v>12</v>
      </c>
      <c r="C1915" s="1" t="s">
        <v>26</v>
      </c>
      <c r="D1915" s="1" t="s">
        <v>24</v>
      </c>
      <c r="E1915" s="1">
        <v>1365180.62</v>
      </c>
      <c r="F1915" s="1">
        <v>46522.96</v>
      </c>
      <c r="G1915" s="1">
        <v>6194</v>
      </c>
      <c r="H1915" s="1">
        <v>220.4037165</v>
      </c>
    </row>
    <row r="1916" spans="1:8" ht="15.75" thickBot="1" x14ac:dyDescent="0.3">
      <c r="A1916" s="1">
        <v>2016</v>
      </c>
      <c r="B1916" s="1" t="s">
        <v>14</v>
      </c>
      <c r="C1916" s="1" t="s">
        <v>21</v>
      </c>
      <c r="D1916" s="1" t="s">
        <v>22</v>
      </c>
      <c r="E1916" s="1">
        <v>30705.040000000001</v>
      </c>
      <c r="F1916" s="1">
        <v>1328.56</v>
      </c>
      <c r="G1916" s="1">
        <v>2048</v>
      </c>
      <c r="H1916" s="1">
        <v>14.99269531</v>
      </c>
    </row>
    <row r="1917" spans="1:8" ht="15.75" thickBot="1" x14ac:dyDescent="0.3">
      <c r="A1917" s="1">
        <v>2015</v>
      </c>
      <c r="B1917" s="1" t="s">
        <v>12</v>
      </c>
      <c r="C1917" s="1" t="s">
        <v>25</v>
      </c>
      <c r="D1917" s="1" t="s">
        <v>24</v>
      </c>
      <c r="E1917" s="1">
        <v>2318236.0099999998</v>
      </c>
      <c r="F1917" s="1">
        <v>75975.360000000001</v>
      </c>
      <c r="G1917" s="1">
        <v>8421</v>
      </c>
      <c r="H1917" s="1">
        <v>275.29224679999999</v>
      </c>
    </row>
    <row r="1918" spans="1:8" ht="15.75" thickBot="1" x14ac:dyDescent="0.3">
      <c r="A1918" s="1">
        <v>2015</v>
      </c>
      <c r="B1918" s="1" t="s">
        <v>12</v>
      </c>
      <c r="C1918" s="1" t="s">
        <v>25</v>
      </c>
      <c r="D1918" s="1" t="s">
        <v>19</v>
      </c>
      <c r="E1918" s="1">
        <v>5780606.7199999997</v>
      </c>
      <c r="F1918" s="1">
        <v>176550.09</v>
      </c>
      <c r="G1918" s="1">
        <v>28257</v>
      </c>
      <c r="H1918" s="1">
        <v>204.57255620000001</v>
      </c>
    </row>
    <row r="1919" spans="1:8" ht="15.75" thickBot="1" x14ac:dyDescent="0.3">
      <c r="A1919" s="1">
        <v>2014</v>
      </c>
      <c r="B1919" s="1" t="s">
        <v>11</v>
      </c>
      <c r="C1919" s="1" t="s">
        <v>33</v>
      </c>
      <c r="D1919" s="1" t="s">
        <v>29</v>
      </c>
      <c r="E1919" s="1">
        <v>1117548.67</v>
      </c>
      <c r="F1919" s="1">
        <v>30050.240000000002</v>
      </c>
      <c r="G1919" s="1">
        <v>2268</v>
      </c>
      <c r="H1919" s="1">
        <v>492.7463272</v>
      </c>
    </row>
    <row r="1920" spans="1:8" ht="15.75" thickBot="1" x14ac:dyDescent="0.3">
      <c r="A1920" s="1">
        <v>2014</v>
      </c>
      <c r="B1920" s="1" t="s">
        <v>35</v>
      </c>
      <c r="C1920" s="1" t="s">
        <v>21</v>
      </c>
      <c r="D1920" s="1" t="s">
        <v>10</v>
      </c>
      <c r="E1920" s="1">
        <v>-16</v>
      </c>
      <c r="F1920" s="1">
        <v>2.2999999999999998</v>
      </c>
      <c r="G1920" s="1">
        <v>36</v>
      </c>
      <c r="H1920" s="1">
        <v>-0.44444444440000003</v>
      </c>
    </row>
    <row r="1921" spans="1:8" ht="15.75" thickBot="1" x14ac:dyDescent="0.3">
      <c r="A1921" s="1">
        <v>2015</v>
      </c>
      <c r="B1921" s="1" t="s">
        <v>16</v>
      </c>
      <c r="C1921" s="1" t="s">
        <v>12</v>
      </c>
      <c r="D1921" s="1" t="s">
        <v>31</v>
      </c>
      <c r="E1921" s="1">
        <v>2637155.06</v>
      </c>
      <c r="F1921" s="1">
        <v>103512.78</v>
      </c>
      <c r="G1921" s="1">
        <v>49447</v>
      </c>
      <c r="H1921" s="1">
        <v>53.33296378</v>
      </c>
    </row>
    <row r="1922" spans="1:8" ht="15.75" thickBot="1" x14ac:dyDescent="0.3">
      <c r="A1922" s="1">
        <v>2014</v>
      </c>
      <c r="B1922" s="1" t="s">
        <v>11</v>
      </c>
      <c r="C1922" s="1" t="s">
        <v>26</v>
      </c>
      <c r="D1922" s="1" t="s">
        <v>32</v>
      </c>
      <c r="E1922" s="1">
        <v>57890617.890000001</v>
      </c>
      <c r="F1922" s="1">
        <v>1940918.08</v>
      </c>
      <c r="G1922" s="1">
        <v>1249085</v>
      </c>
      <c r="H1922" s="1">
        <v>46.34641989</v>
      </c>
    </row>
    <row r="1923" spans="1:8" ht="15.75" thickBot="1" x14ac:dyDescent="0.3">
      <c r="A1923" s="1">
        <v>2014</v>
      </c>
      <c r="B1923" s="1" t="s">
        <v>17</v>
      </c>
      <c r="C1923" s="1" t="s">
        <v>15</v>
      </c>
      <c r="D1923" s="1" t="s">
        <v>22</v>
      </c>
      <c r="E1923" s="1">
        <v>461965.56</v>
      </c>
      <c r="F1923" s="1">
        <v>14308.29</v>
      </c>
      <c r="G1923" s="1">
        <v>35672</v>
      </c>
      <c r="H1923" s="1">
        <v>12.950368920000001</v>
      </c>
    </row>
    <row r="1924" spans="1:8" ht="15.75" thickBot="1" x14ac:dyDescent="0.3">
      <c r="A1924" s="1">
        <v>2016</v>
      </c>
      <c r="B1924" s="1" t="s">
        <v>35</v>
      </c>
      <c r="C1924" s="1" t="s">
        <v>28</v>
      </c>
      <c r="D1924" s="1" t="s">
        <v>27</v>
      </c>
      <c r="E1924" s="1">
        <v>33273.120000000003</v>
      </c>
      <c r="F1924" s="1">
        <v>814.51</v>
      </c>
      <c r="G1924" s="1">
        <v>639</v>
      </c>
      <c r="H1924" s="1">
        <v>52.070610330000001</v>
      </c>
    </row>
    <row r="1925" spans="1:8" ht="15.75" thickBot="1" x14ac:dyDescent="0.3">
      <c r="A1925" s="1">
        <v>2015</v>
      </c>
      <c r="B1925" s="1" t="s">
        <v>17</v>
      </c>
      <c r="C1925" s="1" t="s">
        <v>9</v>
      </c>
      <c r="D1925" s="1" t="s">
        <v>19</v>
      </c>
      <c r="E1925" s="1">
        <v>84556.07</v>
      </c>
      <c r="F1925" s="1">
        <v>2212.6</v>
      </c>
      <c r="G1925" s="1">
        <v>3379</v>
      </c>
      <c r="H1925" s="1">
        <v>25.023992310000001</v>
      </c>
    </row>
    <row r="1926" spans="1:8" ht="15.75" thickBot="1" x14ac:dyDescent="0.3">
      <c r="A1926" s="1">
        <v>2017</v>
      </c>
      <c r="B1926" s="1" t="s">
        <v>16</v>
      </c>
      <c r="C1926" s="1" t="s">
        <v>33</v>
      </c>
      <c r="D1926" s="1" t="s">
        <v>27</v>
      </c>
      <c r="E1926" s="1">
        <v>477323632.69999999</v>
      </c>
      <c r="F1926" s="1">
        <v>18770548.899999999</v>
      </c>
      <c r="G1926" s="1">
        <v>9574218</v>
      </c>
      <c r="H1926" s="1">
        <v>49.855103849999999</v>
      </c>
    </row>
    <row r="1927" spans="1:8" ht="15.75" thickBot="1" x14ac:dyDescent="0.3">
      <c r="A1927" s="1">
        <v>2017</v>
      </c>
      <c r="B1927" s="1" t="s">
        <v>17</v>
      </c>
      <c r="C1927" s="1" t="s">
        <v>26</v>
      </c>
      <c r="D1927" s="1" t="s">
        <v>31</v>
      </c>
      <c r="E1927" s="1">
        <v>28984898.969999999</v>
      </c>
      <c r="F1927" s="1">
        <v>948222.59</v>
      </c>
      <c r="G1927" s="1">
        <v>538119</v>
      </c>
      <c r="H1927" s="1">
        <v>53.863362879999997</v>
      </c>
    </row>
    <row r="1928" spans="1:8" ht="15.75" thickBot="1" x14ac:dyDescent="0.3">
      <c r="A1928" s="1">
        <v>2016</v>
      </c>
      <c r="B1928" s="1" t="s">
        <v>8</v>
      </c>
      <c r="C1928" s="1" t="s">
        <v>28</v>
      </c>
      <c r="D1928" s="1" t="s">
        <v>32</v>
      </c>
      <c r="E1928" s="1">
        <v>636.37</v>
      </c>
      <c r="F1928" s="1">
        <v>23.68</v>
      </c>
      <c r="G1928" s="1">
        <v>7</v>
      </c>
      <c r="H1928" s="1">
        <v>90.91</v>
      </c>
    </row>
    <row r="1929" spans="1:8" ht="15.75" thickBot="1" x14ac:dyDescent="0.3">
      <c r="A1929" s="1">
        <v>2015</v>
      </c>
      <c r="B1929" s="1" t="s">
        <v>20</v>
      </c>
      <c r="C1929" s="1" t="s">
        <v>15</v>
      </c>
      <c r="D1929" s="1" t="s">
        <v>31</v>
      </c>
      <c r="E1929" s="1">
        <v>27666.76</v>
      </c>
      <c r="F1929" s="1">
        <v>1103.3900000000001</v>
      </c>
      <c r="G1929" s="1">
        <v>1075</v>
      </c>
      <c r="H1929" s="1">
        <v>25.736520930000001</v>
      </c>
    </row>
    <row r="1930" spans="1:8" ht="15.75" thickBot="1" x14ac:dyDescent="0.3">
      <c r="A1930" s="1">
        <v>2017</v>
      </c>
      <c r="B1930" s="1" t="s">
        <v>30</v>
      </c>
      <c r="C1930" s="1" t="s">
        <v>33</v>
      </c>
      <c r="D1930" s="1" t="s">
        <v>34</v>
      </c>
      <c r="E1930" s="1">
        <v>616224.81000000006</v>
      </c>
      <c r="F1930" s="1">
        <v>20931.52</v>
      </c>
      <c r="G1930" s="1">
        <v>8243</v>
      </c>
      <c r="H1930" s="1">
        <v>74.757346839999997</v>
      </c>
    </row>
    <row r="1931" spans="1:8" ht="15.75" thickBot="1" x14ac:dyDescent="0.3">
      <c r="A1931" s="1">
        <v>2014</v>
      </c>
      <c r="B1931" s="1" t="s">
        <v>17</v>
      </c>
      <c r="C1931" s="1" t="s">
        <v>21</v>
      </c>
      <c r="D1931" s="1" t="s">
        <v>19</v>
      </c>
      <c r="E1931" s="1">
        <v>33937539.270000003</v>
      </c>
      <c r="F1931" s="1">
        <v>1140635.33</v>
      </c>
      <c r="G1931" s="1">
        <v>197755</v>
      </c>
      <c r="H1931" s="1">
        <v>171.6140642</v>
      </c>
    </row>
    <row r="1932" spans="1:8" ht="15.75" thickBot="1" x14ac:dyDescent="0.3">
      <c r="A1932" s="1">
        <v>2017</v>
      </c>
      <c r="B1932" s="1" t="s">
        <v>16</v>
      </c>
      <c r="C1932" s="1" t="s">
        <v>23</v>
      </c>
      <c r="D1932" s="1" t="s">
        <v>34</v>
      </c>
      <c r="E1932" s="1">
        <v>893137.68</v>
      </c>
      <c r="F1932" s="1">
        <v>34107.67</v>
      </c>
      <c r="G1932" s="1">
        <v>24016</v>
      </c>
      <c r="H1932" s="1">
        <v>37.189277150000002</v>
      </c>
    </row>
    <row r="1933" spans="1:8" ht="15.75" thickBot="1" x14ac:dyDescent="0.3">
      <c r="A1933" s="1">
        <v>2016</v>
      </c>
      <c r="B1933" s="1" t="s">
        <v>40</v>
      </c>
      <c r="C1933" s="1" t="s">
        <v>23</v>
      </c>
      <c r="D1933" s="1" t="s">
        <v>27</v>
      </c>
      <c r="E1933" s="1">
        <v>29227.78</v>
      </c>
      <c r="F1933" s="1">
        <v>1021.27</v>
      </c>
      <c r="G1933" s="1">
        <v>480</v>
      </c>
      <c r="H1933" s="1">
        <v>60.891208329999998</v>
      </c>
    </row>
    <row r="1934" spans="1:8" ht="15.75" thickBot="1" x14ac:dyDescent="0.3">
      <c r="A1934" s="1">
        <v>2014</v>
      </c>
      <c r="B1934" s="1" t="s">
        <v>40</v>
      </c>
      <c r="C1934" s="1" t="s">
        <v>25</v>
      </c>
      <c r="D1934" s="1" t="s">
        <v>27</v>
      </c>
      <c r="E1934" s="1">
        <v>98836.49</v>
      </c>
      <c r="F1934" s="1">
        <v>2916.52</v>
      </c>
      <c r="G1934" s="1">
        <v>1440</v>
      </c>
      <c r="H1934" s="1">
        <v>68.636451390000005</v>
      </c>
    </row>
    <row r="1935" spans="1:8" ht="15.75" thickBot="1" x14ac:dyDescent="0.3">
      <c r="A1935" s="1">
        <v>2016</v>
      </c>
      <c r="B1935" s="1" t="s">
        <v>12</v>
      </c>
      <c r="C1935" s="1" t="s">
        <v>25</v>
      </c>
      <c r="D1935" s="1" t="s">
        <v>31</v>
      </c>
      <c r="E1935" s="1">
        <v>526656.18000000005</v>
      </c>
      <c r="F1935" s="1">
        <v>17378.18</v>
      </c>
      <c r="G1935" s="1">
        <v>11944</v>
      </c>
      <c r="H1935" s="1">
        <v>44.093786000000001</v>
      </c>
    </row>
    <row r="1936" spans="1:8" ht="15.75" thickBot="1" x14ac:dyDescent="0.3">
      <c r="A1936" s="1">
        <v>2015</v>
      </c>
      <c r="B1936" s="1" t="s">
        <v>40</v>
      </c>
      <c r="C1936" s="1" t="s">
        <v>9</v>
      </c>
      <c r="D1936" s="1" t="s">
        <v>32</v>
      </c>
      <c r="E1936" s="1">
        <v>1812.61</v>
      </c>
      <c r="F1936" s="1">
        <v>205.8</v>
      </c>
      <c r="G1936" s="1">
        <v>84</v>
      </c>
      <c r="H1936" s="1">
        <v>21.578690479999999</v>
      </c>
    </row>
    <row r="1937" spans="1:8" ht="15.75" thickBot="1" x14ac:dyDescent="0.3">
      <c r="A1937" s="1">
        <v>2014</v>
      </c>
      <c r="B1937" s="1" t="s">
        <v>40</v>
      </c>
      <c r="C1937" s="1" t="s">
        <v>28</v>
      </c>
      <c r="D1937" s="1" t="s">
        <v>32</v>
      </c>
      <c r="E1937" s="1">
        <v>3666.58</v>
      </c>
      <c r="F1937" s="1">
        <v>158</v>
      </c>
      <c r="G1937" s="1">
        <v>161</v>
      </c>
      <c r="H1937" s="1">
        <v>22.77378882</v>
      </c>
    </row>
    <row r="1938" spans="1:8" ht="15.75" thickBot="1" x14ac:dyDescent="0.3">
      <c r="A1938" s="1">
        <v>2015</v>
      </c>
      <c r="B1938" s="1" t="s">
        <v>14</v>
      </c>
      <c r="C1938" s="1" t="s">
        <v>9</v>
      </c>
      <c r="D1938" s="1" t="s">
        <v>13</v>
      </c>
      <c r="E1938" s="1">
        <v>744</v>
      </c>
      <c r="F1938" s="1">
        <v>23.77</v>
      </c>
      <c r="G1938" s="1">
        <v>80</v>
      </c>
      <c r="H1938" s="1">
        <v>9.3000000000000007</v>
      </c>
    </row>
    <row r="1939" spans="1:8" ht="15.75" thickBot="1" x14ac:dyDescent="0.3">
      <c r="A1939" s="1">
        <v>2016</v>
      </c>
      <c r="B1939" s="1" t="s">
        <v>14</v>
      </c>
      <c r="C1939" s="1" t="s">
        <v>33</v>
      </c>
      <c r="D1939" s="1" t="s">
        <v>24</v>
      </c>
      <c r="E1939" s="1">
        <v>31865748.620000001</v>
      </c>
      <c r="F1939" s="1">
        <v>1067134.01</v>
      </c>
      <c r="G1939" s="1">
        <v>166440</v>
      </c>
      <c r="H1939" s="1">
        <v>191.45487030000001</v>
      </c>
    </row>
    <row r="1940" spans="1:8" ht="15.75" thickBot="1" x14ac:dyDescent="0.3">
      <c r="A1940" s="1">
        <v>2016</v>
      </c>
      <c r="B1940" s="1" t="s">
        <v>12</v>
      </c>
      <c r="C1940" s="1" t="s">
        <v>18</v>
      </c>
      <c r="D1940" s="1" t="s">
        <v>24</v>
      </c>
      <c r="E1940" s="1">
        <v>1775470.65</v>
      </c>
      <c r="F1940" s="1">
        <v>54017.49</v>
      </c>
      <c r="G1940" s="1">
        <v>4244</v>
      </c>
      <c r="H1940" s="1">
        <v>418.3484095</v>
      </c>
    </row>
    <row r="1941" spans="1:8" ht="15.75" thickBot="1" x14ac:dyDescent="0.3">
      <c r="A1941" s="1">
        <v>2015</v>
      </c>
      <c r="B1941" s="1" t="s">
        <v>20</v>
      </c>
      <c r="C1941" s="1" t="s">
        <v>9</v>
      </c>
      <c r="D1941" s="1" t="s">
        <v>19</v>
      </c>
      <c r="E1941" s="1">
        <v>29015.1</v>
      </c>
      <c r="F1941" s="1">
        <v>804.41</v>
      </c>
      <c r="G1941" s="1">
        <v>1416</v>
      </c>
      <c r="H1941" s="1">
        <v>20.49088983</v>
      </c>
    </row>
    <row r="1942" spans="1:8" ht="15.75" thickBot="1" x14ac:dyDescent="0.3">
      <c r="A1942" s="1">
        <v>2017</v>
      </c>
      <c r="B1942" s="1" t="s">
        <v>40</v>
      </c>
      <c r="C1942" s="1" t="s">
        <v>23</v>
      </c>
      <c r="D1942" s="1" t="s">
        <v>19</v>
      </c>
      <c r="E1942" s="1">
        <v>10536.24</v>
      </c>
      <c r="F1942" s="1">
        <v>224.57</v>
      </c>
      <c r="G1942" s="1">
        <v>168</v>
      </c>
      <c r="H1942" s="1">
        <v>62.715714290000001</v>
      </c>
    </row>
    <row r="1943" spans="1:8" ht="15.75" thickBot="1" x14ac:dyDescent="0.3">
      <c r="A1943" s="1">
        <v>2015</v>
      </c>
      <c r="B1943" s="1" t="s">
        <v>17</v>
      </c>
      <c r="C1943" s="1" t="s">
        <v>18</v>
      </c>
      <c r="D1943" s="1" t="s">
        <v>10</v>
      </c>
      <c r="E1943" s="1">
        <v>6426653.8300000001</v>
      </c>
      <c r="F1943" s="1">
        <v>207443.94</v>
      </c>
      <c r="G1943" s="1">
        <v>105786</v>
      </c>
      <c r="H1943" s="1">
        <v>60.751458890000002</v>
      </c>
    </row>
    <row r="1944" spans="1:8" ht="15.75" thickBot="1" x14ac:dyDescent="0.3">
      <c r="A1944" s="1">
        <v>2017</v>
      </c>
      <c r="B1944" s="1" t="s">
        <v>30</v>
      </c>
      <c r="C1944" s="1" t="s">
        <v>26</v>
      </c>
      <c r="D1944" s="1" t="s">
        <v>34</v>
      </c>
      <c r="E1944" s="1">
        <v>848057.95</v>
      </c>
      <c r="F1944" s="1">
        <v>29767.38</v>
      </c>
      <c r="G1944" s="1">
        <v>13751</v>
      </c>
      <c r="H1944" s="1">
        <v>61.67245655</v>
      </c>
    </row>
    <row r="1945" spans="1:8" ht="15.75" thickBot="1" x14ac:dyDescent="0.3">
      <c r="A1945" s="1">
        <v>2015</v>
      </c>
      <c r="B1945" s="1" t="s">
        <v>12</v>
      </c>
      <c r="C1945" s="1" t="s">
        <v>18</v>
      </c>
      <c r="D1945" s="1" t="s">
        <v>13</v>
      </c>
      <c r="E1945" s="1">
        <v>2690.55</v>
      </c>
      <c r="F1945" s="1">
        <v>98.93</v>
      </c>
      <c r="G1945" s="1">
        <v>49</v>
      </c>
      <c r="H1945" s="1">
        <v>54.909183669999997</v>
      </c>
    </row>
    <row r="1946" spans="1:8" ht="15.75" thickBot="1" x14ac:dyDescent="0.3">
      <c r="A1946" s="1">
        <v>2014</v>
      </c>
      <c r="B1946" s="1" t="s">
        <v>11</v>
      </c>
      <c r="C1946" s="1" t="s">
        <v>28</v>
      </c>
      <c r="D1946" s="1" t="s">
        <v>13</v>
      </c>
      <c r="E1946" s="1">
        <v>5738.82</v>
      </c>
      <c r="F1946" s="1">
        <v>141.51</v>
      </c>
      <c r="G1946" s="1">
        <v>96</v>
      </c>
      <c r="H1946" s="1">
        <v>59.779375000000002</v>
      </c>
    </row>
    <row r="1947" spans="1:8" ht="15.75" thickBot="1" x14ac:dyDescent="0.3">
      <c r="A1947" s="1">
        <v>2014</v>
      </c>
      <c r="B1947" s="1" t="s">
        <v>12</v>
      </c>
      <c r="C1947" s="1" t="s">
        <v>28</v>
      </c>
      <c r="D1947" s="1" t="s">
        <v>10</v>
      </c>
      <c r="E1947" s="1">
        <v>2394518.56</v>
      </c>
      <c r="F1947" s="1">
        <v>52598.91</v>
      </c>
      <c r="G1947" s="1">
        <v>28747</v>
      </c>
      <c r="H1947" s="1">
        <v>83.29629387</v>
      </c>
    </row>
    <row r="1948" spans="1:8" ht="15.75" thickBot="1" x14ac:dyDescent="0.3">
      <c r="A1948" s="1">
        <v>2016</v>
      </c>
      <c r="B1948" s="1" t="s">
        <v>40</v>
      </c>
      <c r="C1948" s="1" t="s">
        <v>21</v>
      </c>
      <c r="D1948" s="1" t="s">
        <v>32</v>
      </c>
      <c r="E1948" s="1">
        <v>3157.48</v>
      </c>
      <c r="F1948" s="1">
        <v>222.65</v>
      </c>
      <c r="G1948" s="1">
        <v>150</v>
      </c>
      <c r="H1948" s="1">
        <v>21.04986667</v>
      </c>
    </row>
    <row r="1949" spans="1:8" ht="15.75" thickBot="1" x14ac:dyDescent="0.3">
      <c r="A1949" s="1">
        <v>2014</v>
      </c>
      <c r="B1949" s="1" t="s">
        <v>17</v>
      </c>
      <c r="C1949" s="1" t="s">
        <v>23</v>
      </c>
      <c r="D1949" s="1" t="s">
        <v>10</v>
      </c>
      <c r="E1949" s="1">
        <v>7823183.7000000002</v>
      </c>
      <c r="F1949" s="1">
        <v>236448.22</v>
      </c>
      <c r="G1949" s="1">
        <v>134213</v>
      </c>
      <c r="H1949" s="1">
        <v>58.289313999999997</v>
      </c>
    </row>
    <row r="1950" spans="1:8" ht="15.75" thickBot="1" x14ac:dyDescent="0.3">
      <c r="A1950" s="1">
        <v>2014</v>
      </c>
      <c r="B1950" s="1" t="s">
        <v>17</v>
      </c>
      <c r="C1950" s="1" t="s">
        <v>9</v>
      </c>
      <c r="D1950" s="1" t="s">
        <v>24</v>
      </c>
      <c r="E1950" s="1">
        <v>4772065.91</v>
      </c>
      <c r="F1950" s="1">
        <v>152541.48000000001</v>
      </c>
      <c r="G1950" s="1">
        <v>18920</v>
      </c>
      <c r="H1950" s="1">
        <v>252.2233568</v>
      </c>
    </row>
    <row r="1951" spans="1:8" ht="15.75" thickBot="1" x14ac:dyDescent="0.3">
      <c r="A1951" s="1">
        <v>2017</v>
      </c>
      <c r="B1951" s="1" t="s">
        <v>40</v>
      </c>
      <c r="C1951" s="1" t="s">
        <v>28</v>
      </c>
      <c r="D1951" s="1" t="s">
        <v>27</v>
      </c>
      <c r="E1951" s="1">
        <v>55653.16</v>
      </c>
      <c r="F1951" s="1">
        <v>1531.95</v>
      </c>
      <c r="G1951" s="1">
        <v>495</v>
      </c>
      <c r="H1951" s="1">
        <v>112.4306263</v>
      </c>
    </row>
    <row r="1952" spans="1:8" ht="15.75" thickBot="1" x14ac:dyDescent="0.3">
      <c r="A1952" s="1">
        <v>2016</v>
      </c>
      <c r="B1952" s="1" t="s">
        <v>14</v>
      </c>
      <c r="C1952" s="1" t="s">
        <v>26</v>
      </c>
      <c r="D1952" s="1" t="s">
        <v>32</v>
      </c>
      <c r="E1952" s="1">
        <v>44084059.670000002</v>
      </c>
      <c r="F1952" s="1">
        <v>1821375.13</v>
      </c>
      <c r="G1952" s="1">
        <v>1280608</v>
      </c>
      <c r="H1952" s="1">
        <v>34.42432007</v>
      </c>
    </row>
    <row r="1953" spans="1:8" ht="15.75" thickBot="1" x14ac:dyDescent="0.3">
      <c r="A1953" s="1">
        <v>2015</v>
      </c>
      <c r="B1953" s="1" t="s">
        <v>11</v>
      </c>
      <c r="C1953" s="1" t="s">
        <v>23</v>
      </c>
      <c r="D1953" s="1" t="s">
        <v>13</v>
      </c>
      <c r="E1953" s="1">
        <v>49853.760000000002</v>
      </c>
      <c r="F1953" s="1">
        <v>1302.8699999999999</v>
      </c>
      <c r="G1953" s="1">
        <v>958</v>
      </c>
      <c r="H1953" s="1">
        <v>52.03941545</v>
      </c>
    </row>
    <row r="1954" spans="1:8" ht="15.75" thickBot="1" x14ac:dyDescent="0.3">
      <c r="A1954" s="1">
        <v>2014</v>
      </c>
      <c r="B1954" s="1" t="s">
        <v>12</v>
      </c>
      <c r="C1954" s="1" t="s">
        <v>33</v>
      </c>
      <c r="D1954" s="1" t="s">
        <v>29</v>
      </c>
      <c r="E1954" s="1">
        <v>2354755.06</v>
      </c>
      <c r="F1954" s="1">
        <v>73221.490000000005</v>
      </c>
      <c r="G1954" s="1">
        <v>6778</v>
      </c>
      <c r="H1954" s="1">
        <v>347.41148720000001</v>
      </c>
    </row>
    <row r="1955" spans="1:8" ht="15.75" thickBot="1" x14ac:dyDescent="0.3">
      <c r="A1955" s="1">
        <v>2015</v>
      </c>
      <c r="B1955" s="1" t="s">
        <v>11</v>
      </c>
      <c r="C1955" s="1" t="s">
        <v>28</v>
      </c>
      <c r="D1955" s="1" t="s">
        <v>27</v>
      </c>
      <c r="E1955" s="1">
        <v>226763966.90000001</v>
      </c>
      <c r="F1955" s="1">
        <v>5898590.6799999997</v>
      </c>
      <c r="G1955" s="1">
        <v>2217893</v>
      </c>
      <c r="H1955" s="1">
        <v>102.2429697</v>
      </c>
    </row>
    <row r="1956" spans="1:8" ht="15.75" thickBot="1" x14ac:dyDescent="0.3">
      <c r="A1956" s="1">
        <v>2016</v>
      </c>
      <c r="B1956" s="1" t="s">
        <v>17</v>
      </c>
      <c r="C1956" s="1" t="s">
        <v>18</v>
      </c>
      <c r="D1956" s="1" t="s">
        <v>22</v>
      </c>
      <c r="E1956" s="1">
        <v>50563.12</v>
      </c>
      <c r="F1956" s="1">
        <v>1517.6</v>
      </c>
      <c r="G1956" s="1">
        <v>3268</v>
      </c>
      <c r="H1956" s="1">
        <v>15.472190940000001</v>
      </c>
    </row>
    <row r="1957" spans="1:8" ht="15.75" thickBot="1" x14ac:dyDescent="0.3">
      <c r="A1957" s="1">
        <v>2015</v>
      </c>
      <c r="B1957" s="1" t="s">
        <v>16</v>
      </c>
      <c r="C1957" s="1" t="s">
        <v>9</v>
      </c>
      <c r="D1957" s="1" t="s">
        <v>22</v>
      </c>
      <c r="E1957" s="1">
        <v>107.83</v>
      </c>
      <c r="F1957" s="1">
        <v>5.85</v>
      </c>
      <c r="G1957" s="1">
        <v>316</v>
      </c>
      <c r="H1957" s="1">
        <v>0.34123417719999999</v>
      </c>
    </row>
    <row r="1958" spans="1:8" ht="15.75" thickBot="1" x14ac:dyDescent="0.3">
      <c r="A1958" s="1">
        <v>2016</v>
      </c>
      <c r="B1958" s="1" t="s">
        <v>35</v>
      </c>
      <c r="C1958" s="1" t="s">
        <v>9</v>
      </c>
      <c r="D1958" s="1" t="s">
        <v>31</v>
      </c>
      <c r="E1958" s="1">
        <v>10713.48</v>
      </c>
      <c r="F1958" s="1">
        <v>473.61</v>
      </c>
      <c r="G1958" s="1">
        <v>1844</v>
      </c>
      <c r="H1958" s="1">
        <v>5.8099132320000004</v>
      </c>
    </row>
    <row r="1959" spans="1:8" ht="15.75" thickBot="1" x14ac:dyDescent="0.3">
      <c r="A1959" s="1">
        <v>2014</v>
      </c>
      <c r="B1959" s="1" t="s">
        <v>14</v>
      </c>
      <c r="C1959" s="1" t="s">
        <v>18</v>
      </c>
      <c r="D1959" s="1" t="s">
        <v>13</v>
      </c>
      <c r="E1959" s="1">
        <v>1834.23</v>
      </c>
      <c r="F1959" s="1">
        <v>65.31</v>
      </c>
      <c r="G1959" s="1">
        <v>40</v>
      </c>
      <c r="H1959" s="1">
        <v>45.85575</v>
      </c>
    </row>
    <row r="1960" spans="1:8" ht="15.75" thickBot="1" x14ac:dyDescent="0.3">
      <c r="A1960" s="1">
        <v>2016</v>
      </c>
      <c r="B1960" s="1" t="s">
        <v>14</v>
      </c>
      <c r="C1960" s="1" t="s">
        <v>21</v>
      </c>
      <c r="D1960" s="1" t="s">
        <v>31</v>
      </c>
      <c r="E1960" s="1">
        <v>1960033.51</v>
      </c>
      <c r="F1960" s="1">
        <v>75912.77</v>
      </c>
      <c r="G1960" s="1">
        <v>46773</v>
      </c>
      <c r="H1960" s="1">
        <v>41.905234</v>
      </c>
    </row>
    <row r="1961" spans="1:8" ht="15.75" thickBot="1" x14ac:dyDescent="0.3">
      <c r="A1961" s="1">
        <v>2015</v>
      </c>
      <c r="B1961" s="1" t="s">
        <v>20</v>
      </c>
      <c r="C1961" s="1" t="s">
        <v>25</v>
      </c>
      <c r="D1961" s="1" t="s">
        <v>10</v>
      </c>
      <c r="E1961" s="1">
        <v>258514.49</v>
      </c>
      <c r="F1961" s="1">
        <v>10032.43</v>
      </c>
      <c r="G1961" s="1">
        <v>7367</v>
      </c>
      <c r="H1961" s="1">
        <v>35.090876880000003</v>
      </c>
    </row>
    <row r="1962" spans="1:8" ht="15.75" thickBot="1" x14ac:dyDescent="0.3">
      <c r="A1962" s="1">
        <v>2015</v>
      </c>
      <c r="B1962" s="1" t="s">
        <v>35</v>
      </c>
      <c r="C1962" s="1" t="s">
        <v>18</v>
      </c>
      <c r="D1962" s="1" t="s">
        <v>32</v>
      </c>
      <c r="E1962" s="1">
        <v>4895.42</v>
      </c>
      <c r="F1962" s="1">
        <v>219.83</v>
      </c>
      <c r="G1962" s="1">
        <v>488</v>
      </c>
      <c r="H1962" s="1">
        <v>10.03159836</v>
      </c>
    </row>
    <row r="1963" spans="1:8" ht="15.75" thickBot="1" x14ac:dyDescent="0.3">
      <c r="A1963" s="1">
        <v>2015</v>
      </c>
      <c r="B1963" s="1" t="s">
        <v>16</v>
      </c>
      <c r="C1963" s="1" t="s">
        <v>23</v>
      </c>
      <c r="D1963" s="1" t="s">
        <v>27</v>
      </c>
      <c r="E1963" s="1">
        <v>621983053.5</v>
      </c>
      <c r="F1963" s="1">
        <v>25760458.75</v>
      </c>
      <c r="G1963" s="1">
        <v>14676954</v>
      </c>
      <c r="H1963" s="1">
        <v>42.378211</v>
      </c>
    </row>
    <row r="1964" spans="1:8" ht="15.75" thickBot="1" x14ac:dyDescent="0.3">
      <c r="A1964" s="1">
        <v>2017</v>
      </c>
      <c r="B1964" s="1" t="s">
        <v>30</v>
      </c>
      <c r="C1964" s="1" t="s">
        <v>18</v>
      </c>
      <c r="D1964" s="1" t="s">
        <v>34</v>
      </c>
      <c r="E1964" s="1">
        <v>25529.14</v>
      </c>
      <c r="F1964" s="1">
        <v>837.19</v>
      </c>
      <c r="G1964" s="1">
        <v>306</v>
      </c>
      <c r="H1964" s="1">
        <v>83.42856209</v>
      </c>
    </row>
    <row r="1965" spans="1:8" ht="15.75" thickBot="1" x14ac:dyDescent="0.3">
      <c r="A1965" s="1">
        <v>2015</v>
      </c>
      <c r="B1965" s="1" t="s">
        <v>12</v>
      </c>
      <c r="C1965" s="1" t="s">
        <v>12</v>
      </c>
      <c r="D1965" s="1" t="s">
        <v>19</v>
      </c>
      <c r="E1965" s="1">
        <v>5534900.4800000004</v>
      </c>
      <c r="F1965" s="1">
        <v>166686.47</v>
      </c>
      <c r="G1965" s="1">
        <v>41819</v>
      </c>
      <c r="H1965" s="1">
        <v>132.35372630000001</v>
      </c>
    </row>
    <row r="1966" spans="1:8" ht="15.75" thickBot="1" x14ac:dyDescent="0.3">
      <c r="A1966" s="1">
        <v>2015</v>
      </c>
      <c r="B1966" s="1" t="s">
        <v>11</v>
      </c>
      <c r="C1966" s="1" t="s">
        <v>9</v>
      </c>
      <c r="D1966" s="1" t="s">
        <v>24</v>
      </c>
      <c r="E1966" s="1">
        <v>30171.88</v>
      </c>
      <c r="F1966" s="1">
        <v>691.04</v>
      </c>
      <c r="G1966" s="1">
        <v>156</v>
      </c>
      <c r="H1966" s="1">
        <v>193.4094872</v>
      </c>
    </row>
    <row r="1967" spans="1:8" ht="15.75" thickBot="1" x14ac:dyDescent="0.3">
      <c r="A1967" s="1">
        <v>2017</v>
      </c>
      <c r="B1967" s="1" t="s">
        <v>35</v>
      </c>
      <c r="C1967" s="1" t="s">
        <v>9</v>
      </c>
      <c r="D1967" s="1" t="s">
        <v>24</v>
      </c>
      <c r="E1967" s="1">
        <v>1309</v>
      </c>
      <c r="F1967" s="1">
        <v>86.92</v>
      </c>
      <c r="G1967" s="1">
        <v>105</v>
      </c>
      <c r="H1967" s="1">
        <v>12.46666667</v>
      </c>
    </row>
    <row r="1968" spans="1:8" ht="15.75" thickBot="1" x14ac:dyDescent="0.3">
      <c r="A1968" s="1">
        <v>2014</v>
      </c>
      <c r="B1968" s="1" t="s">
        <v>30</v>
      </c>
      <c r="C1968" s="1" t="s">
        <v>18</v>
      </c>
      <c r="D1968" s="1" t="s">
        <v>29</v>
      </c>
      <c r="E1968" s="1">
        <v>2129675.56</v>
      </c>
      <c r="F1968" s="1">
        <v>67198.67</v>
      </c>
      <c r="G1968" s="1">
        <v>8408</v>
      </c>
      <c r="H1968" s="1">
        <v>253.29157470000001</v>
      </c>
    </row>
    <row r="1969" spans="1:8" ht="15.75" thickBot="1" x14ac:dyDescent="0.3">
      <c r="A1969" s="1">
        <v>2015</v>
      </c>
      <c r="B1969" s="1" t="s">
        <v>14</v>
      </c>
      <c r="C1969" s="1" t="s">
        <v>25</v>
      </c>
      <c r="D1969" s="1" t="s">
        <v>13</v>
      </c>
      <c r="E1969" s="1">
        <v>377423.99</v>
      </c>
      <c r="F1969" s="1">
        <v>14263.8</v>
      </c>
      <c r="G1969" s="1">
        <v>10753</v>
      </c>
      <c r="H1969" s="1">
        <v>35.09941319</v>
      </c>
    </row>
    <row r="1970" spans="1:8" ht="15.75" thickBot="1" x14ac:dyDescent="0.3">
      <c r="A1970" s="1">
        <v>2015</v>
      </c>
      <c r="B1970" s="1" t="s">
        <v>14</v>
      </c>
      <c r="C1970" s="1" t="s">
        <v>9</v>
      </c>
      <c r="D1970" s="1" t="s">
        <v>27</v>
      </c>
      <c r="E1970" s="1">
        <v>25663199.239999998</v>
      </c>
      <c r="F1970" s="1">
        <v>1034322.13</v>
      </c>
      <c r="G1970" s="1">
        <v>748316</v>
      </c>
      <c r="H1970" s="1">
        <v>34.294601800000002</v>
      </c>
    </row>
    <row r="1971" spans="1:8" ht="15.75" thickBot="1" x14ac:dyDescent="0.3">
      <c r="A1971" s="1">
        <v>2017</v>
      </c>
      <c r="B1971" s="1" t="s">
        <v>16</v>
      </c>
      <c r="C1971" s="1" t="s">
        <v>21</v>
      </c>
      <c r="D1971" s="1" t="s">
        <v>29</v>
      </c>
      <c r="E1971" s="1">
        <v>34063409.700000003</v>
      </c>
      <c r="F1971" s="1">
        <v>1188023.8600000001</v>
      </c>
      <c r="G1971" s="1">
        <v>132464</v>
      </c>
      <c r="H1971" s="1">
        <v>257.1522051</v>
      </c>
    </row>
    <row r="1972" spans="1:8" ht="15.75" thickBot="1" x14ac:dyDescent="0.3">
      <c r="A1972" s="1">
        <v>2016</v>
      </c>
      <c r="B1972" s="1" t="s">
        <v>40</v>
      </c>
      <c r="C1972" s="1" t="s">
        <v>18</v>
      </c>
      <c r="D1972" s="1" t="s">
        <v>27</v>
      </c>
      <c r="E1972" s="1">
        <v>7424.43</v>
      </c>
      <c r="F1972" s="1">
        <v>222.27</v>
      </c>
      <c r="G1972" s="1">
        <v>60</v>
      </c>
      <c r="H1972" s="1">
        <v>123.7405</v>
      </c>
    </row>
    <row r="1973" spans="1:8" ht="15.75" thickBot="1" x14ac:dyDescent="0.3">
      <c r="A1973" s="1">
        <v>2015</v>
      </c>
      <c r="B1973" s="1" t="s">
        <v>40</v>
      </c>
      <c r="C1973" s="1" t="s">
        <v>26</v>
      </c>
      <c r="D1973" s="1" t="s">
        <v>19</v>
      </c>
      <c r="E1973" s="1">
        <v>24331.8</v>
      </c>
      <c r="F1973" s="1">
        <v>558.49</v>
      </c>
      <c r="G1973" s="1">
        <v>154</v>
      </c>
      <c r="H1973" s="1">
        <v>157.99870129999999</v>
      </c>
    </row>
    <row r="1974" spans="1:8" ht="15.75" thickBot="1" x14ac:dyDescent="0.3">
      <c r="A1974" s="1">
        <v>2016</v>
      </c>
      <c r="B1974" s="1" t="s">
        <v>11</v>
      </c>
      <c r="C1974" s="1" t="s">
        <v>9</v>
      </c>
      <c r="D1974" s="1" t="s">
        <v>32</v>
      </c>
      <c r="E1974" s="1">
        <v>176078.89</v>
      </c>
      <c r="F1974" s="1">
        <v>4190.4799999999996</v>
      </c>
      <c r="G1974" s="1">
        <v>56543</v>
      </c>
      <c r="H1974" s="1">
        <v>3.1140705299999998</v>
      </c>
    </row>
    <row r="1975" spans="1:8" ht="15.75" thickBot="1" x14ac:dyDescent="0.3">
      <c r="A1975" s="1">
        <v>2016</v>
      </c>
      <c r="B1975" s="1" t="s">
        <v>16</v>
      </c>
      <c r="C1975" s="1" t="s">
        <v>12</v>
      </c>
      <c r="D1975" s="1" t="s">
        <v>32</v>
      </c>
      <c r="E1975" s="1">
        <v>99541876.760000005</v>
      </c>
      <c r="F1975" s="1">
        <v>3774801.43</v>
      </c>
      <c r="G1975" s="1">
        <v>1595350</v>
      </c>
      <c r="H1975" s="1">
        <v>62.395008470000001</v>
      </c>
    </row>
    <row r="1976" spans="1:8" ht="15.75" thickBot="1" x14ac:dyDescent="0.3">
      <c r="A1976" s="1">
        <v>2014</v>
      </c>
      <c r="B1976" s="1" t="s">
        <v>12</v>
      </c>
      <c r="C1976" s="1" t="s">
        <v>28</v>
      </c>
      <c r="D1976" s="1" t="s">
        <v>31</v>
      </c>
      <c r="E1976" s="1">
        <v>171982.81</v>
      </c>
      <c r="F1976" s="1">
        <v>5743.81</v>
      </c>
      <c r="G1976" s="1">
        <v>3019</v>
      </c>
      <c r="H1976" s="1">
        <v>56.966813510000001</v>
      </c>
    </row>
    <row r="1977" spans="1:8" ht="15.75" thickBot="1" x14ac:dyDescent="0.3">
      <c r="A1977" s="1">
        <v>2016</v>
      </c>
      <c r="B1977" s="1" t="s">
        <v>20</v>
      </c>
      <c r="C1977" s="1" t="s">
        <v>28</v>
      </c>
      <c r="D1977" s="1" t="s">
        <v>31</v>
      </c>
      <c r="E1977" s="1">
        <v>27824.240000000002</v>
      </c>
      <c r="F1977" s="1">
        <v>1206.2</v>
      </c>
      <c r="G1977" s="1">
        <v>143830</v>
      </c>
      <c r="H1977" s="1">
        <v>0.19345227000000001</v>
      </c>
    </row>
    <row r="1978" spans="1:8" ht="15.75" thickBot="1" x14ac:dyDescent="0.3">
      <c r="A1978" s="1">
        <v>2017</v>
      </c>
      <c r="B1978" s="1" t="s">
        <v>14</v>
      </c>
      <c r="C1978" s="1" t="s">
        <v>12</v>
      </c>
      <c r="D1978" s="1" t="s">
        <v>22</v>
      </c>
      <c r="E1978" s="1">
        <v>2385.15</v>
      </c>
      <c r="F1978" s="1">
        <v>92.1</v>
      </c>
      <c r="G1978" s="1">
        <v>167</v>
      </c>
      <c r="H1978" s="1">
        <v>14.28233533</v>
      </c>
    </row>
    <row r="1979" spans="1:8" ht="15.75" thickBot="1" x14ac:dyDescent="0.3">
      <c r="A1979" s="1">
        <v>2017</v>
      </c>
      <c r="B1979" s="1" t="s">
        <v>17</v>
      </c>
      <c r="C1979" s="1" t="s">
        <v>9</v>
      </c>
      <c r="D1979" s="1" t="s">
        <v>27</v>
      </c>
      <c r="E1979" s="1">
        <v>935593.37</v>
      </c>
      <c r="F1979" s="1">
        <v>25700.42</v>
      </c>
      <c r="G1979" s="1">
        <v>64628</v>
      </c>
      <c r="H1979" s="1">
        <v>14.476594820000001</v>
      </c>
    </row>
    <row r="1980" spans="1:8" ht="15.75" thickBot="1" x14ac:dyDescent="0.3">
      <c r="A1980" s="1">
        <v>2016</v>
      </c>
      <c r="B1980" s="1" t="s">
        <v>14</v>
      </c>
      <c r="C1980" s="1" t="s">
        <v>26</v>
      </c>
      <c r="D1980" s="1" t="s">
        <v>19</v>
      </c>
      <c r="E1980" s="1">
        <v>35783145.899999999</v>
      </c>
      <c r="F1980" s="1">
        <v>1174115.3899999999</v>
      </c>
      <c r="G1980" s="1">
        <v>414382</v>
      </c>
      <c r="H1980" s="1">
        <v>86.353041160000004</v>
      </c>
    </row>
    <row r="1981" spans="1:8" ht="15.75" thickBot="1" x14ac:dyDescent="0.3">
      <c r="A1981" s="1">
        <v>2016</v>
      </c>
      <c r="B1981" s="1" t="s">
        <v>40</v>
      </c>
      <c r="C1981" s="1" t="s">
        <v>15</v>
      </c>
      <c r="D1981" s="1" t="s">
        <v>27</v>
      </c>
      <c r="E1981" s="1">
        <v>21218.32</v>
      </c>
      <c r="F1981" s="1">
        <v>691.4</v>
      </c>
      <c r="G1981" s="1">
        <v>183</v>
      </c>
      <c r="H1981" s="1">
        <v>115.94710379999999</v>
      </c>
    </row>
    <row r="1982" spans="1:8" ht="15.75" thickBot="1" x14ac:dyDescent="0.3">
      <c r="A1982" s="1">
        <v>2014</v>
      </c>
      <c r="B1982" s="1" t="s">
        <v>30</v>
      </c>
      <c r="C1982" s="1" t="s">
        <v>9</v>
      </c>
      <c r="D1982" s="1" t="s">
        <v>24</v>
      </c>
      <c r="E1982" s="1">
        <v>131617.12</v>
      </c>
      <c r="F1982" s="1">
        <v>4145.22</v>
      </c>
      <c r="G1982" s="1">
        <v>2948</v>
      </c>
      <c r="H1982" s="1">
        <v>44.646241519999997</v>
      </c>
    </row>
    <row r="1983" spans="1:8" ht="15.75" thickBot="1" x14ac:dyDescent="0.3">
      <c r="A1983" s="1">
        <v>2017</v>
      </c>
      <c r="B1983" s="1" t="s">
        <v>11</v>
      </c>
      <c r="C1983" s="1" t="s">
        <v>25</v>
      </c>
      <c r="D1983" s="1" t="s">
        <v>32</v>
      </c>
      <c r="E1983" s="1">
        <v>182049943.19999999</v>
      </c>
      <c r="F1983" s="1">
        <v>6247359.29</v>
      </c>
      <c r="G1983" s="1">
        <v>4519710</v>
      </c>
      <c r="H1983" s="1">
        <v>40.279120390000003</v>
      </c>
    </row>
    <row r="1984" spans="1:8" ht="15.75" thickBot="1" x14ac:dyDescent="0.3">
      <c r="A1984" s="1">
        <v>2014</v>
      </c>
      <c r="B1984" s="1" t="s">
        <v>17</v>
      </c>
      <c r="C1984" s="1" t="s">
        <v>28</v>
      </c>
      <c r="D1984" s="1" t="s">
        <v>24</v>
      </c>
      <c r="E1984" s="1">
        <v>101427503.2</v>
      </c>
      <c r="F1984" s="1">
        <v>3019198.8</v>
      </c>
      <c r="G1984" s="1">
        <v>157692</v>
      </c>
      <c r="H1984" s="1">
        <v>643.20005570000001</v>
      </c>
    </row>
    <row r="1985" spans="1:8" ht="15.75" thickBot="1" x14ac:dyDescent="0.3">
      <c r="A1985" s="1">
        <v>2016</v>
      </c>
      <c r="B1985" s="1" t="s">
        <v>12</v>
      </c>
      <c r="C1985" s="1" t="s">
        <v>18</v>
      </c>
      <c r="D1985" s="1" t="s">
        <v>29</v>
      </c>
      <c r="E1985" s="1">
        <v>1938198.89</v>
      </c>
      <c r="F1985" s="1">
        <v>58303.74</v>
      </c>
      <c r="G1985" s="1">
        <v>4800</v>
      </c>
      <c r="H1985" s="1">
        <v>403.79143540000001</v>
      </c>
    </row>
    <row r="1986" spans="1:8" ht="15.75" thickBot="1" x14ac:dyDescent="0.3">
      <c r="A1986" s="1">
        <v>2017</v>
      </c>
      <c r="B1986" s="1" t="s">
        <v>11</v>
      </c>
      <c r="C1986" s="1" t="s">
        <v>9</v>
      </c>
      <c r="D1986" s="1" t="s">
        <v>27</v>
      </c>
      <c r="E1986" s="1">
        <v>70981491.390000001</v>
      </c>
      <c r="F1986" s="1">
        <v>1833489.26</v>
      </c>
      <c r="G1986" s="1">
        <v>987333</v>
      </c>
      <c r="H1986" s="1">
        <v>71.892149239999995</v>
      </c>
    </row>
    <row r="1987" spans="1:8" ht="15.75" thickBot="1" x14ac:dyDescent="0.3">
      <c r="A1987" s="1">
        <v>2014</v>
      </c>
      <c r="B1987" s="1" t="s">
        <v>16</v>
      </c>
      <c r="C1987" s="1" t="s">
        <v>28</v>
      </c>
      <c r="D1987" s="1" t="s">
        <v>24</v>
      </c>
      <c r="E1987" s="1">
        <v>108648269.7</v>
      </c>
      <c r="F1987" s="1">
        <v>3371852.57</v>
      </c>
      <c r="G1987" s="1">
        <v>258623</v>
      </c>
      <c r="H1987" s="1">
        <v>420.10288980000001</v>
      </c>
    </row>
    <row r="1988" spans="1:8" ht="15.75" thickBot="1" x14ac:dyDescent="0.3">
      <c r="A1988" s="1">
        <v>2014</v>
      </c>
      <c r="B1988" s="1" t="s">
        <v>40</v>
      </c>
      <c r="C1988" s="1" t="s">
        <v>33</v>
      </c>
      <c r="D1988" s="1" t="s">
        <v>13</v>
      </c>
      <c r="E1988" s="1">
        <v>475.71</v>
      </c>
      <c r="F1988" s="1">
        <v>1.1599999999999999</v>
      </c>
      <c r="G1988" s="1">
        <v>15</v>
      </c>
      <c r="H1988" s="1">
        <v>31.713999999999999</v>
      </c>
    </row>
    <row r="1989" spans="1:8" ht="15.75" thickBot="1" x14ac:dyDescent="0.3">
      <c r="A1989" s="1">
        <v>2017</v>
      </c>
      <c r="B1989" s="1" t="s">
        <v>14</v>
      </c>
      <c r="C1989" s="1" t="s">
        <v>9</v>
      </c>
      <c r="D1989" s="1" t="s">
        <v>10</v>
      </c>
      <c r="E1989" s="1">
        <v>16678564.02</v>
      </c>
      <c r="F1989" s="1">
        <v>617991.56000000006</v>
      </c>
      <c r="G1989" s="1">
        <v>363647</v>
      </c>
      <c r="H1989" s="1">
        <v>45.864709509999997</v>
      </c>
    </row>
    <row r="1990" spans="1:8" ht="15.75" thickBot="1" x14ac:dyDescent="0.3">
      <c r="A1990" s="1">
        <v>2015</v>
      </c>
      <c r="B1990" s="1" t="s">
        <v>30</v>
      </c>
      <c r="C1990" s="1" t="s">
        <v>15</v>
      </c>
      <c r="D1990" s="1" t="s">
        <v>32</v>
      </c>
      <c r="E1990" s="1">
        <v>16145377.08</v>
      </c>
      <c r="F1990" s="1">
        <v>601291.09</v>
      </c>
      <c r="G1990" s="1">
        <v>318732</v>
      </c>
      <c r="H1990" s="1">
        <v>50.655023909999997</v>
      </c>
    </row>
    <row r="1991" spans="1:8" ht="15.75" thickBot="1" x14ac:dyDescent="0.3">
      <c r="A1991" s="1">
        <v>2016</v>
      </c>
      <c r="B1991" s="1" t="s">
        <v>16</v>
      </c>
      <c r="C1991" s="1" t="s">
        <v>9</v>
      </c>
      <c r="D1991" s="1" t="s">
        <v>24</v>
      </c>
      <c r="E1991" s="1">
        <v>181108.23</v>
      </c>
      <c r="F1991" s="1">
        <v>2857.86</v>
      </c>
      <c r="G1991" s="1">
        <v>1277</v>
      </c>
      <c r="H1991" s="1">
        <v>141.82320279999999</v>
      </c>
    </row>
    <row r="1992" spans="1:8" ht="15.75" thickBot="1" x14ac:dyDescent="0.3">
      <c r="A1992" s="1">
        <v>2017</v>
      </c>
      <c r="B1992" s="1" t="s">
        <v>17</v>
      </c>
      <c r="C1992" s="1" t="s">
        <v>12</v>
      </c>
      <c r="D1992" s="1" t="s">
        <v>32</v>
      </c>
      <c r="E1992" s="1">
        <v>93408536.879999995</v>
      </c>
      <c r="F1992" s="1">
        <v>3497300.88</v>
      </c>
      <c r="G1992" s="1">
        <v>1567484</v>
      </c>
      <c r="H1992" s="1">
        <v>59.591381400000003</v>
      </c>
    </row>
    <row r="1993" spans="1:8" ht="15.75" thickBot="1" x14ac:dyDescent="0.3">
      <c r="A1993" s="1">
        <v>2014</v>
      </c>
      <c r="B1993" s="1" t="s">
        <v>16</v>
      </c>
      <c r="C1993" s="1" t="s">
        <v>26</v>
      </c>
      <c r="D1993" s="1" t="s">
        <v>31</v>
      </c>
      <c r="E1993" s="1">
        <v>1724890.68</v>
      </c>
      <c r="F1993" s="1">
        <v>65595.240000000005</v>
      </c>
      <c r="G1993" s="1">
        <v>36776</v>
      </c>
      <c r="H1993" s="1">
        <v>46.902618009999998</v>
      </c>
    </row>
    <row r="1994" spans="1:8" ht="15.75" thickBot="1" x14ac:dyDescent="0.3">
      <c r="A1994" s="1">
        <v>2016</v>
      </c>
      <c r="B1994" s="1" t="s">
        <v>40</v>
      </c>
      <c r="C1994" s="1" t="s">
        <v>28</v>
      </c>
      <c r="D1994" s="1" t="s">
        <v>19</v>
      </c>
      <c r="E1994" s="1">
        <v>374012.86</v>
      </c>
      <c r="F1994" s="1">
        <v>6404.73</v>
      </c>
      <c r="G1994" s="1">
        <v>2900</v>
      </c>
      <c r="H1994" s="1">
        <v>128.9699517</v>
      </c>
    </row>
    <row r="1995" spans="1:8" ht="15.75" thickBot="1" x14ac:dyDescent="0.3">
      <c r="A1995" s="1">
        <v>2016</v>
      </c>
      <c r="B1995" s="1" t="s">
        <v>20</v>
      </c>
      <c r="C1995" s="1" t="s">
        <v>25</v>
      </c>
      <c r="D1995" s="1" t="s">
        <v>22</v>
      </c>
      <c r="E1995" s="1">
        <v>709.74</v>
      </c>
      <c r="F1995" s="1">
        <v>43.58</v>
      </c>
      <c r="G1995" s="1">
        <v>70</v>
      </c>
      <c r="H1995" s="1">
        <v>10.13914286</v>
      </c>
    </row>
    <row r="1996" spans="1:8" ht="15.75" thickBot="1" x14ac:dyDescent="0.3">
      <c r="A1996" s="1">
        <v>2016</v>
      </c>
      <c r="B1996" s="1" t="s">
        <v>14</v>
      </c>
      <c r="C1996" s="1" t="s">
        <v>21</v>
      </c>
      <c r="D1996" s="1" t="s">
        <v>10</v>
      </c>
      <c r="E1996" s="1">
        <v>9651197.0999999996</v>
      </c>
      <c r="F1996" s="1">
        <v>362895.97</v>
      </c>
      <c r="G1996" s="1">
        <v>197540</v>
      </c>
      <c r="H1996" s="1">
        <v>48.856925689999997</v>
      </c>
    </row>
    <row r="1997" spans="1:8" ht="15.75" thickBot="1" x14ac:dyDescent="0.3">
      <c r="A1997" s="1">
        <v>2017</v>
      </c>
      <c r="B1997" s="1" t="s">
        <v>12</v>
      </c>
      <c r="C1997" s="1" t="s">
        <v>23</v>
      </c>
      <c r="D1997" s="1" t="s">
        <v>34</v>
      </c>
      <c r="E1997" s="1">
        <v>23511.17</v>
      </c>
      <c r="F1997" s="1">
        <v>948.06</v>
      </c>
      <c r="G1997" s="1">
        <v>932</v>
      </c>
      <c r="H1997" s="1">
        <v>25.226577249999998</v>
      </c>
    </row>
    <row r="1998" spans="1:8" ht="15.75" thickBot="1" x14ac:dyDescent="0.3">
      <c r="A1998" s="1">
        <v>2015</v>
      </c>
      <c r="B1998" s="1" t="s">
        <v>8</v>
      </c>
      <c r="C1998" s="1" t="s">
        <v>18</v>
      </c>
      <c r="D1998" s="1" t="s">
        <v>32</v>
      </c>
      <c r="E1998" s="1">
        <v>53.84</v>
      </c>
      <c r="F1998" s="1">
        <v>1.86</v>
      </c>
      <c r="G1998" s="1">
        <v>1</v>
      </c>
      <c r="H1998" s="1">
        <v>53.84</v>
      </c>
    </row>
    <row r="1999" spans="1:8" ht="15.75" thickBot="1" x14ac:dyDescent="0.3">
      <c r="A1999" s="1">
        <v>2014</v>
      </c>
      <c r="B1999" s="1" t="s">
        <v>17</v>
      </c>
      <c r="C1999" s="1" t="s">
        <v>9</v>
      </c>
      <c r="D1999" s="1" t="s">
        <v>24</v>
      </c>
      <c r="E1999" s="1">
        <v>87543</v>
      </c>
      <c r="F1999" s="1">
        <v>1815.98</v>
      </c>
      <c r="G1999" s="1">
        <v>833</v>
      </c>
      <c r="H1999" s="1">
        <v>105.0936375</v>
      </c>
    </row>
    <row r="2000" spans="1:8" ht="15.75" thickBot="1" x14ac:dyDescent="0.3">
      <c r="A2000" s="1">
        <v>2015</v>
      </c>
      <c r="B2000" s="1" t="s">
        <v>12</v>
      </c>
      <c r="C2000" s="1" t="s">
        <v>28</v>
      </c>
      <c r="D2000" s="1" t="s">
        <v>22</v>
      </c>
      <c r="E2000" s="1">
        <v>399.85</v>
      </c>
      <c r="F2000" s="1">
        <v>11.04</v>
      </c>
      <c r="G2000" s="1">
        <v>44</v>
      </c>
      <c r="H2000" s="1">
        <v>9.0875000000000004</v>
      </c>
    </row>
    <row r="2001" spans="1:8" ht="15.75" thickBot="1" x14ac:dyDescent="0.3">
      <c r="A2001" s="1">
        <v>2017</v>
      </c>
      <c r="B2001" s="1" t="s">
        <v>35</v>
      </c>
      <c r="C2001" s="1" t="s">
        <v>21</v>
      </c>
      <c r="D2001" s="1" t="s">
        <v>34</v>
      </c>
      <c r="E2001" s="1">
        <v>0</v>
      </c>
      <c r="F2001" s="1">
        <v>0.3</v>
      </c>
      <c r="G2001" s="1">
        <v>4</v>
      </c>
      <c r="H2001" s="1">
        <v>0</v>
      </c>
    </row>
    <row r="2002" spans="1:8" ht="15.75" thickBot="1" x14ac:dyDescent="0.3">
      <c r="A2002" s="1">
        <v>2016</v>
      </c>
      <c r="B2002" s="1" t="s">
        <v>16</v>
      </c>
      <c r="C2002" s="1" t="s">
        <v>23</v>
      </c>
      <c r="D2002" s="1" t="s">
        <v>27</v>
      </c>
      <c r="E2002" s="1">
        <v>626278861</v>
      </c>
      <c r="F2002" s="1">
        <v>25892476.379999999</v>
      </c>
      <c r="G2002" s="1">
        <v>15701060</v>
      </c>
      <c r="H2002" s="1">
        <v>39.887680260000003</v>
      </c>
    </row>
    <row r="2003" spans="1:8" ht="15.75" thickBot="1" x14ac:dyDescent="0.3">
      <c r="A2003" s="1">
        <v>2014</v>
      </c>
      <c r="B2003" s="1" t="s">
        <v>16</v>
      </c>
      <c r="C2003" s="1" t="s">
        <v>28</v>
      </c>
      <c r="D2003" s="1" t="s">
        <v>29</v>
      </c>
      <c r="E2003" s="1">
        <v>44716590.829999998</v>
      </c>
      <c r="F2003" s="1">
        <v>1371112.57</v>
      </c>
      <c r="G2003" s="1">
        <v>93924</v>
      </c>
      <c r="H2003" s="1">
        <v>476.09333959999998</v>
      </c>
    </row>
    <row r="2004" spans="1:8" ht="15.75" thickBot="1" x14ac:dyDescent="0.3">
      <c r="A2004" s="1">
        <v>2017</v>
      </c>
      <c r="B2004" s="1" t="s">
        <v>17</v>
      </c>
      <c r="C2004" s="1" t="s">
        <v>15</v>
      </c>
      <c r="D2004" s="1" t="s">
        <v>24</v>
      </c>
      <c r="E2004" s="1">
        <v>17877004.100000001</v>
      </c>
      <c r="F2004" s="1">
        <v>619733.44999999995</v>
      </c>
      <c r="G2004" s="1">
        <v>61708</v>
      </c>
      <c r="H2004" s="1">
        <v>289.7031844</v>
      </c>
    </row>
    <row r="2005" spans="1:8" ht="15.75" thickBot="1" x14ac:dyDescent="0.3">
      <c r="A2005" s="1">
        <v>2017</v>
      </c>
      <c r="B2005" s="1" t="s">
        <v>11</v>
      </c>
      <c r="C2005" s="1" t="s">
        <v>15</v>
      </c>
      <c r="D2005" s="1" t="s">
        <v>22</v>
      </c>
      <c r="E2005" s="1">
        <v>8505605.6400000006</v>
      </c>
      <c r="F2005" s="1">
        <v>271235.03999999998</v>
      </c>
      <c r="G2005" s="1">
        <v>499080</v>
      </c>
      <c r="H2005" s="1">
        <v>17.042569610000001</v>
      </c>
    </row>
    <row r="2006" spans="1:8" ht="15.75" thickBot="1" x14ac:dyDescent="0.3">
      <c r="A2006" s="1">
        <v>2017</v>
      </c>
      <c r="B2006" s="1" t="s">
        <v>11</v>
      </c>
      <c r="C2006" s="1" t="s">
        <v>21</v>
      </c>
      <c r="D2006" s="1" t="s">
        <v>32</v>
      </c>
      <c r="E2006" s="1">
        <v>193878726</v>
      </c>
      <c r="F2006" s="1">
        <v>6371417.4800000004</v>
      </c>
      <c r="G2006" s="1">
        <v>4305083</v>
      </c>
      <c r="H2006" s="1">
        <v>45.034840449999997</v>
      </c>
    </row>
    <row r="2007" spans="1:8" ht="15.75" thickBot="1" x14ac:dyDescent="0.3">
      <c r="A2007" s="1">
        <v>2015</v>
      </c>
      <c r="B2007" s="1" t="s">
        <v>16</v>
      </c>
      <c r="C2007" s="1" t="s">
        <v>18</v>
      </c>
      <c r="D2007" s="1" t="s">
        <v>24</v>
      </c>
      <c r="E2007" s="1">
        <v>11178783.109999999</v>
      </c>
      <c r="F2007" s="1">
        <v>365802.82</v>
      </c>
      <c r="G2007" s="1">
        <v>32675</v>
      </c>
      <c r="H2007" s="1">
        <v>342.1203706</v>
      </c>
    </row>
    <row r="2008" spans="1:8" ht="15.75" thickBot="1" x14ac:dyDescent="0.3">
      <c r="A2008" s="1">
        <v>2015</v>
      </c>
      <c r="B2008" s="1" t="s">
        <v>30</v>
      </c>
      <c r="C2008" s="1" t="s">
        <v>21</v>
      </c>
      <c r="D2008" s="1" t="s">
        <v>32</v>
      </c>
      <c r="E2008" s="1">
        <v>20734543.32</v>
      </c>
      <c r="F2008" s="1">
        <v>812895.37</v>
      </c>
      <c r="G2008" s="1">
        <v>507220</v>
      </c>
      <c r="H2008" s="1">
        <v>40.878796809999997</v>
      </c>
    </row>
    <row r="2009" spans="1:8" ht="15.75" thickBot="1" x14ac:dyDescent="0.3">
      <c r="A2009" s="1">
        <v>2016</v>
      </c>
      <c r="B2009" s="1" t="s">
        <v>11</v>
      </c>
      <c r="C2009" s="1" t="s">
        <v>12</v>
      </c>
      <c r="D2009" s="1" t="s">
        <v>24</v>
      </c>
      <c r="E2009" s="1">
        <v>2852595.94</v>
      </c>
      <c r="F2009" s="1">
        <v>93896.65</v>
      </c>
      <c r="G2009" s="1">
        <v>12559</v>
      </c>
      <c r="H2009" s="1">
        <v>227.13559520000001</v>
      </c>
    </row>
    <row r="2010" spans="1:8" ht="15.75" thickBot="1" x14ac:dyDescent="0.3">
      <c r="A2010" s="1">
        <v>2016</v>
      </c>
      <c r="B2010" s="1" t="s">
        <v>14</v>
      </c>
      <c r="C2010" s="1" t="s">
        <v>25</v>
      </c>
      <c r="D2010" s="1" t="s">
        <v>24</v>
      </c>
      <c r="E2010" s="1">
        <v>18969383.140000001</v>
      </c>
      <c r="F2010" s="1">
        <v>674573.79</v>
      </c>
      <c r="G2010" s="1">
        <v>158864</v>
      </c>
      <c r="H2010" s="1">
        <v>119.4064303</v>
      </c>
    </row>
    <row r="2011" spans="1:8" ht="15.75" thickBot="1" x14ac:dyDescent="0.3">
      <c r="A2011" s="1">
        <v>2016</v>
      </c>
      <c r="B2011" s="1" t="s">
        <v>16</v>
      </c>
      <c r="C2011" s="1" t="s">
        <v>18</v>
      </c>
      <c r="D2011" s="1" t="s">
        <v>24</v>
      </c>
      <c r="E2011" s="1">
        <v>11560400.460000001</v>
      </c>
      <c r="F2011" s="1">
        <v>380445.93</v>
      </c>
      <c r="G2011" s="1">
        <v>34639</v>
      </c>
      <c r="H2011" s="1">
        <v>333.73943989999998</v>
      </c>
    </row>
    <row r="2012" spans="1:8" ht="15.75" thickBot="1" x14ac:dyDescent="0.3">
      <c r="A2012" s="1">
        <v>2015</v>
      </c>
      <c r="B2012" s="1" t="s">
        <v>17</v>
      </c>
      <c r="C2012" s="1" t="s">
        <v>12</v>
      </c>
      <c r="D2012" s="1" t="s">
        <v>27</v>
      </c>
      <c r="E2012" s="1">
        <v>354449852.19999999</v>
      </c>
      <c r="F2012" s="1">
        <v>12998842.289999999</v>
      </c>
      <c r="G2012" s="1">
        <v>5040774</v>
      </c>
      <c r="H2012" s="1">
        <v>70.316553010000007</v>
      </c>
    </row>
    <row r="2013" spans="1:8" ht="15.75" thickBot="1" x14ac:dyDescent="0.3">
      <c r="A2013" s="1">
        <v>2016</v>
      </c>
      <c r="B2013" s="1" t="s">
        <v>30</v>
      </c>
      <c r="C2013" s="1" t="s">
        <v>21</v>
      </c>
      <c r="D2013" s="1" t="s">
        <v>27</v>
      </c>
      <c r="E2013" s="1">
        <v>615504941.39999998</v>
      </c>
      <c r="F2013" s="1">
        <v>22375237.109999999</v>
      </c>
      <c r="G2013" s="1">
        <v>9748952</v>
      </c>
      <c r="H2013" s="1">
        <v>63.13549819</v>
      </c>
    </row>
    <row r="2014" spans="1:8" ht="15.75" thickBot="1" x14ac:dyDescent="0.3">
      <c r="A2014" s="1">
        <v>2016</v>
      </c>
      <c r="B2014" s="1" t="s">
        <v>40</v>
      </c>
      <c r="C2014" s="1" t="s">
        <v>26</v>
      </c>
      <c r="D2014" s="1" t="s">
        <v>27</v>
      </c>
      <c r="E2014" s="1">
        <v>41310.980000000003</v>
      </c>
      <c r="F2014" s="1">
        <v>1346.54</v>
      </c>
      <c r="G2014" s="1">
        <v>464</v>
      </c>
      <c r="H2014" s="1">
        <v>89.032284480000001</v>
      </c>
    </row>
    <row r="2015" spans="1:8" ht="15.75" thickBot="1" x14ac:dyDescent="0.3">
      <c r="A2015" s="1">
        <v>2017</v>
      </c>
      <c r="B2015" s="1" t="s">
        <v>12</v>
      </c>
      <c r="C2015" s="1" t="s">
        <v>28</v>
      </c>
      <c r="D2015" s="1" t="s">
        <v>10</v>
      </c>
      <c r="E2015" s="1">
        <v>3036678.09</v>
      </c>
      <c r="F2015" s="1">
        <v>96190.03</v>
      </c>
      <c r="G2015" s="1">
        <v>73346</v>
      </c>
      <c r="H2015" s="1">
        <v>41.402095410000001</v>
      </c>
    </row>
    <row r="2016" spans="1:8" ht="15.75" thickBot="1" x14ac:dyDescent="0.3">
      <c r="A2016" s="1">
        <v>2017</v>
      </c>
      <c r="B2016" s="1" t="s">
        <v>11</v>
      </c>
      <c r="C2016" s="1" t="s">
        <v>21</v>
      </c>
      <c r="D2016" s="1" t="s">
        <v>31</v>
      </c>
      <c r="E2016" s="1">
        <v>95549978.829999998</v>
      </c>
      <c r="F2016" s="1">
        <v>2762101.86</v>
      </c>
      <c r="G2016" s="1">
        <v>1805735</v>
      </c>
      <c r="H2016" s="1">
        <v>52.914729370000003</v>
      </c>
    </row>
    <row r="2017" spans="1:8" ht="15.75" thickBot="1" x14ac:dyDescent="0.3">
      <c r="A2017" s="1">
        <v>2016</v>
      </c>
      <c r="B2017" s="1" t="s">
        <v>40</v>
      </c>
      <c r="C2017" s="1" t="s">
        <v>15</v>
      </c>
      <c r="D2017" s="1" t="s">
        <v>32</v>
      </c>
      <c r="E2017" s="1">
        <v>9296.92</v>
      </c>
      <c r="F2017" s="1">
        <v>370.02</v>
      </c>
      <c r="G2017" s="1">
        <v>178</v>
      </c>
      <c r="H2017" s="1">
        <v>52.229887640000001</v>
      </c>
    </row>
    <row r="2018" spans="1:8" ht="15.75" thickBot="1" x14ac:dyDescent="0.3">
      <c r="A2018" s="1">
        <v>2017</v>
      </c>
      <c r="B2018" s="1" t="s">
        <v>16</v>
      </c>
      <c r="C2018" s="1" t="s">
        <v>9</v>
      </c>
      <c r="D2018" s="1" t="s">
        <v>10</v>
      </c>
      <c r="E2018" s="1">
        <v>36798.57</v>
      </c>
      <c r="F2018" s="1">
        <v>1361.13</v>
      </c>
      <c r="G2018" s="1">
        <v>6957</v>
      </c>
      <c r="H2018" s="1">
        <v>5.2894307889999999</v>
      </c>
    </row>
    <row r="2019" spans="1:8" ht="15.75" thickBot="1" x14ac:dyDescent="0.3">
      <c r="A2019" s="1">
        <v>2014</v>
      </c>
      <c r="B2019" s="1" t="s">
        <v>17</v>
      </c>
      <c r="C2019" s="1" t="s">
        <v>26</v>
      </c>
      <c r="D2019" s="1" t="s">
        <v>10</v>
      </c>
      <c r="E2019" s="1">
        <v>15736818.15</v>
      </c>
      <c r="F2019" s="1">
        <v>470293.92</v>
      </c>
      <c r="G2019" s="1">
        <v>268671</v>
      </c>
      <c r="H2019" s="1">
        <v>58.572820100000001</v>
      </c>
    </row>
    <row r="2020" spans="1:8" ht="15.75" thickBot="1" x14ac:dyDescent="0.3">
      <c r="A2020" s="1">
        <v>2016</v>
      </c>
      <c r="B2020" s="1" t="s">
        <v>20</v>
      </c>
      <c r="C2020" s="1" t="s">
        <v>15</v>
      </c>
      <c r="D2020" s="1" t="s">
        <v>24</v>
      </c>
      <c r="E2020" s="1">
        <v>1430221.21</v>
      </c>
      <c r="F2020" s="1">
        <v>48570.06</v>
      </c>
      <c r="G2020" s="1">
        <v>12775</v>
      </c>
      <c r="H2020" s="1">
        <v>111.9546935</v>
      </c>
    </row>
    <row r="2021" spans="1:8" ht="15.75" thickBot="1" x14ac:dyDescent="0.3">
      <c r="A2021" s="1">
        <v>2015</v>
      </c>
      <c r="B2021" s="1" t="s">
        <v>17</v>
      </c>
      <c r="C2021" s="1" t="s">
        <v>18</v>
      </c>
      <c r="D2021" s="1" t="s">
        <v>24</v>
      </c>
      <c r="E2021" s="1">
        <v>5214832.92</v>
      </c>
      <c r="F2021" s="1">
        <v>169572.07</v>
      </c>
      <c r="G2021" s="1">
        <v>14661</v>
      </c>
      <c r="H2021" s="1">
        <v>355.69421729999999</v>
      </c>
    </row>
    <row r="2022" spans="1:8" ht="15.75" thickBot="1" x14ac:dyDescent="0.3">
      <c r="A2022" s="1">
        <v>2017</v>
      </c>
      <c r="B2022" s="1" t="s">
        <v>35</v>
      </c>
      <c r="C2022" s="1" t="s">
        <v>26</v>
      </c>
      <c r="D2022" s="1" t="s">
        <v>10</v>
      </c>
      <c r="E2022" s="1">
        <v>726.58</v>
      </c>
      <c r="F2022" s="1">
        <v>68.260000000000005</v>
      </c>
      <c r="G2022" s="1">
        <v>222</v>
      </c>
      <c r="H2022" s="1">
        <v>3.2728828829999999</v>
      </c>
    </row>
    <row r="2023" spans="1:8" ht="15.75" thickBot="1" x14ac:dyDescent="0.3">
      <c r="A2023" s="1">
        <v>2014</v>
      </c>
      <c r="B2023" s="1" t="s">
        <v>11</v>
      </c>
      <c r="C2023" s="1" t="s">
        <v>9</v>
      </c>
      <c r="D2023" s="1" t="s">
        <v>32</v>
      </c>
      <c r="E2023" s="1">
        <v>89736.79</v>
      </c>
      <c r="F2023" s="1">
        <v>7856.61</v>
      </c>
      <c r="G2023" s="1">
        <v>29640</v>
      </c>
      <c r="H2023" s="1">
        <v>3.027557018</v>
      </c>
    </row>
    <row r="2024" spans="1:8" ht="15.75" thickBot="1" x14ac:dyDescent="0.3">
      <c r="A2024" s="1">
        <v>2016</v>
      </c>
      <c r="B2024" s="1" t="s">
        <v>20</v>
      </c>
      <c r="C2024" s="1" t="s">
        <v>26</v>
      </c>
      <c r="D2024" s="1" t="s">
        <v>27</v>
      </c>
      <c r="E2024" s="1">
        <v>7500519.46</v>
      </c>
      <c r="F2024" s="1">
        <v>310360.24</v>
      </c>
      <c r="G2024" s="1">
        <v>257368</v>
      </c>
      <c r="H2024" s="1">
        <v>29.143170319999999</v>
      </c>
    </row>
    <row r="2025" spans="1:8" ht="15.75" thickBot="1" x14ac:dyDescent="0.3">
      <c r="A2025" s="1">
        <v>2014</v>
      </c>
      <c r="B2025" s="1" t="s">
        <v>11</v>
      </c>
      <c r="C2025" s="1" t="s">
        <v>28</v>
      </c>
      <c r="D2025" s="1" t="s">
        <v>19</v>
      </c>
      <c r="E2025" s="1">
        <v>72032051.379999995</v>
      </c>
      <c r="F2025" s="1">
        <v>1457193.7</v>
      </c>
      <c r="G2025" s="1">
        <v>73436</v>
      </c>
      <c r="H2025" s="1">
        <v>980.88201130000004</v>
      </c>
    </row>
    <row r="2026" spans="1:8" ht="15.75" thickBot="1" x14ac:dyDescent="0.3">
      <c r="A2026" s="1">
        <v>2014</v>
      </c>
      <c r="B2026" s="1" t="s">
        <v>14</v>
      </c>
      <c r="C2026" s="1" t="s">
        <v>25</v>
      </c>
      <c r="D2026" s="1" t="s">
        <v>27</v>
      </c>
      <c r="E2026" s="1">
        <v>320374219.5</v>
      </c>
      <c r="F2026" s="1">
        <v>13872488.689999999</v>
      </c>
      <c r="G2026" s="1">
        <v>11164099</v>
      </c>
      <c r="H2026" s="1">
        <v>28.696827160000002</v>
      </c>
    </row>
    <row r="2027" spans="1:8" ht="15.75" thickBot="1" x14ac:dyDescent="0.3">
      <c r="A2027" s="1">
        <v>2014</v>
      </c>
      <c r="B2027" s="1" t="s">
        <v>35</v>
      </c>
      <c r="C2027" s="1" t="s">
        <v>12</v>
      </c>
      <c r="D2027" s="1" t="s">
        <v>19</v>
      </c>
      <c r="E2027" s="1">
        <v>33384.67</v>
      </c>
      <c r="F2027" s="1">
        <v>797.06</v>
      </c>
      <c r="G2027" s="1">
        <v>851</v>
      </c>
      <c r="H2027" s="1">
        <v>39.229929490000004</v>
      </c>
    </row>
    <row r="2028" spans="1:8" ht="15.75" thickBot="1" x14ac:dyDescent="0.3">
      <c r="A2028" s="1">
        <v>2015</v>
      </c>
      <c r="B2028" s="1" t="s">
        <v>30</v>
      </c>
      <c r="C2028" s="1" t="s">
        <v>28</v>
      </c>
      <c r="D2028" s="1" t="s">
        <v>19</v>
      </c>
      <c r="E2028" s="1">
        <v>454598528.5</v>
      </c>
      <c r="F2028" s="1">
        <v>11176769.300000001</v>
      </c>
      <c r="G2028" s="1">
        <v>3170035</v>
      </c>
      <c r="H2028" s="1">
        <v>143.40489249999999</v>
      </c>
    </row>
    <row r="2029" spans="1:8" ht="15.75" thickBot="1" x14ac:dyDescent="0.3">
      <c r="A2029" s="1">
        <v>2016</v>
      </c>
      <c r="B2029" s="1" t="s">
        <v>20</v>
      </c>
      <c r="C2029" s="1" t="s">
        <v>9</v>
      </c>
      <c r="D2029" s="1" t="s">
        <v>31</v>
      </c>
      <c r="E2029" s="1">
        <v>2101124.66</v>
      </c>
      <c r="F2029" s="1">
        <v>80394.080000000002</v>
      </c>
      <c r="G2029" s="1">
        <v>102974</v>
      </c>
      <c r="H2029" s="1">
        <v>20.404419170000001</v>
      </c>
    </row>
    <row r="2030" spans="1:8" ht="15.75" thickBot="1" x14ac:dyDescent="0.3">
      <c r="A2030" s="1">
        <v>2015</v>
      </c>
      <c r="B2030" s="1" t="s">
        <v>16</v>
      </c>
      <c r="C2030" s="1" t="s">
        <v>12</v>
      </c>
      <c r="D2030" s="1" t="s">
        <v>13</v>
      </c>
      <c r="E2030" s="1">
        <v>222226.3</v>
      </c>
      <c r="F2030" s="1">
        <v>8358.48</v>
      </c>
      <c r="G2030" s="1">
        <v>6095</v>
      </c>
      <c r="H2030" s="1">
        <v>36.460426579999996</v>
      </c>
    </row>
    <row r="2031" spans="1:8" ht="15.75" thickBot="1" x14ac:dyDescent="0.3">
      <c r="A2031" s="1">
        <v>2017</v>
      </c>
      <c r="B2031" s="1" t="s">
        <v>14</v>
      </c>
      <c r="C2031" s="1" t="s">
        <v>18</v>
      </c>
      <c r="D2031" s="1" t="s">
        <v>19</v>
      </c>
      <c r="E2031" s="1">
        <v>12606325.93</v>
      </c>
      <c r="F2031" s="1">
        <v>369910.8</v>
      </c>
      <c r="G2031" s="1">
        <v>65775</v>
      </c>
      <c r="H2031" s="1">
        <v>191.65831900000001</v>
      </c>
    </row>
    <row r="2032" spans="1:8" ht="15.75" thickBot="1" x14ac:dyDescent="0.3">
      <c r="A2032" s="1">
        <v>2015</v>
      </c>
      <c r="B2032" s="1" t="s">
        <v>17</v>
      </c>
      <c r="C2032" s="1" t="s">
        <v>12</v>
      </c>
      <c r="D2032" s="1" t="s">
        <v>32</v>
      </c>
      <c r="E2032" s="1">
        <v>95113098.760000005</v>
      </c>
      <c r="F2032" s="1">
        <v>3680272.85</v>
      </c>
      <c r="G2032" s="1">
        <v>1710319</v>
      </c>
      <c r="H2032" s="1">
        <v>55.611320910000003</v>
      </c>
    </row>
    <row r="2033" spans="1:8" ht="15.75" thickBot="1" x14ac:dyDescent="0.3">
      <c r="A2033" s="1">
        <v>2017</v>
      </c>
      <c r="B2033" s="1" t="s">
        <v>17</v>
      </c>
      <c r="C2033" s="1" t="s">
        <v>9</v>
      </c>
      <c r="D2033" s="1" t="s">
        <v>22</v>
      </c>
      <c r="E2033" s="1">
        <v>833.15</v>
      </c>
      <c r="F2033" s="1">
        <v>39.56</v>
      </c>
      <c r="G2033" s="1">
        <v>1961</v>
      </c>
      <c r="H2033" s="1">
        <v>0.42485976539999998</v>
      </c>
    </row>
    <row r="2034" spans="1:8" ht="15.75" thickBot="1" x14ac:dyDescent="0.3">
      <c r="A2034" s="1">
        <v>2016</v>
      </c>
      <c r="B2034" s="1" t="s">
        <v>20</v>
      </c>
      <c r="C2034" s="1" t="s">
        <v>25</v>
      </c>
      <c r="D2034" s="1" t="s">
        <v>32</v>
      </c>
      <c r="E2034" s="1">
        <v>4586379.5599999996</v>
      </c>
      <c r="F2034" s="1">
        <v>190834.14</v>
      </c>
      <c r="G2034" s="1">
        <v>172913</v>
      </c>
      <c r="H2034" s="1">
        <v>26.524203270000001</v>
      </c>
    </row>
    <row r="2035" spans="1:8" ht="15.75" thickBot="1" x14ac:dyDescent="0.3">
      <c r="A2035" s="1">
        <v>2017</v>
      </c>
      <c r="B2035" s="1" t="s">
        <v>16</v>
      </c>
      <c r="C2035" s="1" t="s">
        <v>12</v>
      </c>
      <c r="D2035" s="1" t="s">
        <v>27</v>
      </c>
      <c r="E2035" s="1">
        <v>209547919.69999999</v>
      </c>
      <c r="F2035" s="1">
        <v>8740779.4299999997</v>
      </c>
      <c r="G2035" s="1">
        <v>4765528</v>
      </c>
      <c r="H2035" s="1">
        <v>43.971606020000003</v>
      </c>
    </row>
    <row r="2036" spans="1:8" ht="15.75" thickBot="1" x14ac:dyDescent="0.3">
      <c r="A2036" s="1">
        <v>2016</v>
      </c>
      <c r="B2036" s="1" t="s">
        <v>17</v>
      </c>
      <c r="C2036" s="1" t="s">
        <v>23</v>
      </c>
      <c r="D2036" s="1" t="s">
        <v>29</v>
      </c>
      <c r="E2036" s="1">
        <v>10403054.130000001</v>
      </c>
      <c r="F2036" s="1">
        <v>362524.21</v>
      </c>
      <c r="G2036" s="1">
        <v>40948</v>
      </c>
      <c r="H2036" s="1">
        <v>254.05524399999999</v>
      </c>
    </row>
    <row r="2037" spans="1:8" ht="15.75" thickBot="1" x14ac:dyDescent="0.3">
      <c r="A2037" s="1">
        <v>2014</v>
      </c>
      <c r="B2037" s="1" t="s">
        <v>17</v>
      </c>
      <c r="C2037" s="1" t="s">
        <v>15</v>
      </c>
      <c r="D2037" s="1" t="s">
        <v>31</v>
      </c>
      <c r="E2037" s="1">
        <v>4519279.3499999996</v>
      </c>
      <c r="F2037" s="1">
        <v>147594.97</v>
      </c>
      <c r="G2037" s="1">
        <v>72200</v>
      </c>
      <c r="H2037" s="1">
        <v>62.593896809999997</v>
      </c>
    </row>
    <row r="2038" spans="1:8" ht="15.75" thickBot="1" x14ac:dyDescent="0.3">
      <c r="A2038" s="1">
        <v>2015</v>
      </c>
      <c r="B2038" s="1" t="s">
        <v>17</v>
      </c>
      <c r="C2038" s="1" t="s">
        <v>28</v>
      </c>
      <c r="D2038" s="1" t="s">
        <v>13</v>
      </c>
      <c r="E2038" s="1">
        <v>440529.94</v>
      </c>
      <c r="F2038" s="1">
        <v>13337.72</v>
      </c>
      <c r="G2038" s="1">
        <v>3822</v>
      </c>
      <c r="H2038" s="1">
        <v>115.26162739999999</v>
      </c>
    </row>
    <row r="2039" spans="1:8" ht="15.75" thickBot="1" x14ac:dyDescent="0.3">
      <c r="A2039" s="1">
        <v>2015</v>
      </c>
      <c r="B2039" s="1" t="s">
        <v>17</v>
      </c>
      <c r="C2039" s="1" t="s">
        <v>21</v>
      </c>
      <c r="D2039" s="1" t="s">
        <v>32</v>
      </c>
      <c r="E2039" s="1">
        <v>170023225.19999999</v>
      </c>
      <c r="F2039" s="1">
        <v>6235099.0800000001</v>
      </c>
      <c r="G2039" s="1">
        <v>3285566</v>
      </c>
      <c r="H2039" s="1">
        <v>51.748534419999999</v>
      </c>
    </row>
    <row r="2040" spans="1:8" ht="15.75" thickBot="1" x14ac:dyDescent="0.3">
      <c r="A2040" s="1">
        <v>2015</v>
      </c>
      <c r="B2040" s="1" t="s">
        <v>12</v>
      </c>
      <c r="C2040" s="1" t="s">
        <v>33</v>
      </c>
      <c r="D2040" s="1" t="s">
        <v>19</v>
      </c>
      <c r="E2040" s="1">
        <v>8846213.3300000001</v>
      </c>
      <c r="F2040" s="1">
        <v>255456.65</v>
      </c>
      <c r="G2040" s="1">
        <v>32693</v>
      </c>
      <c r="H2040" s="1">
        <v>270.58432479999999</v>
      </c>
    </row>
    <row r="2041" spans="1:8" ht="15.75" thickBot="1" x14ac:dyDescent="0.3">
      <c r="A2041" s="1">
        <v>2016</v>
      </c>
      <c r="B2041" s="1" t="s">
        <v>17</v>
      </c>
      <c r="C2041" s="1" t="s">
        <v>28</v>
      </c>
      <c r="D2041" s="1" t="s">
        <v>36</v>
      </c>
      <c r="E2041" s="1">
        <v>322553959.39999998</v>
      </c>
      <c r="F2041" s="1">
        <v>102315.38</v>
      </c>
      <c r="G2041" s="1">
        <v>980454</v>
      </c>
      <c r="H2041" s="1">
        <v>328.98428619999999</v>
      </c>
    </row>
    <row r="2042" spans="1:8" ht="15.75" thickBot="1" x14ac:dyDescent="0.3">
      <c r="A2042" s="1">
        <v>2014</v>
      </c>
      <c r="B2042" s="1" t="s">
        <v>14</v>
      </c>
      <c r="C2042" s="1" t="s">
        <v>33</v>
      </c>
      <c r="D2042" s="1" t="s">
        <v>10</v>
      </c>
      <c r="E2042" s="1">
        <v>4651475.5999999996</v>
      </c>
      <c r="F2042" s="1">
        <v>173338.33</v>
      </c>
      <c r="G2042" s="1">
        <v>87525</v>
      </c>
      <c r="H2042" s="1">
        <v>53.144536989999999</v>
      </c>
    </row>
    <row r="2043" spans="1:8" ht="15.75" thickBot="1" x14ac:dyDescent="0.3">
      <c r="A2043" s="1">
        <v>2016</v>
      </c>
      <c r="B2043" s="1" t="s">
        <v>12</v>
      </c>
      <c r="C2043" s="1" t="s">
        <v>23</v>
      </c>
      <c r="D2043" s="1" t="s">
        <v>31</v>
      </c>
      <c r="E2043" s="1">
        <v>144613.59</v>
      </c>
      <c r="F2043" s="1">
        <v>4830.71</v>
      </c>
      <c r="G2043" s="1">
        <v>3326</v>
      </c>
      <c r="H2043" s="1">
        <v>43.479732409999997</v>
      </c>
    </row>
    <row r="2044" spans="1:8" ht="15.75" thickBot="1" x14ac:dyDescent="0.3">
      <c r="A2044" s="1">
        <v>2014</v>
      </c>
      <c r="B2044" s="1" t="s">
        <v>17</v>
      </c>
      <c r="C2044" s="1" t="s">
        <v>23</v>
      </c>
      <c r="D2044" s="1" t="s">
        <v>13</v>
      </c>
      <c r="E2044" s="1">
        <v>15979.34</v>
      </c>
      <c r="F2044" s="1">
        <v>484.07</v>
      </c>
      <c r="G2044" s="1">
        <v>287</v>
      </c>
      <c r="H2044" s="1">
        <v>55.677142859999996</v>
      </c>
    </row>
    <row r="2045" spans="1:8" ht="15.75" thickBot="1" x14ac:dyDescent="0.3">
      <c r="A2045" s="1">
        <v>2015</v>
      </c>
      <c r="B2045" s="1" t="s">
        <v>35</v>
      </c>
      <c r="C2045" s="1" t="s">
        <v>15</v>
      </c>
      <c r="D2045" s="1" t="s">
        <v>32</v>
      </c>
      <c r="E2045" s="1">
        <v>8038.16</v>
      </c>
      <c r="F2045" s="1">
        <v>475.57</v>
      </c>
      <c r="G2045" s="1">
        <v>791</v>
      </c>
      <c r="H2045" s="1">
        <v>10.162022759999999</v>
      </c>
    </row>
    <row r="2046" spans="1:8" ht="15.75" thickBot="1" x14ac:dyDescent="0.3">
      <c r="A2046" s="1">
        <v>2015</v>
      </c>
      <c r="B2046" s="1" t="s">
        <v>40</v>
      </c>
      <c r="C2046" s="1" t="s">
        <v>9</v>
      </c>
      <c r="D2046" s="1" t="s">
        <v>19</v>
      </c>
      <c r="E2046" s="1">
        <v>16105.61</v>
      </c>
      <c r="F2046" s="1">
        <v>399.31</v>
      </c>
      <c r="G2046" s="1">
        <v>101</v>
      </c>
      <c r="H2046" s="1">
        <v>159.4614851</v>
      </c>
    </row>
    <row r="2047" spans="1:8" ht="15.75" thickBot="1" x14ac:dyDescent="0.3">
      <c r="A2047" s="1">
        <v>2016</v>
      </c>
      <c r="B2047" s="1" t="s">
        <v>14</v>
      </c>
      <c r="C2047" s="1" t="s">
        <v>25</v>
      </c>
      <c r="D2047" s="1" t="s">
        <v>13</v>
      </c>
      <c r="E2047" s="1">
        <v>2054092.15</v>
      </c>
      <c r="F2047" s="1">
        <v>74017.119999999995</v>
      </c>
      <c r="G2047" s="1">
        <v>72251</v>
      </c>
      <c r="H2047" s="1">
        <v>28.429947680000001</v>
      </c>
    </row>
    <row r="2048" spans="1:8" ht="15.75" thickBot="1" x14ac:dyDescent="0.3">
      <c r="A2048" s="1">
        <v>2015</v>
      </c>
      <c r="B2048" s="1" t="s">
        <v>14</v>
      </c>
      <c r="C2048" s="1" t="s">
        <v>23</v>
      </c>
      <c r="D2048" s="1" t="s">
        <v>10</v>
      </c>
      <c r="E2048" s="1">
        <v>1663157.55</v>
      </c>
      <c r="F2048" s="1">
        <v>62959.83</v>
      </c>
      <c r="G2048" s="1">
        <v>32328</v>
      </c>
      <c r="H2048" s="1">
        <v>51.446348370000003</v>
      </c>
    </row>
    <row r="2049" spans="1:8" ht="15.75" thickBot="1" x14ac:dyDescent="0.3">
      <c r="A2049" s="1">
        <v>2016</v>
      </c>
      <c r="B2049" s="1" t="s">
        <v>35</v>
      </c>
      <c r="C2049" s="1" t="s">
        <v>33</v>
      </c>
      <c r="D2049" s="1" t="s">
        <v>10</v>
      </c>
      <c r="E2049" s="1">
        <v>32.42</v>
      </c>
      <c r="F2049" s="1">
        <v>14.67</v>
      </c>
      <c r="G2049" s="1">
        <v>151</v>
      </c>
      <c r="H2049" s="1">
        <v>0.21470198679999999</v>
      </c>
    </row>
    <row r="2050" spans="1:8" ht="15.75" thickBot="1" x14ac:dyDescent="0.3">
      <c r="A2050" s="1">
        <v>2014</v>
      </c>
      <c r="B2050" s="1" t="s">
        <v>16</v>
      </c>
      <c r="C2050" s="1" t="s">
        <v>12</v>
      </c>
      <c r="D2050" s="1" t="s">
        <v>29</v>
      </c>
      <c r="E2050" s="1">
        <v>9914859.7899999991</v>
      </c>
      <c r="F2050" s="1">
        <v>339766.38</v>
      </c>
      <c r="G2050" s="1">
        <v>35277</v>
      </c>
      <c r="H2050" s="1">
        <v>281.0573402</v>
      </c>
    </row>
    <row r="2051" spans="1:8" ht="15.75" thickBot="1" x14ac:dyDescent="0.3">
      <c r="A2051" s="1">
        <v>2015</v>
      </c>
      <c r="B2051" s="1" t="s">
        <v>14</v>
      </c>
      <c r="C2051" s="1" t="s">
        <v>28</v>
      </c>
      <c r="D2051" s="1" t="s">
        <v>27</v>
      </c>
      <c r="E2051" s="1">
        <v>239565419.40000001</v>
      </c>
      <c r="F2051" s="1">
        <v>9533550.4299999997</v>
      </c>
      <c r="G2051" s="1">
        <v>6456966</v>
      </c>
      <c r="H2051" s="1">
        <v>37.101855479999998</v>
      </c>
    </row>
    <row r="2052" spans="1:8" ht="15.75" thickBot="1" x14ac:dyDescent="0.3">
      <c r="A2052" s="1">
        <v>2016</v>
      </c>
      <c r="B2052" s="1" t="s">
        <v>11</v>
      </c>
      <c r="C2052" s="1" t="s">
        <v>25</v>
      </c>
      <c r="D2052" s="1" t="s">
        <v>13</v>
      </c>
      <c r="E2052" s="1">
        <v>1704210.24</v>
      </c>
      <c r="F2052" s="1">
        <v>51571.19</v>
      </c>
      <c r="G2052" s="1">
        <v>127323</v>
      </c>
      <c r="H2052" s="1">
        <v>13.38493626</v>
      </c>
    </row>
    <row r="2053" spans="1:8" ht="15.75" thickBot="1" x14ac:dyDescent="0.3">
      <c r="A2053" s="1">
        <v>2014</v>
      </c>
      <c r="B2053" s="1" t="s">
        <v>17</v>
      </c>
      <c r="C2053" s="1" t="s">
        <v>28</v>
      </c>
      <c r="D2053" s="1" t="s">
        <v>32</v>
      </c>
      <c r="E2053" s="1">
        <v>143260675.09999999</v>
      </c>
      <c r="F2053" s="1">
        <v>4943603.26</v>
      </c>
      <c r="G2053" s="1">
        <v>2117986</v>
      </c>
      <c r="H2053" s="1">
        <v>67.640048179999994</v>
      </c>
    </row>
    <row r="2054" spans="1:8" ht="15.75" thickBot="1" x14ac:dyDescent="0.3">
      <c r="A2054" s="1">
        <v>2017</v>
      </c>
      <c r="B2054" s="1" t="s">
        <v>16</v>
      </c>
      <c r="C2054" s="1" t="s">
        <v>12</v>
      </c>
      <c r="D2054" s="1" t="s">
        <v>29</v>
      </c>
      <c r="E2054" s="1">
        <v>18203182.32</v>
      </c>
      <c r="F2054" s="1">
        <v>636765.24</v>
      </c>
      <c r="G2054" s="1">
        <v>57953</v>
      </c>
      <c r="H2054" s="1">
        <v>314.10250239999999</v>
      </c>
    </row>
    <row r="2055" spans="1:8" ht="15.75" thickBot="1" x14ac:dyDescent="0.3">
      <c r="A2055" s="1">
        <v>2016</v>
      </c>
      <c r="B2055" s="1" t="s">
        <v>16</v>
      </c>
      <c r="C2055" s="1" t="s">
        <v>23</v>
      </c>
      <c r="D2055" s="1" t="s">
        <v>22</v>
      </c>
      <c r="E2055" s="1">
        <v>43729.86</v>
      </c>
      <c r="F2055" s="1">
        <v>1254.46</v>
      </c>
      <c r="G2055" s="1">
        <v>2728</v>
      </c>
      <c r="H2055" s="1">
        <v>16.03000733</v>
      </c>
    </row>
    <row r="2056" spans="1:8" ht="15.75" thickBot="1" x14ac:dyDescent="0.3">
      <c r="A2056" s="1">
        <v>2015</v>
      </c>
      <c r="B2056" s="1" t="s">
        <v>20</v>
      </c>
      <c r="C2056" s="1" t="s">
        <v>28</v>
      </c>
      <c r="D2056" s="1" t="s">
        <v>10</v>
      </c>
      <c r="E2056" s="1">
        <v>153162.70000000001</v>
      </c>
      <c r="F2056" s="1">
        <v>6086.14</v>
      </c>
      <c r="G2056" s="1">
        <v>6839</v>
      </c>
      <c r="H2056" s="1">
        <v>22.395481799999999</v>
      </c>
    </row>
    <row r="2057" spans="1:8" ht="15.75" thickBot="1" x14ac:dyDescent="0.3">
      <c r="A2057" s="1">
        <v>2016</v>
      </c>
      <c r="B2057" s="1" t="s">
        <v>17</v>
      </c>
      <c r="C2057" s="1" t="s">
        <v>33</v>
      </c>
      <c r="D2057" s="1" t="s">
        <v>22</v>
      </c>
      <c r="E2057" s="1">
        <v>1232025.28</v>
      </c>
      <c r="F2057" s="1">
        <v>35634.33</v>
      </c>
      <c r="G2057" s="1">
        <v>62524</v>
      </c>
      <c r="H2057" s="1">
        <v>19.704837820000002</v>
      </c>
    </row>
    <row r="2058" spans="1:8" ht="15.75" thickBot="1" x14ac:dyDescent="0.3">
      <c r="A2058" s="1">
        <v>2016</v>
      </c>
      <c r="B2058" s="1" t="s">
        <v>12</v>
      </c>
      <c r="C2058" s="1" t="s">
        <v>15</v>
      </c>
      <c r="D2058" s="1" t="s">
        <v>29</v>
      </c>
      <c r="E2058" s="1">
        <v>3720139.71</v>
      </c>
      <c r="F2058" s="1">
        <v>113697.21</v>
      </c>
      <c r="G2058" s="1">
        <v>8974</v>
      </c>
      <c r="H2058" s="1">
        <v>414.54643529999998</v>
      </c>
    </row>
    <row r="2059" spans="1:8" ht="15.75" thickBot="1" x14ac:dyDescent="0.3">
      <c r="A2059" s="1">
        <v>2015</v>
      </c>
      <c r="B2059" s="1" t="s">
        <v>30</v>
      </c>
      <c r="C2059" s="1" t="s">
        <v>26</v>
      </c>
      <c r="D2059" s="1" t="s">
        <v>24</v>
      </c>
      <c r="E2059" s="1">
        <v>23601595.530000001</v>
      </c>
      <c r="F2059" s="1">
        <v>779464.58</v>
      </c>
      <c r="G2059" s="1">
        <v>169480</v>
      </c>
      <c r="H2059" s="1">
        <v>139.25888320000001</v>
      </c>
    </row>
    <row r="2060" spans="1:8" ht="15.75" thickBot="1" x14ac:dyDescent="0.3">
      <c r="A2060" s="1">
        <v>2015</v>
      </c>
      <c r="B2060" s="1" t="s">
        <v>35</v>
      </c>
      <c r="C2060" s="1" t="s">
        <v>15</v>
      </c>
      <c r="D2060" s="1" t="s">
        <v>22</v>
      </c>
      <c r="E2060" s="1">
        <v>0</v>
      </c>
      <c r="F2060" s="1">
        <v>0</v>
      </c>
      <c r="G2060" s="1">
        <v>57</v>
      </c>
      <c r="H2060" s="1">
        <v>0</v>
      </c>
    </row>
    <row r="2061" spans="1:8" ht="15.75" thickBot="1" x14ac:dyDescent="0.3">
      <c r="A2061" s="1">
        <v>2017</v>
      </c>
      <c r="B2061" s="1" t="s">
        <v>16</v>
      </c>
      <c r="C2061" s="1" t="s">
        <v>26</v>
      </c>
      <c r="D2061" s="1" t="s">
        <v>24</v>
      </c>
      <c r="E2061" s="1">
        <v>41367951.759999998</v>
      </c>
      <c r="F2061" s="1">
        <v>1544977.62</v>
      </c>
      <c r="G2061" s="1">
        <v>228908</v>
      </c>
      <c r="H2061" s="1">
        <v>180.71868069999999</v>
      </c>
    </row>
    <row r="2062" spans="1:8" ht="15.75" thickBot="1" x14ac:dyDescent="0.3">
      <c r="A2062" s="1">
        <v>2016</v>
      </c>
      <c r="B2062" s="1" t="s">
        <v>35</v>
      </c>
      <c r="C2062" s="1" t="s">
        <v>28</v>
      </c>
      <c r="D2062" s="1" t="s">
        <v>10</v>
      </c>
      <c r="E2062" s="1">
        <v>-76.52</v>
      </c>
      <c r="F2062" s="1">
        <v>1.18</v>
      </c>
      <c r="G2062" s="1">
        <v>452</v>
      </c>
      <c r="H2062" s="1">
        <v>-0.16929203540000001</v>
      </c>
    </row>
    <row r="2063" spans="1:8" ht="15.75" thickBot="1" x14ac:dyDescent="0.3">
      <c r="A2063" s="1">
        <v>2017</v>
      </c>
      <c r="B2063" s="1" t="s">
        <v>40</v>
      </c>
      <c r="C2063" s="1" t="s">
        <v>18</v>
      </c>
      <c r="D2063" s="1" t="s">
        <v>19</v>
      </c>
      <c r="E2063" s="1">
        <v>20673.68</v>
      </c>
      <c r="F2063" s="1">
        <v>453.96</v>
      </c>
      <c r="G2063" s="1">
        <v>144</v>
      </c>
      <c r="H2063" s="1">
        <v>143.5672222</v>
      </c>
    </row>
    <row r="2064" spans="1:8" ht="15.75" thickBot="1" x14ac:dyDescent="0.3">
      <c r="A2064" s="1">
        <v>2015</v>
      </c>
      <c r="B2064" s="1" t="s">
        <v>8</v>
      </c>
      <c r="C2064" s="1" t="s">
        <v>33</v>
      </c>
      <c r="D2064" s="1" t="s">
        <v>32</v>
      </c>
      <c r="E2064" s="1">
        <v>281.56</v>
      </c>
      <c r="F2064" s="1">
        <v>7.62</v>
      </c>
      <c r="G2064" s="1">
        <v>9</v>
      </c>
      <c r="H2064" s="1">
        <v>31.284444440000001</v>
      </c>
    </row>
    <row r="2065" spans="1:8" ht="15.75" thickBot="1" x14ac:dyDescent="0.3">
      <c r="A2065" s="1">
        <v>2017</v>
      </c>
      <c r="B2065" s="1" t="s">
        <v>11</v>
      </c>
      <c r="C2065" s="1" t="s">
        <v>28</v>
      </c>
      <c r="D2065" s="1" t="s">
        <v>13</v>
      </c>
      <c r="E2065" s="1">
        <v>2646750.7799999998</v>
      </c>
      <c r="F2065" s="1">
        <v>62508.800000000003</v>
      </c>
      <c r="G2065" s="1">
        <v>113130</v>
      </c>
      <c r="H2065" s="1">
        <v>23.395657920000001</v>
      </c>
    </row>
    <row r="2066" spans="1:8" ht="15.75" thickBot="1" x14ac:dyDescent="0.3">
      <c r="A2066" s="1">
        <v>2017</v>
      </c>
      <c r="B2066" s="1" t="s">
        <v>40</v>
      </c>
      <c r="C2066" s="1" t="s">
        <v>12</v>
      </c>
      <c r="D2066" s="1" t="s">
        <v>31</v>
      </c>
      <c r="E2066" s="1">
        <v>304.16000000000003</v>
      </c>
      <c r="F2066" s="1">
        <v>21.33</v>
      </c>
      <c r="G2066" s="1">
        <v>37</v>
      </c>
      <c r="H2066" s="1">
        <v>8.2205405410000001</v>
      </c>
    </row>
    <row r="2067" spans="1:8" ht="15.75" thickBot="1" x14ac:dyDescent="0.3">
      <c r="A2067" s="1">
        <v>2016</v>
      </c>
      <c r="B2067" s="1" t="s">
        <v>11</v>
      </c>
      <c r="C2067" s="1" t="s">
        <v>23</v>
      </c>
      <c r="D2067" s="1" t="s">
        <v>13</v>
      </c>
      <c r="E2067" s="1">
        <v>375858.97</v>
      </c>
      <c r="F2067" s="1">
        <v>10904.21</v>
      </c>
      <c r="G2067" s="1">
        <v>19780</v>
      </c>
      <c r="H2067" s="1">
        <v>19.00197017</v>
      </c>
    </row>
    <row r="2068" spans="1:8" ht="15.75" thickBot="1" x14ac:dyDescent="0.3">
      <c r="A2068" s="1">
        <v>2015</v>
      </c>
      <c r="B2068" s="1" t="s">
        <v>35</v>
      </c>
      <c r="C2068" s="1" t="s">
        <v>21</v>
      </c>
      <c r="D2068" s="1" t="s">
        <v>13</v>
      </c>
      <c r="E2068" s="1">
        <v>56.04</v>
      </c>
      <c r="F2068" s="1">
        <v>2.29</v>
      </c>
      <c r="G2068" s="1">
        <v>9</v>
      </c>
      <c r="H2068" s="1">
        <v>6.2266666669999999</v>
      </c>
    </row>
    <row r="2069" spans="1:8" ht="15.75" thickBot="1" x14ac:dyDescent="0.3">
      <c r="A2069" s="1">
        <v>2015</v>
      </c>
      <c r="B2069" s="1" t="s">
        <v>14</v>
      </c>
      <c r="C2069" s="1" t="s">
        <v>25</v>
      </c>
      <c r="D2069" s="1" t="s">
        <v>22</v>
      </c>
      <c r="E2069" s="1">
        <v>23805.74</v>
      </c>
      <c r="F2069" s="1">
        <v>690.32</v>
      </c>
      <c r="G2069" s="1">
        <v>1398</v>
      </c>
      <c r="H2069" s="1">
        <v>17.028426320000001</v>
      </c>
    </row>
    <row r="2070" spans="1:8" ht="15.75" thickBot="1" x14ac:dyDescent="0.3">
      <c r="A2070" s="1">
        <v>2016</v>
      </c>
      <c r="B2070" s="1" t="s">
        <v>8</v>
      </c>
      <c r="C2070" s="1" t="s">
        <v>15</v>
      </c>
      <c r="D2070" s="1" t="s">
        <v>19</v>
      </c>
      <c r="E2070" s="1">
        <v>676</v>
      </c>
      <c r="F2070" s="1">
        <v>20.96</v>
      </c>
      <c r="G2070" s="1">
        <v>9</v>
      </c>
      <c r="H2070" s="1">
        <v>75.111111109999996</v>
      </c>
    </row>
    <row r="2071" spans="1:8" ht="15.75" thickBot="1" x14ac:dyDescent="0.3">
      <c r="A2071" s="1">
        <v>2015</v>
      </c>
      <c r="B2071" s="1" t="s">
        <v>8</v>
      </c>
      <c r="C2071" s="1" t="s">
        <v>26</v>
      </c>
      <c r="D2071" s="1" t="s">
        <v>32</v>
      </c>
      <c r="E2071" s="1">
        <v>410.59</v>
      </c>
      <c r="F2071" s="1">
        <v>19.239999999999998</v>
      </c>
      <c r="G2071" s="1">
        <v>22</v>
      </c>
      <c r="H2071" s="1">
        <v>18.663181819999998</v>
      </c>
    </row>
    <row r="2072" spans="1:8" ht="15.75" thickBot="1" x14ac:dyDescent="0.3">
      <c r="A2072" s="1">
        <v>2014</v>
      </c>
      <c r="B2072" s="1" t="s">
        <v>17</v>
      </c>
      <c r="C2072" s="1" t="s">
        <v>26</v>
      </c>
      <c r="D2072" s="1" t="s">
        <v>22</v>
      </c>
      <c r="E2072" s="1">
        <v>759404.19</v>
      </c>
      <c r="F2072" s="1">
        <v>27333.23</v>
      </c>
      <c r="G2072" s="1">
        <v>50514</v>
      </c>
      <c r="H2072" s="1">
        <v>15.033539019999999</v>
      </c>
    </row>
    <row r="2073" spans="1:8" ht="15.75" thickBot="1" x14ac:dyDescent="0.3">
      <c r="A2073" s="1">
        <v>2016</v>
      </c>
      <c r="B2073" s="1" t="s">
        <v>20</v>
      </c>
      <c r="C2073" s="1" t="s">
        <v>12</v>
      </c>
      <c r="D2073" s="1" t="s">
        <v>24</v>
      </c>
      <c r="E2073" s="1">
        <v>1164330.1000000001</v>
      </c>
      <c r="F2073" s="1">
        <v>40662.18</v>
      </c>
      <c r="G2073" s="1">
        <v>10649</v>
      </c>
      <c r="H2073" s="1">
        <v>109.33703629999999</v>
      </c>
    </row>
    <row r="2074" spans="1:8" ht="15.75" thickBot="1" x14ac:dyDescent="0.3">
      <c r="A2074" s="1">
        <v>2016</v>
      </c>
      <c r="B2074" s="1" t="s">
        <v>35</v>
      </c>
      <c r="C2074" s="1" t="s">
        <v>15</v>
      </c>
      <c r="D2074" s="1" t="s">
        <v>27</v>
      </c>
      <c r="E2074" s="1">
        <v>17750.990000000002</v>
      </c>
      <c r="F2074" s="1">
        <v>340.78</v>
      </c>
      <c r="G2074" s="1">
        <v>280</v>
      </c>
      <c r="H2074" s="1">
        <v>63.396392859999999</v>
      </c>
    </row>
    <row r="2075" spans="1:8" ht="15.75" thickBot="1" x14ac:dyDescent="0.3">
      <c r="A2075" s="1">
        <v>2014</v>
      </c>
      <c r="B2075" s="1" t="s">
        <v>11</v>
      </c>
      <c r="C2075" s="1" t="s">
        <v>25</v>
      </c>
      <c r="D2075" s="1" t="s">
        <v>13</v>
      </c>
      <c r="E2075" s="1">
        <v>15454.1</v>
      </c>
      <c r="F2075" s="1">
        <v>382.33</v>
      </c>
      <c r="G2075" s="1">
        <v>261</v>
      </c>
      <c r="H2075" s="1">
        <v>59.211111109999997</v>
      </c>
    </row>
    <row r="2076" spans="1:8" ht="15.75" thickBot="1" x14ac:dyDescent="0.3">
      <c r="A2076" s="1">
        <v>2015</v>
      </c>
      <c r="B2076" s="1" t="s">
        <v>40</v>
      </c>
      <c r="C2076" s="1" t="s">
        <v>9</v>
      </c>
      <c r="D2076" s="1" t="s">
        <v>27</v>
      </c>
      <c r="E2076" s="1">
        <v>15191.78</v>
      </c>
      <c r="F2076" s="1">
        <v>576.14</v>
      </c>
      <c r="G2076" s="1">
        <v>110</v>
      </c>
      <c r="H2076" s="1">
        <v>138.1070909</v>
      </c>
    </row>
    <row r="2077" spans="1:8" ht="15.75" thickBot="1" x14ac:dyDescent="0.3">
      <c r="A2077" s="1">
        <v>2017</v>
      </c>
      <c r="B2077" s="1" t="s">
        <v>8</v>
      </c>
      <c r="C2077" s="1" t="s">
        <v>12</v>
      </c>
      <c r="D2077" s="1" t="s">
        <v>29</v>
      </c>
      <c r="E2077" s="1">
        <v>0</v>
      </c>
      <c r="F2077" s="1">
        <v>0</v>
      </c>
      <c r="G2077" s="1">
        <v>1</v>
      </c>
      <c r="H2077" s="1">
        <v>0</v>
      </c>
    </row>
    <row r="2078" spans="1:8" ht="15.75" thickBot="1" x14ac:dyDescent="0.3">
      <c r="A2078" s="1">
        <v>2014</v>
      </c>
      <c r="B2078" s="1" t="s">
        <v>30</v>
      </c>
      <c r="C2078" s="1" t="s">
        <v>15</v>
      </c>
      <c r="D2078" s="1" t="s">
        <v>29</v>
      </c>
      <c r="E2078" s="1">
        <v>5482910.46</v>
      </c>
      <c r="F2078" s="1">
        <v>172110.56</v>
      </c>
      <c r="G2078" s="1">
        <v>22307</v>
      </c>
      <c r="H2078" s="1">
        <v>245.79326940000001</v>
      </c>
    </row>
    <row r="2079" spans="1:8" ht="15.75" thickBot="1" x14ac:dyDescent="0.3">
      <c r="A2079" s="1">
        <v>2017</v>
      </c>
      <c r="B2079" s="1" t="s">
        <v>17</v>
      </c>
      <c r="C2079" s="1" t="s">
        <v>26</v>
      </c>
      <c r="D2079" s="1" t="s">
        <v>22</v>
      </c>
      <c r="E2079" s="1">
        <v>1162496.6499999999</v>
      </c>
      <c r="F2079" s="1">
        <v>46913.35</v>
      </c>
      <c r="G2079" s="1">
        <v>77671</v>
      </c>
      <c r="H2079" s="1">
        <v>14.966932959999999</v>
      </c>
    </row>
    <row r="2080" spans="1:8" ht="15.75" thickBot="1" x14ac:dyDescent="0.3">
      <c r="A2080" s="1">
        <v>2014</v>
      </c>
      <c r="B2080" s="1" t="s">
        <v>20</v>
      </c>
      <c r="C2080" s="1" t="s">
        <v>33</v>
      </c>
      <c r="D2080" s="1" t="s">
        <v>24</v>
      </c>
      <c r="E2080" s="1">
        <v>1244062.2</v>
      </c>
      <c r="F2080" s="1">
        <v>42968.46</v>
      </c>
      <c r="G2080" s="1">
        <v>13649</v>
      </c>
      <c r="H2080" s="1">
        <v>91.146765329999994</v>
      </c>
    </row>
    <row r="2081" spans="1:8" ht="15.75" thickBot="1" x14ac:dyDescent="0.3">
      <c r="A2081" s="1">
        <v>2015</v>
      </c>
      <c r="B2081" s="1" t="s">
        <v>12</v>
      </c>
      <c r="C2081" s="1" t="s">
        <v>23</v>
      </c>
      <c r="D2081" s="1" t="s">
        <v>10</v>
      </c>
      <c r="E2081" s="1">
        <v>1371037.41</v>
      </c>
      <c r="F2081" s="1">
        <v>33931.74</v>
      </c>
      <c r="G2081" s="1">
        <v>18828</v>
      </c>
      <c r="H2081" s="1">
        <v>72.819067880000006</v>
      </c>
    </row>
    <row r="2082" spans="1:8" ht="15.75" thickBot="1" x14ac:dyDescent="0.3">
      <c r="A2082" s="1">
        <v>2014</v>
      </c>
      <c r="B2082" s="1" t="s">
        <v>16</v>
      </c>
      <c r="C2082" s="1" t="s">
        <v>23</v>
      </c>
      <c r="D2082" s="1" t="s">
        <v>19</v>
      </c>
      <c r="E2082" s="1">
        <v>44419198.810000002</v>
      </c>
      <c r="F2082" s="1">
        <v>1597559.4</v>
      </c>
      <c r="G2082" s="1">
        <v>325617</v>
      </c>
      <c r="H2082" s="1">
        <v>136.41547829999999</v>
      </c>
    </row>
    <row r="2083" spans="1:8" ht="15.75" thickBot="1" x14ac:dyDescent="0.3">
      <c r="A2083" s="1">
        <v>2014</v>
      </c>
      <c r="B2083" s="1" t="s">
        <v>20</v>
      </c>
      <c r="C2083" s="1" t="s">
        <v>18</v>
      </c>
      <c r="D2083" s="1" t="s">
        <v>13</v>
      </c>
      <c r="E2083" s="1">
        <v>1189.04</v>
      </c>
      <c r="F2083" s="1">
        <v>34.21</v>
      </c>
      <c r="G2083" s="1">
        <v>22</v>
      </c>
      <c r="H2083" s="1">
        <v>54.047272730000003</v>
      </c>
    </row>
    <row r="2084" spans="1:8" ht="15.75" thickBot="1" x14ac:dyDescent="0.3">
      <c r="A2084" s="1">
        <v>2014</v>
      </c>
      <c r="B2084" s="1" t="s">
        <v>30</v>
      </c>
      <c r="C2084" s="1" t="s">
        <v>15</v>
      </c>
      <c r="D2084" s="1" t="s">
        <v>24</v>
      </c>
      <c r="E2084" s="1">
        <v>21012847.670000002</v>
      </c>
      <c r="F2084" s="1">
        <v>658385.21</v>
      </c>
      <c r="G2084" s="1">
        <v>97143</v>
      </c>
      <c r="H2084" s="1">
        <v>216.30840789999999</v>
      </c>
    </row>
    <row r="2085" spans="1:8" ht="15.75" thickBot="1" x14ac:dyDescent="0.3">
      <c r="A2085" s="1">
        <v>2014</v>
      </c>
      <c r="B2085" s="1" t="s">
        <v>16</v>
      </c>
      <c r="C2085" s="1" t="s">
        <v>18</v>
      </c>
      <c r="D2085" s="1" t="s">
        <v>22</v>
      </c>
      <c r="E2085" s="1">
        <v>14793.55</v>
      </c>
      <c r="F2085" s="1">
        <v>509.42</v>
      </c>
      <c r="G2085" s="1">
        <v>1217</v>
      </c>
      <c r="H2085" s="1">
        <v>12.15575185</v>
      </c>
    </row>
    <row r="2086" spans="1:8" ht="15.75" thickBot="1" x14ac:dyDescent="0.3">
      <c r="A2086" s="1">
        <v>2015</v>
      </c>
      <c r="B2086" s="1" t="s">
        <v>17</v>
      </c>
      <c r="C2086" s="1" t="s">
        <v>25</v>
      </c>
      <c r="D2086" s="1" t="s">
        <v>24</v>
      </c>
      <c r="E2086" s="1">
        <v>30394904.949999999</v>
      </c>
      <c r="F2086" s="1">
        <v>1057979.98</v>
      </c>
      <c r="G2086" s="1">
        <v>135398</v>
      </c>
      <c r="H2086" s="1">
        <v>224.48562720000001</v>
      </c>
    </row>
    <row r="2087" spans="1:8" ht="15.75" thickBot="1" x14ac:dyDescent="0.3">
      <c r="A2087" s="1">
        <v>2017</v>
      </c>
      <c r="B2087" s="1" t="s">
        <v>8</v>
      </c>
      <c r="C2087" s="1" t="s">
        <v>26</v>
      </c>
      <c r="D2087" s="1" t="s">
        <v>10</v>
      </c>
      <c r="E2087" s="1">
        <v>298.75</v>
      </c>
      <c r="F2087" s="1">
        <v>16.13</v>
      </c>
      <c r="G2087" s="1">
        <v>6</v>
      </c>
      <c r="H2087" s="1">
        <v>49.791666669999998</v>
      </c>
    </row>
    <row r="2088" spans="1:8" ht="15.75" thickBot="1" x14ac:dyDescent="0.3">
      <c r="A2088" s="1">
        <v>2014</v>
      </c>
      <c r="B2088" s="1" t="s">
        <v>11</v>
      </c>
      <c r="C2088" s="1" t="s">
        <v>9</v>
      </c>
      <c r="D2088" s="1" t="s">
        <v>27</v>
      </c>
      <c r="E2088" s="1">
        <v>30341180.84</v>
      </c>
      <c r="F2088" s="1">
        <v>773086.22</v>
      </c>
      <c r="G2088" s="1">
        <v>268346</v>
      </c>
      <c r="H2088" s="1">
        <v>113.0673863</v>
      </c>
    </row>
    <row r="2089" spans="1:8" ht="15.75" thickBot="1" x14ac:dyDescent="0.3">
      <c r="A2089" s="1">
        <v>2014</v>
      </c>
      <c r="B2089" s="1" t="s">
        <v>30</v>
      </c>
      <c r="C2089" s="1" t="s">
        <v>26</v>
      </c>
      <c r="D2089" s="1" t="s">
        <v>27</v>
      </c>
      <c r="E2089" s="1">
        <v>591370933.89999998</v>
      </c>
      <c r="F2089" s="1">
        <v>22083475.66</v>
      </c>
      <c r="G2089" s="1">
        <v>11370640</v>
      </c>
      <c r="H2089" s="1">
        <v>52.008588250000003</v>
      </c>
    </row>
    <row r="2090" spans="1:8" ht="15.75" thickBot="1" x14ac:dyDescent="0.3">
      <c r="A2090" s="1">
        <v>2015</v>
      </c>
      <c r="B2090" s="1" t="s">
        <v>11</v>
      </c>
      <c r="C2090" s="1" t="s">
        <v>28</v>
      </c>
      <c r="D2090" s="1" t="s">
        <v>13</v>
      </c>
      <c r="E2090" s="1">
        <v>59842.45</v>
      </c>
      <c r="F2090" s="1">
        <v>1500.29</v>
      </c>
      <c r="G2090" s="1">
        <v>884</v>
      </c>
      <c r="H2090" s="1">
        <v>67.695079190000001</v>
      </c>
    </row>
    <row r="2091" spans="1:8" ht="15.75" thickBot="1" x14ac:dyDescent="0.3">
      <c r="A2091" s="1">
        <v>2016</v>
      </c>
      <c r="B2091" s="1" t="s">
        <v>20</v>
      </c>
      <c r="C2091" s="1" t="s">
        <v>9</v>
      </c>
      <c r="D2091" s="1" t="s">
        <v>13</v>
      </c>
      <c r="E2091" s="1">
        <v>297.92</v>
      </c>
      <c r="F2091" s="1">
        <v>9.7100000000000009</v>
      </c>
      <c r="G2091" s="1">
        <v>29</v>
      </c>
      <c r="H2091" s="1">
        <v>10.273103450000001</v>
      </c>
    </row>
    <row r="2092" spans="1:8" ht="15.75" thickBot="1" x14ac:dyDescent="0.3">
      <c r="A2092" s="1">
        <v>2016</v>
      </c>
      <c r="B2092" s="1" t="s">
        <v>40</v>
      </c>
      <c r="C2092" s="1" t="s">
        <v>33</v>
      </c>
      <c r="D2092" s="1" t="s">
        <v>27</v>
      </c>
      <c r="E2092" s="1">
        <v>49242.63</v>
      </c>
      <c r="F2092" s="1">
        <v>1369.98</v>
      </c>
      <c r="G2092" s="1">
        <v>452</v>
      </c>
      <c r="H2092" s="1">
        <v>108.9438717</v>
      </c>
    </row>
    <row r="2093" spans="1:8" ht="15.75" thickBot="1" x14ac:dyDescent="0.3">
      <c r="A2093" s="1">
        <v>2016</v>
      </c>
      <c r="B2093" s="1" t="s">
        <v>16</v>
      </c>
      <c r="C2093" s="1" t="s">
        <v>12</v>
      </c>
      <c r="D2093" s="1" t="s">
        <v>27</v>
      </c>
      <c r="E2093" s="1">
        <v>236770832.40000001</v>
      </c>
      <c r="F2093" s="1">
        <v>9639955.1699999999</v>
      </c>
      <c r="G2093" s="1">
        <v>5123196</v>
      </c>
      <c r="H2093" s="1">
        <v>46.215454649999998</v>
      </c>
    </row>
    <row r="2094" spans="1:8" ht="15.75" thickBot="1" x14ac:dyDescent="0.3">
      <c r="A2094" s="1">
        <v>2017</v>
      </c>
      <c r="B2094" s="1" t="s">
        <v>30</v>
      </c>
      <c r="C2094" s="1" t="s">
        <v>18</v>
      </c>
      <c r="D2094" s="1" t="s">
        <v>31</v>
      </c>
      <c r="E2094" s="1">
        <v>47.49</v>
      </c>
      <c r="F2094" s="1">
        <v>3.95</v>
      </c>
      <c r="G2094" s="1">
        <v>3</v>
      </c>
      <c r="H2094" s="1">
        <v>15.83</v>
      </c>
    </row>
    <row r="2095" spans="1:8" ht="15.75" thickBot="1" x14ac:dyDescent="0.3">
      <c r="A2095" s="1">
        <v>2015</v>
      </c>
      <c r="B2095" s="1" t="s">
        <v>8</v>
      </c>
      <c r="C2095" s="1" t="s">
        <v>21</v>
      </c>
      <c r="D2095" s="1" t="s">
        <v>29</v>
      </c>
      <c r="E2095" s="1">
        <v>1680</v>
      </c>
      <c r="F2095" s="1">
        <v>49.62</v>
      </c>
      <c r="G2095" s="1">
        <v>4</v>
      </c>
      <c r="H2095" s="1">
        <v>420</v>
      </c>
    </row>
    <row r="2096" spans="1:8" ht="15.75" thickBot="1" x14ac:dyDescent="0.3">
      <c r="A2096" s="1">
        <v>2016</v>
      </c>
      <c r="B2096" s="1" t="s">
        <v>20</v>
      </c>
      <c r="C2096" s="1" t="s">
        <v>28</v>
      </c>
      <c r="D2096" s="1" t="s">
        <v>13</v>
      </c>
      <c r="E2096" s="1">
        <v>118090.98</v>
      </c>
      <c r="F2096" s="1">
        <v>1855.35</v>
      </c>
      <c r="G2096" s="1">
        <v>155114</v>
      </c>
      <c r="H2096" s="1">
        <v>0.76131735369999998</v>
      </c>
    </row>
    <row r="2097" spans="1:8" ht="15.75" thickBot="1" x14ac:dyDescent="0.3">
      <c r="A2097" s="1">
        <v>2017</v>
      </c>
      <c r="B2097" s="1" t="s">
        <v>20</v>
      </c>
      <c r="C2097" s="1" t="s">
        <v>23</v>
      </c>
      <c r="D2097" s="1" t="s">
        <v>32</v>
      </c>
      <c r="E2097" s="1">
        <v>1930942.23</v>
      </c>
      <c r="F2097" s="1">
        <v>87427.1</v>
      </c>
      <c r="G2097" s="1">
        <v>99469</v>
      </c>
      <c r="H2097" s="1">
        <v>19.41250269</v>
      </c>
    </row>
    <row r="2098" spans="1:8" ht="15.75" thickBot="1" x14ac:dyDescent="0.3">
      <c r="A2098" s="1">
        <v>2015</v>
      </c>
      <c r="B2098" s="1" t="s">
        <v>20</v>
      </c>
      <c r="C2098" s="1" t="s">
        <v>12</v>
      </c>
      <c r="D2098" s="1" t="s">
        <v>19</v>
      </c>
      <c r="E2098" s="1">
        <v>3304486.67</v>
      </c>
      <c r="F2098" s="1">
        <v>116003.23</v>
      </c>
      <c r="G2098" s="1">
        <v>50954</v>
      </c>
      <c r="H2098" s="1">
        <v>64.852350549999997</v>
      </c>
    </row>
    <row r="2099" spans="1:8" ht="15.75" thickBot="1" x14ac:dyDescent="0.3">
      <c r="A2099" s="1">
        <v>2015</v>
      </c>
      <c r="B2099" s="1" t="s">
        <v>17</v>
      </c>
      <c r="C2099" s="1" t="s">
        <v>18</v>
      </c>
      <c r="D2099" s="1" t="s">
        <v>31</v>
      </c>
      <c r="E2099" s="1">
        <v>2003608.92</v>
      </c>
      <c r="F2099" s="1">
        <v>68674.320000000007</v>
      </c>
      <c r="G2099" s="1">
        <v>32989</v>
      </c>
      <c r="H2099" s="1">
        <v>60.735667040000003</v>
      </c>
    </row>
    <row r="2100" spans="1:8" ht="15.75" thickBot="1" x14ac:dyDescent="0.3">
      <c r="A2100" s="1">
        <v>2015</v>
      </c>
      <c r="B2100" s="1" t="s">
        <v>20</v>
      </c>
      <c r="C2100" s="1" t="s">
        <v>21</v>
      </c>
      <c r="D2100" s="1" t="s">
        <v>10</v>
      </c>
      <c r="E2100" s="1">
        <v>324066.90000000002</v>
      </c>
      <c r="F2100" s="1">
        <v>12673.8</v>
      </c>
      <c r="G2100" s="1">
        <v>42637</v>
      </c>
      <c r="H2100" s="1">
        <v>7.6006027630000004</v>
      </c>
    </row>
    <row r="2101" spans="1:8" ht="15.75" thickBot="1" x14ac:dyDescent="0.3">
      <c r="A2101" s="1">
        <v>2016</v>
      </c>
      <c r="B2101" s="1" t="s">
        <v>16</v>
      </c>
      <c r="C2101" s="1" t="s">
        <v>21</v>
      </c>
      <c r="D2101" s="1" t="s">
        <v>27</v>
      </c>
      <c r="E2101" s="1">
        <v>611104133.29999995</v>
      </c>
      <c r="F2101" s="1">
        <v>24089414.600000001</v>
      </c>
      <c r="G2101" s="1">
        <v>12785995</v>
      </c>
      <c r="H2101" s="1">
        <v>47.794804650000003</v>
      </c>
    </row>
    <row r="2102" spans="1:8" ht="15.75" thickBot="1" x14ac:dyDescent="0.3">
      <c r="A2102" s="1">
        <v>2015</v>
      </c>
      <c r="B2102" s="1" t="s">
        <v>30</v>
      </c>
      <c r="C2102" s="1" t="s">
        <v>21</v>
      </c>
      <c r="D2102" s="1" t="s">
        <v>13</v>
      </c>
      <c r="E2102" s="1">
        <v>1634570.97</v>
      </c>
      <c r="F2102" s="1">
        <v>43535.72</v>
      </c>
      <c r="G2102" s="1">
        <v>21543</v>
      </c>
      <c r="H2102" s="1">
        <v>75.874807129999994</v>
      </c>
    </row>
    <row r="2103" spans="1:8" ht="15.75" thickBot="1" x14ac:dyDescent="0.3">
      <c r="A2103" s="1">
        <v>2016</v>
      </c>
      <c r="B2103" s="1" t="s">
        <v>20</v>
      </c>
      <c r="C2103" s="1" t="s">
        <v>26</v>
      </c>
      <c r="D2103" s="1" t="s">
        <v>24</v>
      </c>
      <c r="E2103" s="1">
        <v>580491.84</v>
      </c>
      <c r="F2103" s="1">
        <v>21278.880000000001</v>
      </c>
      <c r="G2103" s="1">
        <v>7373</v>
      </c>
      <c r="H2103" s="1">
        <v>78.732109050000005</v>
      </c>
    </row>
    <row r="2104" spans="1:8" ht="15.75" thickBot="1" x14ac:dyDescent="0.3">
      <c r="A2104" s="1">
        <v>2016</v>
      </c>
      <c r="B2104" s="1" t="s">
        <v>11</v>
      </c>
      <c r="C2104" s="1" t="s">
        <v>23</v>
      </c>
      <c r="D2104" s="1" t="s">
        <v>31</v>
      </c>
      <c r="E2104" s="1">
        <v>12070404.17</v>
      </c>
      <c r="F2104" s="1">
        <v>364005.98</v>
      </c>
      <c r="G2104" s="1">
        <v>252106</v>
      </c>
      <c r="H2104" s="1">
        <v>47.878289969999997</v>
      </c>
    </row>
    <row r="2105" spans="1:8" ht="15.75" thickBot="1" x14ac:dyDescent="0.3">
      <c r="A2105" s="1">
        <v>2017</v>
      </c>
      <c r="B2105" s="1" t="s">
        <v>20</v>
      </c>
      <c r="C2105" s="1" t="s">
        <v>18</v>
      </c>
      <c r="D2105" s="1" t="s">
        <v>24</v>
      </c>
      <c r="E2105" s="1">
        <v>712287.42</v>
      </c>
      <c r="F2105" s="1">
        <v>23924.68</v>
      </c>
      <c r="G2105" s="1">
        <v>5657</v>
      </c>
      <c r="H2105" s="1">
        <v>125.912572</v>
      </c>
    </row>
    <row r="2106" spans="1:8" ht="15.75" thickBot="1" x14ac:dyDescent="0.3">
      <c r="A2106" s="1">
        <v>2014</v>
      </c>
      <c r="B2106" s="1" t="s">
        <v>40</v>
      </c>
      <c r="C2106" s="1" t="s">
        <v>28</v>
      </c>
      <c r="D2106" s="1" t="s">
        <v>19</v>
      </c>
      <c r="E2106" s="1">
        <v>195339.51999999999</v>
      </c>
      <c r="F2106" s="1">
        <v>1862.01</v>
      </c>
      <c r="G2106" s="1">
        <v>1440</v>
      </c>
      <c r="H2106" s="1">
        <v>135.65244440000001</v>
      </c>
    </row>
    <row r="2107" spans="1:8" ht="15.75" thickBot="1" x14ac:dyDescent="0.3">
      <c r="A2107" s="1">
        <v>2014</v>
      </c>
      <c r="B2107" s="1" t="s">
        <v>12</v>
      </c>
      <c r="C2107" s="1" t="s">
        <v>9</v>
      </c>
      <c r="D2107" s="1" t="s">
        <v>32</v>
      </c>
      <c r="E2107" s="1">
        <v>64480.09</v>
      </c>
      <c r="F2107" s="1">
        <v>2125.0500000000002</v>
      </c>
      <c r="G2107" s="1">
        <v>4489</v>
      </c>
      <c r="H2107" s="1">
        <v>14.36402094</v>
      </c>
    </row>
    <row r="2108" spans="1:8" ht="15.75" thickBot="1" x14ac:dyDescent="0.3">
      <c r="A2108" s="1">
        <v>2017</v>
      </c>
      <c r="B2108" s="1" t="s">
        <v>30</v>
      </c>
      <c r="C2108" s="1" t="s">
        <v>15</v>
      </c>
      <c r="D2108" s="1" t="s">
        <v>31</v>
      </c>
      <c r="E2108" s="1">
        <v>99</v>
      </c>
      <c r="F2108" s="1">
        <v>6.31</v>
      </c>
      <c r="G2108" s="1">
        <v>9</v>
      </c>
      <c r="H2108" s="1">
        <v>11</v>
      </c>
    </row>
    <row r="2109" spans="1:8" ht="15.75" thickBot="1" x14ac:dyDescent="0.3">
      <c r="A2109" s="1">
        <v>2016</v>
      </c>
      <c r="B2109" s="1" t="s">
        <v>30</v>
      </c>
      <c r="C2109" s="1" t="s">
        <v>15</v>
      </c>
      <c r="D2109" s="1" t="s">
        <v>27</v>
      </c>
      <c r="E2109" s="1">
        <v>228460207.5</v>
      </c>
      <c r="F2109" s="1">
        <v>7887686.3600000003</v>
      </c>
      <c r="G2109" s="1">
        <v>2641844</v>
      </c>
      <c r="H2109" s="1">
        <v>86.477554130000001</v>
      </c>
    </row>
    <row r="2110" spans="1:8" ht="15.75" thickBot="1" x14ac:dyDescent="0.3">
      <c r="A2110" s="1">
        <v>2015</v>
      </c>
      <c r="B2110" s="1" t="s">
        <v>11</v>
      </c>
      <c r="C2110" s="1" t="s">
        <v>33</v>
      </c>
      <c r="D2110" s="1" t="s">
        <v>19</v>
      </c>
      <c r="E2110" s="1">
        <v>7497416.04</v>
      </c>
      <c r="F2110" s="1">
        <v>246959.31</v>
      </c>
      <c r="G2110" s="1">
        <v>45366</v>
      </c>
      <c r="H2110" s="1">
        <v>165.2650893</v>
      </c>
    </row>
    <row r="2111" spans="1:8" ht="15.75" thickBot="1" x14ac:dyDescent="0.3">
      <c r="A2111" s="1">
        <v>2017</v>
      </c>
      <c r="B2111" s="1" t="s">
        <v>11</v>
      </c>
      <c r="C2111" s="1" t="s">
        <v>15</v>
      </c>
      <c r="D2111" s="1" t="s">
        <v>34</v>
      </c>
      <c r="E2111" s="1">
        <v>315099.18</v>
      </c>
      <c r="F2111" s="1">
        <v>7452.28</v>
      </c>
      <c r="G2111" s="1">
        <v>6649</v>
      </c>
      <c r="H2111" s="1">
        <v>47.390461719999998</v>
      </c>
    </row>
    <row r="2112" spans="1:8" ht="15.75" thickBot="1" x14ac:dyDescent="0.3">
      <c r="A2112" s="1">
        <v>2014</v>
      </c>
      <c r="B2112" s="1" t="s">
        <v>14</v>
      </c>
      <c r="C2112" s="1" t="s">
        <v>9</v>
      </c>
      <c r="D2112" s="1" t="s">
        <v>37</v>
      </c>
      <c r="E2112" s="1">
        <v>167999441.40000001</v>
      </c>
      <c r="F2112" s="1">
        <v>5261065.26</v>
      </c>
      <c r="G2112" s="1">
        <v>837576</v>
      </c>
      <c r="H2112" s="1">
        <v>200.57814619999999</v>
      </c>
    </row>
    <row r="2113" spans="1:8" ht="15.75" thickBot="1" x14ac:dyDescent="0.3">
      <c r="A2113" s="1">
        <v>2017</v>
      </c>
      <c r="B2113" s="1" t="s">
        <v>30</v>
      </c>
      <c r="C2113" s="1" t="s">
        <v>21</v>
      </c>
      <c r="D2113" s="1" t="s">
        <v>13</v>
      </c>
      <c r="E2113" s="1">
        <v>30320683.91</v>
      </c>
      <c r="F2113" s="1">
        <v>743364.91</v>
      </c>
      <c r="G2113" s="1">
        <v>445110</v>
      </c>
      <c r="H2113" s="1">
        <v>68.119529799999995</v>
      </c>
    </row>
    <row r="2114" spans="1:8" ht="15.75" thickBot="1" x14ac:dyDescent="0.3">
      <c r="A2114" s="1">
        <v>2017</v>
      </c>
      <c r="B2114" s="1" t="s">
        <v>14</v>
      </c>
      <c r="C2114" s="1" t="s">
        <v>15</v>
      </c>
      <c r="D2114" s="1" t="s">
        <v>27</v>
      </c>
      <c r="E2114" s="1">
        <v>64184929.009999998</v>
      </c>
      <c r="F2114" s="1">
        <v>2620777.88</v>
      </c>
      <c r="G2114" s="1">
        <v>1849021</v>
      </c>
      <c r="H2114" s="1">
        <v>34.712925929999997</v>
      </c>
    </row>
    <row r="2115" spans="1:8" ht="15.75" thickBot="1" x14ac:dyDescent="0.3">
      <c r="A2115" s="1">
        <v>2014</v>
      </c>
      <c r="B2115" s="1" t="s">
        <v>14</v>
      </c>
      <c r="C2115" s="1" t="s">
        <v>21</v>
      </c>
      <c r="D2115" s="1" t="s">
        <v>29</v>
      </c>
      <c r="E2115" s="1">
        <v>9029856.5500000007</v>
      </c>
      <c r="F2115" s="1">
        <v>303939.05</v>
      </c>
      <c r="G2115" s="1">
        <v>59727</v>
      </c>
      <c r="H2115" s="1">
        <v>151.1855032</v>
      </c>
    </row>
    <row r="2116" spans="1:8" ht="15.75" thickBot="1" x14ac:dyDescent="0.3">
      <c r="A2116" s="1">
        <v>2017</v>
      </c>
      <c r="B2116" s="1" t="s">
        <v>14</v>
      </c>
      <c r="C2116" s="1" t="s">
        <v>9</v>
      </c>
      <c r="D2116" s="1" t="s">
        <v>37</v>
      </c>
      <c r="E2116" s="1">
        <v>214897516.59999999</v>
      </c>
      <c r="F2116" s="1">
        <v>7005586.79</v>
      </c>
      <c r="G2116" s="1">
        <v>1187262</v>
      </c>
      <c r="H2116" s="1">
        <v>181.00260650000001</v>
      </c>
    </row>
    <row r="2117" spans="1:8" ht="15.75" thickBot="1" x14ac:dyDescent="0.3">
      <c r="A2117" s="1">
        <v>2016</v>
      </c>
      <c r="B2117" s="1" t="s">
        <v>20</v>
      </c>
      <c r="C2117" s="1" t="s">
        <v>23</v>
      </c>
      <c r="D2117" s="1" t="s">
        <v>29</v>
      </c>
      <c r="E2117" s="1">
        <v>203971.13</v>
      </c>
      <c r="F2117" s="1">
        <v>7638.76</v>
      </c>
      <c r="G2117" s="1">
        <v>3095</v>
      </c>
      <c r="H2117" s="1">
        <v>65.903434570000002</v>
      </c>
    </row>
    <row r="2118" spans="1:8" ht="15.75" thickBot="1" x14ac:dyDescent="0.3">
      <c r="A2118" s="1">
        <v>2016</v>
      </c>
      <c r="B2118" s="1" t="s">
        <v>20</v>
      </c>
      <c r="C2118" s="1" t="s">
        <v>33</v>
      </c>
      <c r="D2118" s="1" t="s">
        <v>22</v>
      </c>
      <c r="E2118" s="1">
        <v>377.25</v>
      </c>
      <c r="F2118" s="1">
        <v>25.13</v>
      </c>
      <c r="G2118" s="1">
        <v>46</v>
      </c>
      <c r="H2118" s="1">
        <v>8.2010869569999993</v>
      </c>
    </row>
    <row r="2119" spans="1:8" ht="15.75" thickBot="1" x14ac:dyDescent="0.3">
      <c r="A2119" s="1">
        <v>2016</v>
      </c>
      <c r="B2119" s="1" t="s">
        <v>30</v>
      </c>
      <c r="C2119" s="1" t="s">
        <v>33</v>
      </c>
      <c r="D2119" s="1" t="s">
        <v>13</v>
      </c>
      <c r="E2119" s="1">
        <v>5985961.5899999999</v>
      </c>
      <c r="F2119" s="1">
        <v>151704.64000000001</v>
      </c>
      <c r="G2119" s="1">
        <v>80110</v>
      </c>
      <c r="H2119" s="1">
        <v>74.721777430000003</v>
      </c>
    </row>
    <row r="2120" spans="1:8" ht="15.75" thickBot="1" x14ac:dyDescent="0.3">
      <c r="A2120" s="1">
        <v>2015</v>
      </c>
      <c r="B2120" s="1" t="s">
        <v>30</v>
      </c>
      <c r="C2120" s="1" t="s">
        <v>18</v>
      </c>
      <c r="D2120" s="1" t="s">
        <v>29</v>
      </c>
      <c r="E2120" s="1">
        <v>3563333.74</v>
      </c>
      <c r="F2120" s="1">
        <v>110491.19</v>
      </c>
      <c r="G2120" s="1">
        <v>13928</v>
      </c>
      <c r="H2120" s="1">
        <v>255.839585</v>
      </c>
    </row>
    <row r="2121" spans="1:8" ht="15.75" thickBot="1" x14ac:dyDescent="0.3">
      <c r="A2121" s="1">
        <v>2014</v>
      </c>
      <c r="B2121" s="1" t="s">
        <v>30</v>
      </c>
      <c r="C2121" s="1" t="s">
        <v>9</v>
      </c>
      <c r="D2121" s="1" t="s">
        <v>29</v>
      </c>
      <c r="E2121" s="1">
        <v>5760831.3700000001</v>
      </c>
      <c r="F2121" s="1">
        <v>183394.93</v>
      </c>
      <c r="G2121" s="1">
        <v>24854</v>
      </c>
      <c r="H2121" s="1">
        <v>231.78689019999999</v>
      </c>
    </row>
    <row r="2122" spans="1:8" ht="15.75" thickBot="1" x14ac:dyDescent="0.3">
      <c r="A2122" s="1">
        <v>2014</v>
      </c>
      <c r="B2122" s="1" t="s">
        <v>14</v>
      </c>
      <c r="C2122" s="1" t="s">
        <v>15</v>
      </c>
      <c r="D2122" s="1" t="s">
        <v>27</v>
      </c>
      <c r="E2122" s="1">
        <v>88852056.700000003</v>
      </c>
      <c r="F2122" s="1">
        <v>3548807.11</v>
      </c>
      <c r="G2122" s="1">
        <v>2297263</v>
      </c>
      <c r="H2122" s="1">
        <v>38.677355050000003</v>
      </c>
    </row>
    <row r="2123" spans="1:8" ht="15.75" thickBot="1" x14ac:dyDescent="0.3">
      <c r="A2123" s="1">
        <v>2015</v>
      </c>
      <c r="B2123" s="1" t="s">
        <v>16</v>
      </c>
      <c r="C2123" s="1" t="s">
        <v>15</v>
      </c>
      <c r="D2123" s="1" t="s">
        <v>29</v>
      </c>
      <c r="E2123" s="1">
        <v>15706082.380000001</v>
      </c>
      <c r="F2123" s="1">
        <v>521764.75</v>
      </c>
      <c r="G2123" s="1">
        <v>48744</v>
      </c>
      <c r="H2123" s="1">
        <v>322.21570609999998</v>
      </c>
    </row>
    <row r="2124" spans="1:8" ht="15.75" thickBot="1" x14ac:dyDescent="0.3">
      <c r="A2124" s="1">
        <v>2017</v>
      </c>
      <c r="B2124" s="1" t="s">
        <v>20</v>
      </c>
      <c r="C2124" s="1" t="s">
        <v>28</v>
      </c>
      <c r="D2124" s="1" t="s">
        <v>29</v>
      </c>
      <c r="E2124" s="1">
        <v>1531915.84</v>
      </c>
      <c r="F2124" s="1">
        <v>51414.97</v>
      </c>
      <c r="G2124" s="1">
        <v>13915</v>
      </c>
      <c r="H2124" s="1">
        <v>110.0909695</v>
      </c>
    </row>
    <row r="2125" spans="1:8" ht="15.75" thickBot="1" x14ac:dyDescent="0.3">
      <c r="A2125" s="1">
        <v>2014</v>
      </c>
      <c r="B2125" s="1" t="s">
        <v>20</v>
      </c>
      <c r="C2125" s="1" t="s">
        <v>26</v>
      </c>
      <c r="D2125" s="1" t="s">
        <v>31</v>
      </c>
      <c r="E2125" s="1">
        <v>12536.02</v>
      </c>
      <c r="F2125" s="1">
        <v>529.35</v>
      </c>
      <c r="G2125" s="1">
        <v>653</v>
      </c>
      <c r="H2125" s="1">
        <v>19.1975804</v>
      </c>
    </row>
    <row r="2126" spans="1:8" ht="15.75" thickBot="1" x14ac:dyDescent="0.3">
      <c r="A2126" s="1">
        <v>2014</v>
      </c>
      <c r="B2126" s="1" t="s">
        <v>11</v>
      </c>
      <c r="C2126" s="1" t="s">
        <v>33</v>
      </c>
      <c r="D2126" s="1" t="s">
        <v>27</v>
      </c>
      <c r="E2126" s="1">
        <v>302596501.5</v>
      </c>
      <c r="F2126" s="1">
        <v>8374679.2999999998</v>
      </c>
      <c r="G2126" s="1">
        <v>3674020</v>
      </c>
      <c r="H2126" s="1">
        <v>82.361147070000001</v>
      </c>
    </row>
    <row r="2127" spans="1:8" ht="15.75" thickBot="1" x14ac:dyDescent="0.3">
      <c r="A2127" s="1">
        <v>2015</v>
      </c>
      <c r="B2127" s="1" t="s">
        <v>11</v>
      </c>
      <c r="C2127" s="1" t="s">
        <v>21</v>
      </c>
      <c r="D2127" s="1" t="s">
        <v>27</v>
      </c>
      <c r="E2127" s="1">
        <v>363698163.39999998</v>
      </c>
      <c r="F2127" s="1">
        <v>10340742.01</v>
      </c>
      <c r="G2127" s="1">
        <v>5139229</v>
      </c>
      <c r="H2127" s="1">
        <v>70.769012900000007</v>
      </c>
    </row>
    <row r="2128" spans="1:8" ht="15.75" thickBot="1" x14ac:dyDescent="0.3">
      <c r="A2128" s="1">
        <v>2016</v>
      </c>
      <c r="B2128" s="1" t="s">
        <v>14</v>
      </c>
      <c r="C2128" s="1" t="s">
        <v>28</v>
      </c>
      <c r="D2128" s="1" t="s">
        <v>31</v>
      </c>
      <c r="E2128" s="1">
        <v>834212.5</v>
      </c>
      <c r="F2128" s="1">
        <v>31374.720000000001</v>
      </c>
      <c r="G2128" s="1">
        <v>18191</v>
      </c>
      <c r="H2128" s="1">
        <v>45.858528939999999</v>
      </c>
    </row>
    <row r="2129" spans="1:8" ht="15.75" thickBot="1" x14ac:dyDescent="0.3">
      <c r="A2129" s="1">
        <v>2017</v>
      </c>
      <c r="B2129" s="1" t="s">
        <v>11</v>
      </c>
      <c r="C2129" s="1" t="s">
        <v>33</v>
      </c>
      <c r="D2129" s="1" t="s">
        <v>27</v>
      </c>
      <c r="E2129" s="1">
        <v>364732592.5</v>
      </c>
      <c r="F2129" s="1">
        <v>10353363.67</v>
      </c>
      <c r="G2129" s="1">
        <v>6087176</v>
      </c>
      <c r="H2129" s="1">
        <v>59.918194010000001</v>
      </c>
    </row>
    <row r="2130" spans="1:8" ht="15.75" thickBot="1" x14ac:dyDescent="0.3">
      <c r="A2130" s="1">
        <v>2014</v>
      </c>
      <c r="B2130" s="1" t="s">
        <v>17</v>
      </c>
      <c r="C2130" s="1" t="s">
        <v>25</v>
      </c>
      <c r="D2130" s="1" t="s">
        <v>10</v>
      </c>
      <c r="E2130" s="1">
        <v>27265626.289999999</v>
      </c>
      <c r="F2130" s="1">
        <v>817223.97</v>
      </c>
      <c r="G2130" s="1">
        <v>471167</v>
      </c>
      <c r="H2130" s="1">
        <v>57.868285110000002</v>
      </c>
    </row>
    <row r="2131" spans="1:8" ht="15.75" thickBot="1" x14ac:dyDescent="0.3">
      <c r="A2131" s="1">
        <v>2014</v>
      </c>
      <c r="B2131" s="1" t="s">
        <v>12</v>
      </c>
      <c r="C2131" s="1" t="s">
        <v>21</v>
      </c>
      <c r="D2131" s="1" t="s">
        <v>24</v>
      </c>
      <c r="E2131" s="1">
        <v>2174296.4300000002</v>
      </c>
      <c r="F2131" s="1">
        <v>69975.710000000006</v>
      </c>
      <c r="G2131" s="1">
        <v>8301</v>
      </c>
      <c r="H2131" s="1">
        <v>261.9318672</v>
      </c>
    </row>
    <row r="2132" spans="1:8" ht="15.75" thickBot="1" x14ac:dyDescent="0.3">
      <c r="A2132" s="1">
        <v>2015</v>
      </c>
      <c r="B2132" s="1" t="s">
        <v>11</v>
      </c>
      <c r="C2132" s="1" t="s">
        <v>25</v>
      </c>
      <c r="D2132" s="1" t="s">
        <v>29</v>
      </c>
      <c r="E2132" s="1">
        <v>2548403.9</v>
      </c>
      <c r="F2132" s="1">
        <v>78116.56</v>
      </c>
      <c r="G2132" s="1">
        <v>6468</v>
      </c>
      <c r="H2132" s="1">
        <v>394.00183980000003</v>
      </c>
    </row>
    <row r="2133" spans="1:8" ht="15.75" thickBot="1" x14ac:dyDescent="0.3">
      <c r="A2133" s="1">
        <v>2015</v>
      </c>
      <c r="B2133" s="1" t="s">
        <v>35</v>
      </c>
      <c r="C2133" s="1" t="s">
        <v>28</v>
      </c>
      <c r="D2133" s="1" t="s">
        <v>10</v>
      </c>
      <c r="E2133" s="1">
        <v>-39.69</v>
      </c>
      <c r="F2133" s="1">
        <v>1.57</v>
      </c>
      <c r="G2133" s="1">
        <v>178</v>
      </c>
      <c r="H2133" s="1">
        <v>-0.22297752809999999</v>
      </c>
    </row>
    <row r="2134" spans="1:8" ht="15.75" thickBot="1" x14ac:dyDescent="0.3">
      <c r="A2134" s="1">
        <v>2014</v>
      </c>
      <c r="B2134" s="1" t="s">
        <v>20</v>
      </c>
      <c r="C2134" s="1" t="s">
        <v>28</v>
      </c>
      <c r="D2134" s="1" t="s">
        <v>29</v>
      </c>
      <c r="E2134" s="1">
        <v>1013703.01</v>
      </c>
      <c r="F2134" s="1">
        <v>33433.61</v>
      </c>
      <c r="G2134" s="1">
        <v>9768</v>
      </c>
      <c r="H2134" s="1">
        <v>103.7779494</v>
      </c>
    </row>
    <row r="2135" spans="1:8" ht="15.75" thickBot="1" x14ac:dyDescent="0.3">
      <c r="A2135" s="1">
        <v>2017</v>
      </c>
      <c r="B2135" s="1" t="s">
        <v>8</v>
      </c>
      <c r="C2135" s="1" t="s">
        <v>26</v>
      </c>
      <c r="D2135" s="1" t="s">
        <v>34</v>
      </c>
      <c r="E2135" s="1">
        <v>14.74</v>
      </c>
      <c r="F2135" s="1">
        <v>0.73</v>
      </c>
      <c r="G2135" s="1">
        <v>1</v>
      </c>
      <c r="H2135" s="1">
        <v>14.74</v>
      </c>
    </row>
    <row r="2136" spans="1:8" ht="15.75" thickBot="1" x14ac:dyDescent="0.3">
      <c r="A2136" s="1">
        <v>2016</v>
      </c>
      <c r="B2136" s="1" t="s">
        <v>35</v>
      </c>
      <c r="C2136" s="1" t="s">
        <v>23</v>
      </c>
      <c r="D2136" s="1" t="s">
        <v>27</v>
      </c>
      <c r="E2136" s="1">
        <v>14886.95</v>
      </c>
      <c r="F2136" s="1">
        <v>671.16</v>
      </c>
      <c r="G2136" s="1">
        <v>576</v>
      </c>
      <c r="H2136" s="1">
        <v>25.845399310000001</v>
      </c>
    </row>
    <row r="2137" spans="1:8" ht="15.75" thickBot="1" x14ac:dyDescent="0.3">
      <c r="A2137" s="1">
        <v>2017</v>
      </c>
      <c r="B2137" s="1" t="s">
        <v>11</v>
      </c>
      <c r="C2137" s="1" t="s">
        <v>12</v>
      </c>
      <c r="D2137" s="1" t="s">
        <v>29</v>
      </c>
      <c r="E2137" s="1">
        <v>2005943.15</v>
      </c>
      <c r="F2137" s="1">
        <v>64701.86</v>
      </c>
      <c r="G2137" s="1">
        <v>4646</v>
      </c>
      <c r="H2137" s="1">
        <v>431.75702760000001</v>
      </c>
    </row>
    <row r="2138" spans="1:8" ht="15.75" thickBot="1" x14ac:dyDescent="0.3">
      <c r="A2138" s="1">
        <v>2017</v>
      </c>
      <c r="B2138" s="1" t="s">
        <v>14</v>
      </c>
      <c r="C2138" s="1" t="s">
        <v>9</v>
      </c>
      <c r="D2138" s="1" t="s">
        <v>27</v>
      </c>
      <c r="E2138" s="1">
        <v>227608.76</v>
      </c>
      <c r="F2138" s="1">
        <v>8832.2999999999993</v>
      </c>
      <c r="G2138" s="1">
        <v>26626</v>
      </c>
      <c r="H2138" s="1">
        <v>8.5483647559999998</v>
      </c>
    </row>
    <row r="2139" spans="1:8" ht="15.75" thickBot="1" x14ac:dyDescent="0.3">
      <c r="A2139" s="1">
        <v>2017</v>
      </c>
      <c r="B2139" s="1" t="s">
        <v>11</v>
      </c>
      <c r="C2139" s="1" t="s">
        <v>9</v>
      </c>
      <c r="D2139" s="1" t="s">
        <v>34</v>
      </c>
      <c r="E2139" s="1">
        <v>583.86</v>
      </c>
      <c r="F2139" s="1">
        <v>13.43</v>
      </c>
      <c r="G2139" s="1">
        <v>246</v>
      </c>
      <c r="H2139" s="1">
        <v>2.373414634</v>
      </c>
    </row>
    <row r="2140" spans="1:8" ht="15.75" thickBot="1" x14ac:dyDescent="0.3">
      <c r="A2140" s="1">
        <v>2015</v>
      </c>
      <c r="B2140" s="1" t="s">
        <v>17</v>
      </c>
      <c r="C2140" s="1" t="s">
        <v>9</v>
      </c>
      <c r="D2140" s="1" t="s">
        <v>10</v>
      </c>
      <c r="E2140" s="1">
        <v>14412018.02</v>
      </c>
      <c r="F2140" s="1">
        <v>463643.66</v>
      </c>
      <c r="G2140" s="1">
        <v>203543</v>
      </c>
      <c r="H2140" s="1">
        <v>70.805765960000002</v>
      </c>
    </row>
    <row r="2141" spans="1:8" ht="15.75" thickBot="1" x14ac:dyDescent="0.3">
      <c r="A2141" s="1">
        <v>2017</v>
      </c>
      <c r="B2141" s="1" t="s">
        <v>11</v>
      </c>
      <c r="C2141" s="1" t="s">
        <v>33</v>
      </c>
      <c r="D2141" s="1" t="s">
        <v>29</v>
      </c>
      <c r="E2141" s="1">
        <v>5198591.05</v>
      </c>
      <c r="F2141" s="1">
        <v>155047.73000000001</v>
      </c>
      <c r="G2141" s="1">
        <v>12614</v>
      </c>
      <c r="H2141" s="1">
        <v>412.1286705</v>
      </c>
    </row>
    <row r="2142" spans="1:8" ht="15.75" thickBot="1" x14ac:dyDescent="0.3">
      <c r="A2142" s="1">
        <v>2014</v>
      </c>
      <c r="B2142" s="1" t="s">
        <v>14</v>
      </c>
      <c r="C2142" s="1" t="s">
        <v>9</v>
      </c>
      <c r="D2142" s="1" t="s">
        <v>27</v>
      </c>
      <c r="E2142" s="1">
        <v>407061.29</v>
      </c>
      <c r="F2142" s="1">
        <v>16763.080000000002</v>
      </c>
      <c r="G2142" s="1">
        <v>37541</v>
      </c>
      <c r="H2142" s="1">
        <v>10.8431126</v>
      </c>
    </row>
    <row r="2143" spans="1:8" ht="15.75" thickBot="1" x14ac:dyDescent="0.3">
      <c r="A2143" s="1">
        <v>2014</v>
      </c>
      <c r="B2143" s="1" t="s">
        <v>35</v>
      </c>
      <c r="C2143" s="1" t="s">
        <v>9</v>
      </c>
      <c r="D2143" s="1" t="s">
        <v>27</v>
      </c>
      <c r="E2143" s="1">
        <v>1917.07</v>
      </c>
      <c r="F2143" s="1">
        <v>98.9</v>
      </c>
      <c r="G2143" s="1">
        <v>84</v>
      </c>
      <c r="H2143" s="1">
        <v>22.822261900000001</v>
      </c>
    </row>
    <row r="2144" spans="1:8" ht="15.75" thickBot="1" x14ac:dyDescent="0.3">
      <c r="A2144" s="1">
        <v>2015</v>
      </c>
      <c r="B2144" s="1" t="s">
        <v>11</v>
      </c>
      <c r="C2144" s="1" t="s">
        <v>33</v>
      </c>
      <c r="D2144" s="1" t="s">
        <v>10</v>
      </c>
      <c r="E2144" s="1">
        <v>382769460</v>
      </c>
      <c r="F2144" s="1">
        <v>7988360.0800000001</v>
      </c>
      <c r="G2144" s="1">
        <v>4802711</v>
      </c>
      <c r="H2144" s="1">
        <v>79.698624379999998</v>
      </c>
    </row>
    <row r="2145" spans="1:8" ht="15.75" thickBot="1" x14ac:dyDescent="0.3">
      <c r="A2145" s="1">
        <v>2016</v>
      </c>
      <c r="B2145" s="1" t="s">
        <v>16</v>
      </c>
      <c r="C2145" s="1" t="s">
        <v>18</v>
      </c>
      <c r="D2145" s="1" t="s">
        <v>32</v>
      </c>
      <c r="E2145" s="1">
        <v>37210412.789999999</v>
      </c>
      <c r="F2145" s="1">
        <v>1311171.8700000001</v>
      </c>
      <c r="G2145" s="1">
        <v>517734</v>
      </c>
      <c r="H2145" s="1">
        <v>71.871680810000001</v>
      </c>
    </row>
    <row r="2146" spans="1:8" ht="15.75" thickBot="1" x14ac:dyDescent="0.3">
      <c r="A2146" s="1">
        <v>2016</v>
      </c>
      <c r="B2146" s="1" t="s">
        <v>20</v>
      </c>
      <c r="C2146" s="1" t="s">
        <v>12</v>
      </c>
      <c r="D2146" s="1" t="s">
        <v>10</v>
      </c>
      <c r="E2146" s="1">
        <v>344917.85</v>
      </c>
      <c r="F2146" s="1">
        <v>13877.91</v>
      </c>
      <c r="G2146" s="1">
        <v>11770</v>
      </c>
      <c r="H2146" s="1">
        <v>29.304830079999999</v>
      </c>
    </row>
    <row r="2147" spans="1:8" ht="15.75" thickBot="1" x14ac:dyDescent="0.3">
      <c r="A2147" s="1">
        <v>2015</v>
      </c>
      <c r="B2147" s="1" t="s">
        <v>20</v>
      </c>
      <c r="C2147" s="1" t="s">
        <v>9</v>
      </c>
      <c r="D2147" s="1" t="s">
        <v>10</v>
      </c>
      <c r="E2147" s="1">
        <v>1004123.27</v>
      </c>
      <c r="F2147" s="1">
        <v>36167.660000000003</v>
      </c>
      <c r="G2147" s="1">
        <v>22683</v>
      </c>
      <c r="H2147" s="1">
        <v>44.267657280000002</v>
      </c>
    </row>
    <row r="2148" spans="1:8" ht="15.75" thickBot="1" x14ac:dyDescent="0.3">
      <c r="A2148" s="1">
        <v>2015</v>
      </c>
      <c r="B2148" s="1" t="s">
        <v>20</v>
      </c>
      <c r="C2148" s="1" t="s">
        <v>28</v>
      </c>
      <c r="D2148" s="1" t="s">
        <v>31</v>
      </c>
      <c r="E2148" s="1">
        <v>22279.81</v>
      </c>
      <c r="F2148" s="1">
        <v>1002.82</v>
      </c>
      <c r="G2148" s="1">
        <v>111934</v>
      </c>
      <c r="H2148" s="1">
        <v>0.19904416890000001</v>
      </c>
    </row>
    <row r="2149" spans="1:8" ht="15.75" thickBot="1" x14ac:dyDescent="0.3">
      <c r="A2149" s="1">
        <v>2014</v>
      </c>
      <c r="B2149" s="1" t="s">
        <v>12</v>
      </c>
      <c r="C2149" s="1" t="s">
        <v>21</v>
      </c>
      <c r="D2149" s="1" t="s">
        <v>32</v>
      </c>
      <c r="E2149" s="1">
        <v>9313712.8699999992</v>
      </c>
      <c r="F2149" s="1">
        <v>295593.56</v>
      </c>
      <c r="G2149" s="1">
        <v>155539</v>
      </c>
      <c r="H2149" s="1">
        <v>59.880241419999997</v>
      </c>
    </row>
    <row r="2150" spans="1:8" ht="15.75" thickBot="1" x14ac:dyDescent="0.3">
      <c r="A2150" s="1">
        <v>2016</v>
      </c>
      <c r="B2150" s="1" t="s">
        <v>35</v>
      </c>
      <c r="C2150" s="1" t="s">
        <v>23</v>
      </c>
      <c r="D2150" s="1" t="s">
        <v>29</v>
      </c>
      <c r="E2150" s="1">
        <v>57</v>
      </c>
      <c r="F2150" s="1">
        <v>3.51</v>
      </c>
      <c r="G2150" s="1">
        <v>10</v>
      </c>
      <c r="H2150" s="1">
        <v>5.7</v>
      </c>
    </row>
    <row r="2151" spans="1:8" ht="15.75" thickBot="1" x14ac:dyDescent="0.3">
      <c r="A2151" s="1">
        <v>2017</v>
      </c>
      <c r="B2151" s="1" t="s">
        <v>40</v>
      </c>
      <c r="C2151" s="1" t="s">
        <v>25</v>
      </c>
      <c r="D2151" s="1" t="s">
        <v>13</v>
      </c>
      <c r="E2151" s="1">
        <v>4428.99</v>
      </c>
      <c r="F2151" s="1">
        <v>0.49</v>
      </c>
      <c r="G2151" s="1">
        <v>43</v>
      </c>
      <c r="H2151" s="1">
        <v>102.9997674</v>
      </c>
    </row>
    <row r="2152" spans="1:8" ht="15.75" thickBot="1" x14ac:dyDescent="0.3">
      <c r="A2152" s="1">
        <v>2014</v>
      </c>
      <c r="B2152" s="1" t="s">
        <v>16</v>
      </c>
      <c r="C2152" s="1" t="s">
        <v>21</v>
      </c>
      <c r="D2152" s="1" t="s">
        <v>32</v>
      </c>
      <c r="E2152" s="1">
        <v>109326599.3</v>
      </c>
      <c r="F2152" s="1">
        <v>4177660.3</v>
      </c>
      <c r="G2152" s="1">
        <v>2138863</v>
      </c>
      <c r="H2152" s="1">
        <v>51.114353440000002</v>
      </c>
    </row>
    <row r="2153" spans="1:8" ht="15.75" thickBot="1" x14ac:dyDescent="0.3">
      <c r="A2153" s="1">
        <v>2017</v>
      </c>
      <c r="B2153" s="1" t="s">
        <v>20</v>
      </c>
      <c r="C2153" s="1" t="s">
        <v>21</v>
      </c>
      <c r="D2153" s="1" t="s">
        <v>19</v>
      </c>
      <c r="E2153" s="1">
        <v>5625792.0199999996</v>
      </c>
      <c r="F2153" s="1">
        <v>145280.24</v>
      </c>
      <c r="G2153" s="1">
        <v>74571</v>
      </c>
      <c r="H2153" s="1">
        <v>75.442089019999997</v>
      </c>
    </row>
    <row r="2154" spans="1:8" ht="15.75" thickBot="1" x14ac:dyDescent="0.3">
      <c r="A2154" s="1">
        <v>2015</v>
      </c>
      <c r="B2154" s="1" t="s">
        <v>20</v>
      </c>
      <c r="C2154" s="1" t="s">
        <v>18</v>
      </c>
      <c r="D2154" s="1" t="s">
        <v>27</v>
      </c>
      <c r="E2154" s="1">
        <v>995918.06</v>
      </c>
      <c r="F2154" s="1">
        <v>34748.959999999999</v>
      </c>
      <c r="G2154" s="1">
        <v>16357</v>
      </c>
      <c r="H2154" s="1">
        <v>60.886352019999997</v>
      </c>
    </row>
    <row r="2155" spans="1:8" ht="15.75" thickBot="1" x14ac:dyDescent="0.3">
      <c r="A2155" s="1">
        <v>2014</v>
      </c>
      <c r="B2155" s="1" t="s">
        <v>11</v>
      </c>
      <c r="C2155" s="1" t="s">
        <v>23</v>
      </c>
      <c r="D2155" s="1" t="s">
        <v>32</v>
      </c>
      <c r="E2155" s="1">
        <v>38546403.850000001</v>
      </c>
      <c r="F2155" s="1">
        <v>1295395.68</v>
      </c>
      <c r="G2155" s="1">
        <v>906542</v>
      </c>
      <c r="H2155" s="1">
        <v>42.520262549999998</v>
      </c>
    </row>
    <row r="2156" spans="1:8" ht="15.75" thickBot="1" x14ac:dyDescent="0.3">
      <c r="A2156" s="1">
        <v>2017</v>
      </c>
      <c r="B2156" s="1" t="s">
        <v>8</v>
      </c>
      <c r="C2156" s="1" t="s">
        <v>33</v>
      </c>
      <c r="D2156" s="1" t="s">
        <v>24</v>
      </c>
      <c r="E2156" s="1">
        <v>14</v>
      </c>
      <c r="F2156" s="1">
        <v>1.1599999999999999</v>
      </c>
      <c r="G2156" s="1">
        <v>2</v>
      </c>
      <c r="H2156" s="1">
        <v>7</v>
      </c>
    </row>
    <row r="2157" spans="1:8" ht="15.75" thickBot="1" x14ac:dyDescent="0.3">
      <c r="A2157" s="1">
        <v>2017</v>
      </c>
      <c r="B2157" s="1" t="s">
        <v>8</v>
      </c>
      <c r="C2157" s="1" t="s">
        <v>33</v>
      </c>
      <c r="D2157" s="1" t="s">
        <v>32</v>
      </c>
      <c r="E2157" s="1">
        <v>1499.91</v>
      </c>
      <c r="F2157" s="1">
        <v>67.040000000000006</v>
      </c>
      <c r="G2157" s="1">
        <v>27</v>
      </c>
      <c r="H2157" s="1">
        <v>55.552222219999997</v>
      </c>
    </row>
    <row r="2158" spans="1:8" ht="15.75" thickBot="1" x14ac:dyDescent="0.3">
      <c r="A2158" s="1">
        <v>2017</v>
      </c>
      <c r="B2158" s="1" t="s">
        <v>30</v>
      </c>
      <c r="C2158" s="1" t="s">
        <v>9</v>
      </c>
      <c r="D2158" s="1" t="s">
        <v>13</v>
      </c>
      <c r="E2158" s="1">
        <v>38922.78</v>
      </c>
      <c r="F2158" s="1">
        <v>909.7</v>
      </c>
      <c r="G2158" s="1">
        <v>2903</v>
      </c>
      <c r="H2158" s="1">
        <v>13.407778159999999</v>
      </c>
    </row>
    <row r="2159" spans="1:8" ht="15.75" thickBot="1" x14ac:dyDescent="0.3">
      <c r="A2159" s="1">
        <v>2015</v>
      </c>
      <c r="B2159" s="1" t="s">
        <v>14</v>
      </c>
      <c r="C2159" s="1" t="s">
        <v>12</v>
      </c>
      <c r="D2159" s="1" t="s">
        <v>24</v>
      </c>
      <c r="E2159" s="1">
        <v>20544043.489999998</v>
      </c>
      <c r="F2159" s="1">
        <v>689757.55</v>
      </c>
      <c r="G2159" s="1">
        <v>88333</v>
      </c>
      <c r="H2159" s="1">
        <v>232.57495489999999</v>
      </c>
    </row>
    <row r="2160" spans="1:8" ht="15.75" thickBot="1" x14ac:dyDescent="0.3">
      <c r="A2160" s="1">
        <v>2015</v>
      </c>
      <c r="B2160" s="1" t="s">
        <v>14</v>
      </c>
      <c r="C2160" s="1" t="s">
        <v>15</v>
      </c>
      <c r="D2160" s="1" t="s">
        <v>10</v>
      </c>
      <c r="E2160" s="1">
        <v>3973749.59</v>
      </c>
      <c r="F2160" s="1">
        <v>148268.67000000001</v>
      </c>
      <c r="G2160" s="1">
        <v>74235</v>
      </c>
      <c r="H2160" s="1">
        <v>53.529327000000002</v>
      </c>
    </row>
    <row r="2161" spans="1:8" ht="15.75" thickBot="1" x14ac:dyDescent="0.3">
      <c r="A2161" s="1">
        <v>2017</v>
      </c>
      <c r="B2161" s="1" t="s">
        <v>11</v>
      </c>
      <c r="C2161" s="1" t="s">
        <v>9</v>
      </c>
      <c r="D2161" s="1" t="s">
        <v>34</v>
      </c>
      <c r="E2161" s="1">
        <v>374.63</v>
      </c>
      <c r="F2161" s="1">
        <v>8.06</v>
      </c>
      <c r="G2161" s="1">
        <v>4</v>
      </c>
      <c r="H2161" s="1">
        <v>93.657499999999999</v>
      </c>
    </row>
    <row r="2162" spans="1:8" ht="15.75" thickBot="1" x14ac:dyDescent="0.3">
      <c r="A2162" s="1">
        <v>2014</v>
      </c>
      <c r="B2162" s="1" t="s">
        <v>12</v>
      </c>
      <c r="C2162" s="1" t="s">
        <v>33</v>
      </c>
      <c r="D2162" s="1" t="s">
        <v>19</v>
      </c>
      <c r="E2162" s="1">
        <v>7773718.6900000004</v>
      </c>
      <c r="F2162" s="1">
        <v>220389.46</v>
      </c>
      <c r="G2162" s="1">
        <v>30848</v>
      </c>
      <c r="H2162" s="1">
        <v>252.00073549999999</v>
      </c>
    </row>
    <row r="2163" spans="1:8" ht="15.75" thickBot="1" x14ac:dyDescent="0.3">
      <c r="A2163" s="1">
        <v>2016</v>
      </c>
      <c r="B2163" s="1" t="s">
        <v>8</v>
      </c>
      <c r="C2163" s="1" t="s">
        <v>9</v>
      </c>
      <c r="D2163" s="1" t="s">
        <v>27</v>
      </c>
      <c r="E2163" s="1">
        <v>636.83000000000004</v>
      </c>
      <c r="F2163" s="1">
        <v>27.37</v>
      </c>
      <c r="G2163" s="1">
        <v>29</v>
      </c>
      <c r="H2163" s="1">
        <v>21.959655170000001</v>
      </c>
    </row>
    <row r="2164" spans="1:8" ht="15.75" thickBot="1" x14ac:dyDescent="0.3">
      <c r="A2164" s="1">
        <v>2014</v>
      </c>
      <c r="B2164" s="1" t="s">
        <v>12</v>
      </c>
      <c r="C2164" s="1" t="s">
        <v>12</v>
      </c>
      <c r="D2164" s="1" t="s">
        <v>22</v>
      </c>
      <c r="E2164" s="1">
        <v>64698.38</v>
      </c>
      <c r="F2164" s="1">
        <v>2469.33</v>
      </c>
      <c r="G2164" s="1">
        <v>4032</v>
      </c>
      <c r="H2164" s="1">
        <v>16.046225199999999</v>
      </c>
    </row>
    <row r="2165" spans="1:8" ht="15.75" thickBot="1" x14ac:dyDescent="0.3">
      <c r="A2165" s="1">
        <v>2016</v>
      </c>
      <c r="B2165" s="1" t="s">
        <v>35</v>
      </c>
      <c r="C2165" s="1" t="s">
        <v>12</v>
      </c>
      <c r="D2165" s="1" t="s">
        <v>13</v>
      </c>
      <c r="E2165" s="1">
        <v>-0.4</v>
      </c>
      <c r="F2165" s="1">
        <v>-0.01</v>
      </c>
      <c r="G2165" s="1">
        <v>3</v>
      </c>
      <c r="H2165" s="1">
        <v>-0.1333333333</v>
      </c>
    </row>
    <row r="2166" spans="1:8" ht="15.75" thickBot="1" x14ac:dyDescent="0.3">
      <c r="A2166" s="1">
        <v>2016</v>
      </c>
      <c r="B2166" s="1" t="s">
        <v>40</v>
      </c>
      <c r="C2166" s="1" t="s">
        <v>21</v>
      </c>
      <c r="D2166" s="1" t="s">
        <v>27</v>
      </c>
      <c r="E2166" s="1">
        <v>44362.89</v>
      </c>
      <c r="F2166" s="1">
        <v>1421.99</v>
      </c>
      <c r="G2166" s="1">
        <v>498</v>
      </c>
      <c r="H2166" s="1">
        <v>89.082108430000005</v>
      </c>
    </row>
    <row r="2167" spans="1:8" ht="15.75" thickBot="1" x14ac:dyDescent="0.3">
      <c r="A2167" s="1">
        <v>2017</v>
      </c>
      <c r="B2167" s="1" t="s">
        <v>40</v>
      </c>
      <c r="C2167" s="1" t="s">
        <v>9</v>
      </c>
      <c r="D2167" s="1" t="s">
        <v>19</v>
      </c>
      <c r="E2167" s="1">
        <v>28328.17</v>
      </c>
      <c r="F2167" s="1">
        <v>387.6</v>
      </c>
      <c r="G2167" s="1">
        <v>170</v>
      </c>
      <c r="H2167" s="1">
        <v>166.63629409999999</v>
      </c>
    </row>
    <row r="2168" spans="1:8" ht="15.75" thickBot="1" x14ac:dyDescent="0.3">
      <c r="A2168" s="1">
        <v>2014</v>
      </c>
      <c r="B2168" s="1" t="s">
        <v>16</v>
      </c>
      <c r="C2168" s="1" t="s">
        <v>21</v>
      </c>
      <c r="D2168" s="1" t="s">
        <v>24</v>
      </c>
      <c r="E2168" s="1">
        <v>34152590.409999996</v>
      </c>
      <c r="F2168" s="1">
        <v>1168527.19</v>
      </c>
      <c r="G2168" s="1">
        <v>182062</v>
      </c>
      <c r="H2168" s="1">
        <v>187.58769219999999</v>
      </c>
    </row>
    <row r="2169" spans="1:8" ht="15.75" thickBot="1" x14ac:dyDescent="0.3">
      <c r="A2169" s="1">
        <v>2015</v>
      </c>
      <c r="B2169" s="1" t="s">
        <v>12</v>
      </c>
      <c r="C2169" s="1" t="s">
        <v>33</v>
      </c>
      <c r="D2169" s="1" t="s">
        <v>24</v>
      </c>
      <c r="E2169" s="1">
        <v>4677074.63</v>
      </c>
      <c r="F2169" s="1">
        <v>145025.79999999999</v>
      </c>
      <c r="G2169" s="1">
        <v>12008</v>
      </c>
      <c r="H2169" s="1">
        <v>389.49655480000001</v>
      </c>
    </row>
    <row r="2170" spans="1:8" ht="15.75" thickBot="1" x14ac:dyDescent="0.3">
      <c r="A2170" s="1">
        <v>2016</v>
      </c>
      <c r="B2170" s="1" t="s">
        <v>40</v>
      </c>
      <c r="C2170" s="1" t="s">
        <v>25</v>
      </c>
      <c r="D2170" s="1" t="s">
        <v>13</v>
      </c>
      <c r="E2170" s="1">
        <v>455</v>
      </c>
      <c r="F2170" s="1">
        <v>9.4499999999999993</v>
      </c>
      <c r="G2170" s="1">
        <v>10</v>
      </c>
      <c r="H2170" s="1">
        <v>45.5</v>
      </c>
    </row>
    <row r="2171" spans="1:8" ht="15.75" thickBot="1" x14ac:dyDescent="0.3">
      <c r="A2171" s="1">
        <v>2014</v>
      </c>
      <c r="B2171" s="1" t="s">
        <v>20</v>
      </c>
      <c r="C2171" s="1" t="s">
        <v>28</v>
      </c>
      <c r="D2171" s="1" t="s">
        <v>19</v>
      </c>
      <c r="E2171" s="1">
        <v>11439861.35</v>
      </c>
      <c r="F2171" s="1">
        <v>382337.92</v>
      </c>
      <c r="G2171" s="1">
        <v>170548</v>
      </c>
      <c r="H2171" s="1">
        <v>67.077077130000006</v>
      </c>
    </row>
    <row r="2172" spans="1:8" ht="15.75" thickBot="1" x14ac:dyDescent="0.3">
      <c r="A2172" s="1">
        <v>2015</v>
      </c>
      <c r="B2172" s="1" t="s">
        <v>8</v>
      </c>
      <c r="C2172" s="1" t="s">
        <v>21</v>
      </c>
      <c r="D2172" s="1" t="s">
        <v>27</v>
      </c>
      <c r="E2172" s="1">
        <v>19528.96</v>
      </c>
      <c r="F2172" s="1">
        <v>665.76</v>
      </c>
      <c r="G2172" s="1">
        <v>409</v>
      </c>
      <c r="H2172" s="1">
        <v>47.748068459999999</v>
      </c>
    </row>
    <row r="2173" spans="1:8" ht="15.75" thickBot="1" x14ac:dyDescent="0.3">
      <c r="A2173" s="1">
        <v>2017</v>
      </c>
      <c r="B2173" s="1" t="s">
        <v>20</v>
      </c>
      <c r="C2173" s="1" t="s">
        <v>23</v>
      </c>
      <c r="D2173" s="1" t="s">
        <v>34</v>
      </c>
      <c r="E2173" s="1">
        <v>11542.01</v>
      </c>
      <c r="F2173" s="1">
        <v>474.11</v>
      </c>
      <c r="G2173" s="1">
        <v>493</v>
      </c>
      <c r="H2173" s="1">
        <v>23.411784990000001</v>
      </c>
    </row>
    <row r="2174" spans="1:8" ht="15.75" thickBot="1" x14ac:dyDescent="0.3">
      <c r="A2174" s="1">
        <v>2015</v>
      </c>
      <c r="B2174" s="1" t="s">
        <v>20</v>
      </c>
      <c r="C2174" s="1" t="s">
        <v>26</v>
      </c>
      <c r="D2174" s="1" t="s">
        <v>29</v>
      </c>
      <c r="E2174" s="1">
        <v>286155.09999999998</v>
      </c>
      <c r="F2174" s="1">
        <v>10443.61</v>
      </c>
      <c r="G2174" s="1">
        <v>3904</v>
      </c>
      <c r="H2174" s="1">
        <v>73.297925199999995</v>
      </c>
    </row>
    <row r="2175" spans="1:8" ht="15.75" thickBot="1" x14ac:dyDescent="0.3">
      <c r="A2175" s="1">
        <v>2017</v>
      </c>
      <c r="B2175" s="1" t="s">
        <v>20</v>
      </c>
      <c r="C2175" s="1" t="s">
        <v>18</v>
      </c>
      <c r="D2175" s="1" t="s">
        <v>32</v>
      </c>
      <c r="E2175" s="1">
        <v>2281149.4900000002</v>
      </c>
      <c r="F2175" s="1">
        <v>84635.41</v>
      </c>
      <c r="G2175" s="1">
        <v>61891</v>
      </c>
      <c r="H2175" s="1">
        <v>36.857531629999997</v>
      </c>
    </row>
    <row r="2176" spans="1:8" ht="15.75" thickBot="1" x14ac:dyDescent="0.3">
      <c r="A2176" s="1">
        <v>2015</v>
      </c>
      <c r="B2176" s="1" t="s">
        <v>11</v>
      </c>
      <c r="C2176" s="1" t="s">
        <v>9</v>
      </c>
      <c r="D2176" s="1" t="s">
        <v>32</v>
      </c>
      <c r="E2176" s="1">
        <v>132294915.09999999</v>
      </c>
      <c r="F2176" s="1">
        <v>3575788.24</v>
      </c>
      <c r="G2176" s="1">
        <v>1868781</v>
      </c>
      <c r="H2176" s="1">
        <v>70.792091260000007</v>
      </c>
    </row>
    <row r="2177" spans="1:8" ht="15.75" thickBot="1" x14ac:dyDescent="0.3">
      <c r="A2177" s="1">
        <v>2017</v>
      </c>
      <c r="B2177" s="1" t="s">
        <v>30</v>
      </c>
      <c r="C2177" s="1" t="s">
        <v>21</v>
      </c>
      <c r="D2177" s="1" t="s">
        <v>31</v>
      </c>
      <c r="E2177" s="1">
        <v>451.09</v>
      </c>
      <c r="F2177" s="1">
        <v>18.670000000000002</v>
      </c>
      <c r="G2177" s="1">
        <v>18</v>
      </c>
      <c r="H2177" s="1">
        <v>25.060555560000001</v>
      </c>
    </row>
    <row r="2178" spans="1:8" ht="15.75" thickBot="1" x14ac:dyDescent="0.3">
      <c r="A2178" s="1">
        <v>2017</v>
      </c>
      <c r="B2178" s="1" t="s">
        <v>20</v>
      </c>
      <c r="C2178" s="1" t="s">
        <v>21</v>
      </c>
      <c r="D2178" s="1" t="s">
        <v>31</v>
      </c>
      <c r="E2178" s="1">
        <v>73898.490000000005</v>
      </c>
      <c r="F2178" s="1">
        <v>3067.35</v>
      </c>
      <c r="G2178" s="1">
        <v>2949</v>
      </c>
      <c r="H2178" s="1">
        <v>25.058830109999999</v>
      </c>
    </row>
    <row r="2179" spans="1:8" ht="15.75" thickBot="1" x14ac:dyDescent="0.3">
      <c r="A2179" s="1">
        <v>2014</v>
      </c>
      <c r="B2179" s="1" t="s">
        <v>8</v>
      </c>
      <c r="C2179" s="1" t="s">
        <v>33</v>
      </c>
      <c r="D2179" s="1" t="s">
        <v>32</v>
      </c>
      <c r="E2179" s="1">
        <v>534.59</v>
      </c>
      <c r="F2179" s="1">
        <v>12.53</v>
      </c>
      <c r="G2179" s="1">
        <v>13</v>
      </c>
      <c r="H2179" s="1">
        <v>41.12230769</v>
      </c>
    </row>
    <row r="2180" spans="1:8" ht="15.75" thickBot="1" x14ac:dyDescent="0.3">
      <c r="A2180" s="1">
        <v>2014</v>
      </c>
      <c r="B2180" s="1" t="s">
        <v>35</v>
      </c>
      <c r="C2180" s="1" t="s">
        <v>15</v>
      </c>
      <c r="D2180" s="1" t="s">
        <v>19</v>
      </c>
      <c r="E2180" s="1">
        <v>37242.339999999997</v>
      </c>
      <c r="F2180" s="1">
        <v>1045.52</v>
      </c>
      <c r="G2180" s="1">
        <v>531</v>
      </c>
      <c r="H2180" s="1">
        <v>70.136233520000005</v>
      </c>
    </row>
    <row r="2181" spans="1:8" ht="15.75" thickBot="1" x14ac:dyDescent="0.3">
      <c r="A2181" s="1">
        <v>2017</v>
      </c>
      <c r="B2181" s="1" t="s">
        <v>17</v>
      </c>
      <c r="C2181" s="1" t="s">
        <v>9</v>
      </c>
      <c r="D2181" s="1" t="s">
        <v>10</v>
      </c>
      <c r="E2181" s="1">
        <v>52421.05</v>
      </c>
      <c r="F2181" s="1">
        <v>2474.02</v>
      </c>
      <c r="G2181" s="1">
        <v>26275</v>
      </c>
      <c r="H2181" s="1">
        <v>1.9950922929999999</v>
      </c>
    </row>
    <row r="2182" spans="1:8" ht="15.75" thickBot="1" x14ac:dyDescent="0.3">
      <c r="A2182" s="1">
        <v>2017</v>
      </c>
      <c r="B2182" s="1" t="s">
        <v>30</v>
      </c>
      <c r="C2182" s="1" t="s">
        <v>25</v>
      </c>
      <c r="D2182" s="1" t="s">
        <v>34</v>
      </c>
      <c r="E2182" s="1">
        <v>1040286.97</v>
      </c>
      <c r="F2182" s="1">
        <v>36199.160000000003</v>
      </c>
      <c r="G2182" s="1">
        <v>16048</v>
      </c>
      <c r="H2182" s="1">
        <v>64.823465229999996</v>
      </c>
    </row>
    <row r="2183" spans="1:8" ht="15.75" thickBot="1" x14ac:dyDescent="0.3">
      <c r="A2183" s="1">
        <v>2014</v>
      </c>
      <c r="B2183" s="1" t="s">
        <v>11</v>
      </c>
      <c r="C2183" s="1" t="s">
        <v>26</v>
      </c>
      <c r="D2183" s="1" t="s">
        <v>27</v>
      </c>
      <c r="E2183" s="1">
        <v>179376503.80000001</v>
      </c>
      <c r="F2183" s="1">
        <v>5000484.79</v>
      </c>
      <c r="G2183" s="1">
        <v>2449727</v>
      </c>
      <c r="H2183" s="1">
        <v>73.22305867</v>
      </c>
    </row>
    <row r="2184" spans="1:8" ht="15.75" thickBot="1" x14ac:dyDescent="0.3">
      <c r="A2184" s="1">
        <v>2016</v>
      </c>
      <c r="B2184" s="1" t="s">
        <v>40</v>
      </c>
      <c r="C2184" s="1" t="s">
        <v>12</v>
      </c>
      <c r="D2184" s="1" t="s">
        <v>19</v>
      </c>
      <c r="E2184" s="1">
        <v>38728.74</v>
      </c>
      <c r="F2184" s="1">
        <v>592.74</v>
      </c>
      <c r="G2184" s="1">
        <v>246</v>
      </c>
      <c r="H2184" s="1">
        <v>157.43390239999999</v>
      </c>
    </row>
    <row r="2185" spans="1:8" ht="15.75" thickBot="1" x14ac:dyDescent="0.3">
      <c r="A2185" s="1">
        <v>2017</v>
      </c>
      <c r="B2185" s="1" t="s">
        <v>20</v>
      </c>
      <c r="C2185" s="1" t="s">
        <v>9</v>
      </c>
      <c r="D2185" s="1" t="s">
        <v>22</v>
      </c>
      <c r="E2185" s="1">
        <v>0</v>
      </c>
      <c r="F2185" s="1">
        <v>0</v>
      </c>
      <c r="G2185" s="1">
        <v>2</v>
      </c>
      <c r="H2185" s="1">
        <v>0</v>
      </c>
    </row>
    <row r="2186" spans="1:8" ht="15.75" thickBot="1" x14ac:dyDescent="0.3">
      <c r="A2186" s="1">
        <v>2015</v>
      </c>
      <c r="B2186" s="1" t="s">
        <v>14</v>
      </c>
      <c r="C2186" s="1" t="s">
        <v>9</v>
      </c>
      <c r="D2186" s="1" t="s">
        <v>19</v>
      </c>
      <c r="E2186" s="1">
        <v>14508.26</v>
      </c>
      <c r="F2186" s="1">
        <v>469.01</v>
      </c>
      <c r="G2186" s="1">
        <v>11684</v>
      </c>
      <c r="H2186" s="1">
        <v>1.241720301</v>
      </c>
    </row>
    <row r="2187" spans="1:8" ht="15.75" thickBot="1" x14ac:dyDescent="0.3">
      <c r="A2187" s="1">
        <v>2015</v>
      </c>
      <c r="B2187" s="1" t="s">
        <v>14</v>
      </c>
      <c r="C2187" s="1" t="s">
        <v>33</v>
      </c>
      <c r="D2187" s="1" t="s">
        <v>24</v>
      </c>
      <c r="E2187" s="1">
        <v>27813064.25</v>
      </c>
      <c r="F2187" s="1">
        <v>926106.95</v>
      </c>
      <c r="G2187" s="1">
        <v>147025</v>
      </c>
      <c r="H2187" s="1">
        <v>189.1723465</v>
      </c>
    </row>
    <row r="2188" spans="1:8" ht="15.75" thickBot="1" x14ac:dyDescent="0.3">
      <c r="A2188" s="1">
        <v>2016</v>
      </c>
      <c r="B2188" s="1" t="s">
        <v>30</v>
      </c>
      <c r="C2188" s="1" t="s">
        <v>33</v>
      </c>
      <c r="D2188" s="1" t="s">
        <v>19</v>
      </c>
      <c r="E2188" s="1">
        <v>319214551.80000001</v>
      </c>
      <c r="F2188" s="1">
        <v>7723661.9800000004</v>
      </c>
      <c r="G2188" s="1">
        <v>2047352</v>
      </c>
      <c r="H2188" s="1">
        <v>155.91581310000001</v>
      </c>
    </row>
    <row r="2189" spans="1:8" ht="15.75" thickBot="1" x14ac:dyDescent="0.3">
      <c r="A2189" s="1">
        <v>2016</v>
      </c>
      <c r="B2189" s="1" t="s">
        <v>12</v>
      </c>
      <c r="C2189" s="1" t="s">
        <v>12</v>
      </c>
      <c r="D2189" s="1" t="s">
        <v>24</v>
      </c>
      <c r="E2189" s="1">
        <v>3147918.5</v>
      </c>
      <c r="F2189" s="1">
        <v>93591.65</v>
      </c>
      <c r="G2189" s="1">
        <v>9383</v>
      </c>
      <c r="H2189" s="1">
        <v>335.49168709999998</v>
      </c>
    </row>
    <row r="2190" spans="1:8" ht="15.75" thickBot="1" x14ac:dyDescent="0.3">
      <c r="A2190" s="1">
        <v>2016</v>
      </c>
      <c r="B2190" s="1" t="s">
        <v>20</v>
      </c>
      <c r="C2190" s="1" t="s">
        <v>33</v>
      </c>
      <c r="D2190" s="1" t="s">
        <v>13</v>
      </c>
      <c r="E2190" s="1">
        <v>111749.82</v>
      </c>
      <c r="F2190" s="1">
        <v>3042.55</v>
      </c>
      <c r="G2190" s="1">
        <v>2446</v>
      </c>
      <c r="H2190" s="1">
        <v>45.68676206</v>
      </c>
    </row>
    <row r="2191" spans="1:8" ht="15.75" thickBot="1" x14ac:dyDescent="0.3">
      <c r="A2191" s="1">
        <v>2016</v>
      </c>
      <c r="B2191" s="1" t="s">
        <v>14</v>
      </c>
      <c r="C2191" s="1" t="s">
        <v>12</v>
      </c>
      <c r="D2191" s="1" t="s">
        <v>29</v>
      </c>
      <c r="E2191" s="1">
        <v>13418352.789999999</v>
      </c>
      <c r="F2191" s="1">
        <v>428355.77</v>
      </c>
      <c r="G2191" s="1">
        <v>55828</v>
      </c>
      <c r="H2191" s="1">
        <v>240.35166570000001</v>
      </c>
    </row>
    <row r="2192" spans="1:8" ht="15.75" thickBot="1" x14ac:dyDescent="0.3">
      <c r="A2192" s="1">
        <v>2016</v>
      </c>
      <c r="B2192" s="1" t="s">
        <v>16</v>
      </c>
      <c r="C2192" s="1" t="s">
        <v>28</v>
      </c>
      <c r="D2192" s="1" t="s">
        <v>24</v>
      </c>
      <c r="E2192" s="1">
        <v>125024998.90000001</v>
      </c>
      <c r="F2192" s="1">
        <v>3953616.89</v>
      </c>
      <c r="G2192" s="1">
        <v>284605</v>
      </c>
      <c r="H2192" s="1">
        <v>439.2930513</v>
      </c>
    </row>
    <row r="2193" spans="1:8" ht="15.75" thickBot="1" x14ac:dyDescent="0.3">
      <c r="A2193" s="1">
        <v>2015</v>
      </c>
      <c r="B2193" s="1" t="s">
        <v>20</v>
      </c>
      <c r="C2193" s="1" t="s">
        <v>21</v>
      </c>
      <c r="D2193" s="1" t="s">
        <v>22</v>
      </c>
      <c r="E2193" s="1">
        <v>1449.56</v>
      </c>
      <c r="F2193" s="1">
        <v>38.49</v>
      </c>
      <c r="G2193" s="1">
        <v>76</v>
      </c>
      <c r="H2193" s="1">
        <v>19.073157890000001</v>
      </c>
    </row>
    <row r="2194" spans="1:8" ht="15.75" thickBot="1" x14ac:dyDescent="0.3">
      <c r="A2194" s="1">
        <v>2015</v>
      </c>
      <c r="B2194" s="1" t="s">
        <v>20</v>
      </c>
      <c r="C2194" s="1" t="s">
        <v>23</v>
      </c>
      <c r="D2194" s="1" t="s">
        <v>10</v>
      </c>
      <c r="E2194" s="1">
        <v>73892.09</v>
      </c>
      <c r="F2194" s="1">
        <v>2965.37</v>
      </c>
      <c r="G2194" s="1">
        <v>175680</v>
      </c>
      <c r="H2194" s="1">
        <v>0.42060615890000003</v>
      </c>
    </row>
    <row r="2195" spans="1:8" ht="15.75" thickBot="1" x14ac:dyDescent="0.3">
      <c r="A2195" s="1">
        <v>2015</v>
      </c>
      <c r="B2195" s="1" t="s">
        <v>12</v>
      </c>
      <c r="C2195" s="1" t="s">
        <v>23</v>
      </c>
      <c r="D2195" s="1" t="s">
        <v>32</v>
      </c>
      <c r="E2195" s="1">
        <v>1895312.21</v>
      </c>
      <c r="F2195" s="1">
        <v>75112.34</v>
      </c>
      <c r="G2195" s="1">
        <v>51233</v>
      </c>
      <c r="H2195" s="1">
        <v>36.993972829999997</v>
      </c>
    </row>
    <row r="2196" spans="1:8" ht="15.75" thickBot="1" x14ac:dyDescent="0.3">
      <c r="A2196" s="1">
        <v>2016</v>
      </c>
      <c r="B2196" s="1" t="s">
        <v>20</v>
      </c>
      <c r="C2196" s="1" t="s">
        <v>28</v>
      </c>
      <c r="D2196" s="1" t="s">
        <v>10</v>
      </c>
      <c r="E2196" s="1">
        <v>213333.98</v>
      </c>
      <c r="F2196" s="1">
        <v>8901.06</v>
      </c>
      <c r="G2196" s="1">
        <v>10223</v>
      </c>
      <c r="H2196" s="1">
        <v>20.868040690000001</v>
      </c>
    </row>
    <row r="2197" spans="1:8" ht="15.75" thickBot="1" x14ac:dyDescent="0.3">
      <c r="A2197" s="1">
        <v>2015</v>
      </c>
      <c r="B2197" s="1" t="s">
        <v>17</v>
      </c>
      <c r="C2197" s="1" t="s">
        <v>23</v>
      </c>
      <c r="D2197" s="1" t="s">
        <v>10</v>
      </c>
      <c r="E2197" s="1">
        <v>15613101.76</v>
      </c>
      <c r="F2197" s="1">
        <v>503512.22</v>
      </c>
      <c r="G2197" s="1">
        <v>291980</v>
      </c>
      <c r="H2197" s="1">
        <v>53.473189120000001</v>
      </c>
    </row>
    <row r="2198" spans="1:8" ht="15.75" thickBot="1" x14ac:dyDescent="0.3">
      <c r="A2198" s="1">
        <v>2016</v>
      </c>
      <c r="B2198" s="1" t="s">
        <v>14</v>
      </c>
      <c r="C2198" s="1" t="s">
        <v>25</v>
      </c>
      <c r="D2198" s="1" t="s">
        <v>19</v>
      </c>
      <c r="E2198" s="1">
        <v>52252869.979999997</v>
      </c>
      <c r="F2198" s="1">
        <v>1668626.52</v>
      </c>
      <c r="G2198" s="1">
        <v>482614</v>
      </c>
      <c r="H2198" s="1">
        <v>108.27052260000001</v>
      </c>
    </row>
    <row r="2199" spans="1:8" ht="15.75" thickBot="1" x14ac:dyDescent="0.3">
      <c r="A2199" s="1">
        <v>2016</v>
      </c>
      <c r="B2199" s="1" t="s">
        <v>12</v>
      </c>
      <c r="C2199" s="1" t="s">
        <v>9</v>
      </c>
      <c r="D2199" s="1" t="s">
        <v>27</v>
      </c>
      <c r="E2199" s="1">
        <v>48121.24</v>
      </c>
      <c r="F2199" s="1">
        <v>1498.65</v>
      </c>
      <c r="G2199" s="1">
        <v>3199</v>
      </c>
      <c r="H2199" s="1">
        <v>15.042588309999999</v>
      </c>
    </row>
    <row r="2200" spans="1:8" ht="15.75" thickBot="1" x14ac:dyDescent="0.3">
      <c r="A2200" s="1">
        <v>2017</v>
      </c>
      <c r="B2200" s="1" t="s">
        <v>30</v>
      </c>
      <c r="C2200" s="1" t="s">
        <v>23</v>
      </c>
      <c r="D2200" s="1" t="s">
        <v>27</v>
      </c>
      <c r="E2200" s="1">
        <v>609689175.39999998</v>
      </c>
      <c r="F2200" s="1">
        <v>24068442.710000001</v>
      </c>
      <c r="G2200" s="1">
        <v>13927519</v>
      </c>
      <c r="H2200" s="1">
        <v>43.77586384</v>
      </c>
    </row>
    <row r="2201" spans="1:8" ht="15.75" thickBot="1" x14ac:dyDescent="0.3">
      <c r="A2201" s="1">
        <v>2016</v>
      </c>
      <c r="B2201" s="1" t="s">
        <v>35</v>
      </c>
      <c r="C2201" s="1" t="s">
        <v>18</v>
      </c>
      <c r="D2201" s="1" t="s">
        <v>24</v>
      </c>
      <c r="E2201" s="1">
        <v>2659.29</v>
      </c>
      <c r="F2201" s="1">
        <v>76.83</v>
      </c>
      <c r="G2201" s="1">
        <v>23</v>
      </c>
      <c r="H2201" s="1">
        <v>115.62130430000001</v>
      </c>
    </row>
    <row r="2202" spans="1:8" ht="15.75" thickBot="1" x14ac:dyDescent="0.3">
      <c r="A2202" s="1">
        <v>2014</v>
      </c>
      <c r="B2202" s="1" t="s">
        <v>16</v>
      </c>
      <c r="C2202" s="1" t="s">
        <v>15</v>
      </c>
      <c r="D2202" s="1" t="s">
        <v>22</v>
      </c>
      <c r="E2202" s="1">
        <v>95349.74</v>
      </c>
      <c r="F2202" s="1">
        <v>2980.04</v>
      </c>
      <c r="G2202" s="1">
        <v>5759</v>
      </c>
      <c r="H2202" s="1">
        <v>16.556648719999998</v>
      </c>
    </row>
    <row r="2203" spans="1:8" ht="15.75" thickBot="1" x14ac:dyDescent="0.3">
      <c r="A2203" s="1">
        <v>2015</v>
      </c>
      <c r="B2203" s="1" t="s">
        <v>8</v>
      </c>
      <c r="C2203" s="1" t="s">
        <v>25</v>
      </c>
      <c r="D2203" s="1" t="s">
        <v>19</v>
      </c>
      <c r="E2203" s="1">
        <v>2481.31</v>
      </c>
      <c r="F2203" s="1">
        <v>29.23</v>
      </c>
      <c r="G2203" s="1">
        <v>42</v>
      </c>
      <c r="H2203" s="1">
        <v>59.07880952</v>
      </c>
    </row>
    <row r="2204" spans="1:8" ht="15.75" thickBot="1" x14ac:dyDescent="0.3">
      <c r="A2204" s="1">
        <v>2017</v>
      </c>
      <c r="B2204" s="1" t="s">
        <v>20</v>
      </c>
      <c r="C2204" s="1" t="s">
        <v>21</v>
      </c>
      <c r="D2204" s="1" t="s">
        <v>24</v>
      </c>
      <c r="E2204" s="1">
        <v>1568086.5</v>
      </c>
      <c r="F2204" s="1">
        <v>55488.9</v>
      </c>
      <c r="G2204" s="1">
        <v>16952</v>
      </c>
      <c r="H2204" s="1">
        <v>92.501563239999996</v>
      </c>
    </row>
    <row r="2205" spans="1:8" ht="15.75" thickBot="1" x14ac:dyDescent="0.3">
      <c r="A2205" s="1">
        <v>2017</v>
      </c>
      <c r="B2205" s="1" t="s">
        <v>30</v>
      </c>
      <c r="C2205" s="1" t="s">
        <v>9</v>
      </c>
      <c r="D2205" s="1" t="s">
        <v>37</v>
      </c>
      <c r="E2205" s="1">
        <v>585</v>
      </c>
      <c r="F2205" s="1">
        <v>21.76</v>
      </c>
      <c r="G2205" s="1">
        <v>14</v>
      </c>
      <c r="H2205" s="1">
        <v>41.785714290000001</v>
      </c>
    </row>
    <row r="2206" spans="1:8" ht="15.75" thickBot="1" x14ac:dyDescent="0.3">
      <c r="A2206" s="1">
        <v>2014</v>
      </c>
      <c r="B2206" s="1" t="s">
        <v>17</v>
      </c>
      <c r="C2206" s="1" t="s">
        <v>26</v>
      </c>
      <c r="D2206" s="1" t="s">
        <v>29</v>
      </c>
      <c r="E2206" s="1">
        <v>7116688.1100000003</v>
      </c>
      <c r="F2206" s="1">
        <v>231286.8</v>
      </c>
      <c r="G2206" s="1">
        <v>25510</v>
      </c>
      <c r="H2206" s="1">
        <v>278.97640569999999</v>
      </c>
    </row>
    <row r="2207" spans="1:8" ht="15.75" thickBot="1" x14ac:dyDescent="0.3">
      <c r="A2207" s="1">
        <v>2014</v>
      </c>
      <c r="B2207" s="1" t="s">
        <v>12</v>
      </c>
      <c r="C2207" s="1" t="s">
        <v>9</v>
      </c>
      <c r="D2207" s="1" t="s">
        <v>13</v>
      </c>
      <c r="E2207" s="1">
        <v>0</v>
      </c>
      <c r="F2207" s="1">
        <v>0</v>
      </c>
      <c r="G2207" s="1">
        <v>3</v>
      </c>
      <c r="H2207" s="1">
        <v>0</v>
      </c>
    </row>
    <row r="2208" spans="1:8" ht="15.75" thickBot="1" x14ac:dyDescent="0.3">
      <c r="A2208" s="1">
        <v>2016</v>
      </c>
      <c r="B2208" s="1" t="s">
        <v>16</v>
      </c>
      <c r="C2208" s="1" t="s">
        <v>12</v>
      </c>
      <c r="D2208" s="1" t="s">
        <v>22</v>
      </c>
      <c r="E2208" s="1">
        <v>33459.17</v>
      </c>
      <c r="F2208" s="1">
        <v>1088.53</v>
      </c>
      <c r="G2208" s="1">
        <v>1723</v>
      </c>
      <c r="H2208" s="1">
        <v>19.419135229999998</v>
      </c>
    </row>
    <row r="2209" spans="1:8" ht="15.75" thickBot="1" x14ac:dyDescent="0.3">
      <c r="A2209" s="1">
        <v>2016</v>
      </c>
      <c r="B2209" s="1" t="s">
        <v>30</v>
      </c>
      <c r="C2209" s="1" t="s">
        <v>12</v>
      </c>
      <c r="D2209" s="1" t="s">
        <v>24</v>
      </c>
      <c r="E2209" s="1">
        <v>24864600.41</v>
      </c>
      <c r="F2209" s="1">
        <v>779032.81</v>
      </c>
      <c r="G2209" s="1">
        <v>138511</v>
      </c>
      <c r="H2209" s="1">
        <v>179.5135434</v>
      </c>
    </row>
    <row r="2210" spans="1:8" ht="15.75" thickBot="1" x14ac:dyDescent="0.3">
      <c r="A2210" s="1">
        <v>2015</v>
      </c>
      <c r="B2210" s="1" t="s">
        <v>11</v>
      </c>
      <c r="C2210" s="1" t="s">
        <v>9</v>
      </c>
      <c r="D2210" s="1" t="s">
        <v>19</v>
      </c>
      <c r="E2210" s="1">
        <v>599.84</v>
      </c>
      <c r="F2210" s="1">
        <v>25.64</v>
      </c>
      <c r="G2210" s="1">
        <v>436</v>
      </c>
      <c r="H2210" s="1">
        <v>1.375779817</v>
      </c>
    </row>
    <row r="2211" spans="1:8" ht="15.75" thickBot="1" x14ac:dyDescent="0.3">
      <c r="A2211" s="1">
        <v>2016</v>
      </c>
      <c r="B2211" s="1" t="s">
        <v>20</v>
      </c>
      <c r="C2211" s="1" t="s">
        <v>25</v>
      </c>
      <c r="D2211" s="1" t="s">
        <v>31</v>
      </c>
      <c r="E2211" s="1">
        <v>47080.06</v>
      </c>
      <c r="F2211" s="1">
        <v>1979.51</v>
      </c>
      <c r="G2211" s="1">
        <v>1828</v>
      </c>
      <c r="H2211" s="1">
        <v>25.754956239999999</v>
      </c>
    </row>
    <row r="2212" spans="1:8" ht="15.75" thickBot="1" x14ac:dyDescent="0.3">
      <c r="A2212" s="1">
        <v>2014</v>
      </c>
      <c r="B2212" s="1" t="s">
        <v>14</v>
      </c>
      <c r="C2212" s="1" t="s">
        <v>28</v>
      </c>
      <c r="D2212" s="1" t="s">
        <v>19</v>
      </c>
      <c r="E2212" s="1">
        <v>150373085.19999999</v>
      </c>
      <c r="F2212" s="1">
        <v>4770952.71</v>
      </c>
      <c r="G2212" s="1">
        <v>928603</v>
      </c>
      <c r="H2212" s="1">
        <v>161.93473990000001</v>
      </c>
    </row>
    <row r="2213" spans="1:8" ht="15.75" thickBot="1" x14ac:dyDescent="0.3">
      <c r="A2213" s="1">
        <v>2016</v>
      </c>
      <c r="B2213" s="1" t="s">
        <v>30</v>
      </c>
      <c r="C2213" s="1" t="s">
        <v>18</v>
      </c>
      <c r="D2213" s="1" t="s">
        <v>32</v>
      </c>
      <c r="E2213" s="1">
        <v>7760751.4000000004</v>
      </c>
      <c r="F2213" s="1">
        <v>281957.21999999997</v>
      </c>
      <c r="G2213" s="1">
        <v>143353</v>
      </c>
      <c r="H2213" s="1">
        <v>54.137349059999998</v>
      </c>
    </row>
    <row r="2214" spans="1:8" ht="15.75" thickBot="1" x14ac:dyDescent="0.3">
      <c r="A2214" s="1">
        <v>2016</v>
      </c>
      <c r="B2214" s="1" t="s">
        <v>8</v>
      </c>
      <c r="C2214" s="1" t="s">
        <v>26</v>
      </c>
      <c r="D2214" s="1" t="s">
        <v>27</v>
      </c>
      <c r="E2214" s="1">
        <v>20756.38</v>
      </c>
      <c r="F2214" s="1">
        <v>1030.46</v>
      </c>
      <c r="G2214" s="1">
        <v>1177</v>
      </c>
      <c r="H2214" s="1">
        <v>17.634987259999999</v>
      </c>
    </row>
    <row r="2215" spans="1:8" ht="15.75" thickBot="1" x14ac:dyDescent="0.3">
      <c r="A2215" s="1">
        <v>2015</v>
      </c>
      <c r="B2215" s="1" t="s">
        <v>8</v>
      </c>
      <c r="C2215" s="1" t="s">
        <v>28</v>
      </c>
      <c r="D2215" s="1" t="s">
        <v>27</v>
      </c>
      <c r="E2215" s="1">
        <v>21042.43</v>
      </c>
      <c r="F2215" s="1">
        <v>515.55999999999995</v>
      </c>
      <c r="G2215" s="1">
        <v>268</v>
      </c>
      <c r="H2215" s="1">
        <v>78.516529849999998</v>
      </c>
    </row>
    <row r="2216" spans="1:8" ht="15.75" thickBot="1" x14ac:dyDescent="0.3">
      <c r="A2216" s="1">
        <v>2015</v>
      </c>
      <c r="B2216" s="1" t="s">
        <v>35</v>
      </c>
      <c r="C2216" s="1" t="s">
        <v>9</v>
      </c>
      <c r="D2216" s="1" t="s">
        <v>29</v>
      </c>
      <c r="E2216" s="1">
        <v>11921.65</v>
      </c>
      <c r="F2216" s="1">
        <v>46.11</v>
      </c>
      <c r="G2216" s="1">
        <v>59</v>
      </c>
      <c r="H2216" s="1">
        <v>202.06186439999999</v>
      </c>
    </row>
    <row r="2217" spans="1:8" ht="15.75" thickBot="1" x14ac:dyDescent="0.3">
      <c r="A2217" s="1">
        <v>2017</v>
      </c>
      <c r="B2217" s="1" t="s">
        <v>12</v>
      </c>
      <c r="C2217" s="1" t="s">
        <v>9</v>
      </c>
      <c r="D2217" s="1" t="s">
        <v>27</v>
      </c>
      <c r="E2217" s="1">
        <v>2703372.58</v>
      </c>
      <c r="F2217" s="1">
        <v>98318.12</v>
      </c>
      <c r="G2217" s="1">
        <v>58245</v>
      </c>
      <c r="H2217" s="1">
        <v>46.41381372</v>
      </c>
    </row>
    <row r="2218" spans="1:8" ht="15.75" thickBot="1" x14ac:dyDescent="0.3">
      <c r="A2218" s="1">
        <v>2017</v>
      </c>
      <c r="B2218" s="1" t="s">
        <v>16</v>
      </c>
      <c r="C2218" s="1" t="s">
        <v>21</v>
      </c>
      <c r="D2218" s="1" t="s">
        <v>22</v>
      </c>
      <c r="E2218" s="1">
        <v>324477.09000000003</v>
      </c>
      <c r="F2218" s="1">
        <v>11314.22</v>
      </c>
      <c r="G2218" s="1">
        <v>16491</v>
      </c>
      <c r="H2218" s="1">
        <v>19.676010550000001</v>
      </c>
    </row>
    <row r="2219" spans="1:8" ht="15.75" thickBot="1" x14ac:dyDescent="0.3">
      <c r="A2219" s="1">
        <v>2016</v>
      </c>
      <c r="B2219" s="1" t="s">
        <v>11</v>
      </c>
      <c r="C2219" s="1" t="s">
        <v>25</v>
      </c>
      <c r="D2219" s="1" t="s">
        <v>32</v>
      </c>
      <c r="E2219" s="1">
        <v>165677895.90000001</v>
      </c>
      <c r="F2219" s="1">
        <v>5973069.75</v>
      </c>
      <c r="G2219" s="1">
        <v>4799418</v>
      </c>
      <c r="H2219" s="1">
        <v>34.520413910000002</v>
      </c>
    </row>
    <row r="2220" spans="1:8" ht="15.75" thickBot="1" x14ac:dyDescent="0.3">
      <c r="A2220" s="1">
        <v>2015</v>
      </c>
      <c r="B2220" s="1" t="s">
        <v>30</v>
      </c>
      <c r="C2220" s="1" t="s">
        <v>26</v>
      </c>
      <c r="D2220" s="1" t="s">
        <v>13</v>
      </c>
      <c r="E2220" s="1">
        <v>1128401.81</v>
      </c>
      <c r="F2220" s="1">
        <v>33329.089999999997</v>
      </c>
      <c r="G2220" s="1">
        <v>17573</v>
      </c>
      <c r="H2220" s="1">
        <v>64.212246629999996</v>
      </c>
    </row>
    <row r="2221" spans="1:8" ht="15.75" thickBot="1" x14ac:dyDescent="0.3">
      <c r="A2221" s="1">
        <v>2014</v>
      </c>
      <c r="B2221" s="1" t="s">
        <v>30</v>
      </c>
      <c r="C2221" s="1" t="s">
        <v>25</v>
      </c>
      <c r="D2221" s="1" t="s">
        <v>24</v>
      </c>
      <c r="E2221" s="1">
        <v>26422858.829999998</v>
      </c>
      <c r="F2221" s="1">
        <v>821893.27</v>
      </c>
      <c r="G2221" s="1">
        <v>179166</v>
      </c>
      <c r="H2221" s="1">
        <v>147.47697009999999</v>
      </c>
    </row>
    <row r="2222" spans="1:8" ht="15.75" thickBot="1" x14ac:dyDescent="0.3">
      <c r="A2222" s="1">
        <v>2014</v>
      </c>
      <c r="B2222" s="1" t="s">
        <v>12</v>
      </c>
      <c r="C2222" s="1" t="s">
        <v>21</v>
      </c>
      <c r="D2222" s="1" t="s">
        <v>22</v>
      </c>
      <c r="E2222" s="1">
        <v>221843.11</v>
      </c>
      <c r="F2222" s="1">
        <v>8550.7099999999991</v>
      </c>
      <c r="G2222" s="1">
        <v>12585</v>
      </c>
      <c r="H2222" s="1">
        <v>17.627581249999999</v>
      </c>
    </row>
    <row r="2223" spans="1:8" ht="15.75" thickBot="1" x14ac:dyDescent="0.3">
      <c r="A2223" s="1">
        <v>2014</v>
      </c>
      <c r="B2223" s="1" t="s">
        <v>11</v>
      </c>
      <c r="C2223" s="1" t="s">
        <v>28</v>
      </c>
      <c r="D2223" s="1" t="s">
        <v>32</v>
      </c>
      <c r="E2223" s="1">
        <v>125221614.8</v>
      </c>
      <c r="F2223" s="1">
        <v>3527350.91</v>
      </c>
      <c r="G2223" s="1">
        <v>1323500</v>
      </c>
      <c r="H2223" s="1">
        <v>94.613989239999995</v>
      </c>
    </row>
    <row r="2224" spans="1:8" ht="15.75" thickBot="1" x14ac:dyDescent="0.3">
      <c r="A2224" s="1">
        <v>2015</v>
      </c>
      <c r="B2224" s="1" t="s">
        <v>14</v>
      </c>
      <c r="C2224" s="1" t="s">
        <v>21</v>
      </c>
      <c r="D2224" s="1" t="s">
        <v>27</v>
      </c>
      <c r="E2224" s="1">
        <v>266500153.90000001</v>
      </c>
      <c r="F2224" s="1">
        <v>11515403.369999999</v>
      </c>
      <c r="G2224" s="1">
        <v>9093786</v>
      </c>
      <c r="H2224" s="1">
        <v>29.305742840000001</v>
      </c>
    </row>
    <row r="2225" spans="1:8" ht="15.75" thickBot="1" x14ac:dyDescent="0.3">
      <c r="A2225" s="1">
        <v>2014</v>
      </c>
      <c r="B2225" s="1" t="s">
        <v>30</v>
      </c>
      <c r="C2225" s="1" t="s">
        <v>9</v>
      </c>
      <c r="D2225" s="1" t="s">
        <v>32</v>
      </c>
      <c r="E2225" s="1">
        <v>46976634.5</v>
      </c>
      <c r="F2225" s="1">
        <v>1647458.07</v>
      </c>
      <c r="G2225" s="1">
        <v>712979</v>
      </c>
      <c r="H2225" s="1">
        <v>65.887823479999994</v>
      </c>
    </row>
    <row r="2226" spans="1:8" ht="15.75" thickBot="1" x14ac:dyDescent="0.3">
      <c r="A2226" s="1">
        <v>2015</v>
      </c>
      <c r="B2226" s="1" t="s">
        <v>20</v>
      </c>
      <c r="C2226" s="1" t="s">
        <v>33</v>
      </c>
      <c r="D2226" s="1" t="s">
        <v>10</v>
      </c>
      <c r="E2226" s="1">
        <v>395598.25</v>
      </c>
      <c r="F2226" s="1">
        <v>15354.97</v>
      </c>
      <c r="G2226" s="1">
        <v>11020</v>
      </c>
      <c r="H2226" s="1">
        <v>35.898207800000002</v>
      </c>
    </row>
    <row r="2227" spans="1:8" ht="15.75" thickBot="1" x14ac:dyDescent="0.3">
      <c r="A2227" s="1">
        <v>2017</v>
      </c>
      <c r="B2227" s="1" t="s">
        <v>8</v>
      </c>
      <c r="C2227" s="1" t="s">
        <v>18</v>
      </c>
      <c r="D2227" s="1" t="s">
        <v>19</v>
      </c>
      <c r="E2227" s="1">
        <v>21.18</v>
      </c>
      <c r="F2227" s="1">
        <v>0.61</v>
      </c>
      <c r="G2227" s="1">
        <v>2</v>
      </c>
      <c r="H2227" s="1">
        <v>10.59</v>
      </c>
    </row>
    <row r="2228" spans="1:8" ht="15.75" thickBot="1" x14ac:dyDescent="0.3">
      <c r="A2228" s="1">
        <v>2015</v>
      </c>
      <c r="B2228" s="1" t="s">
        <v>35</v>
      </c>
      <c r="C2228" s="1" t="s">
        <v>25</v>
      </c>
      <c r="D2228" s="1" t="s">
        <v>27</v>
      </c>
      <c r="E2228" s="1">
        <v>26699.21</v>
      </c>
      <c r="F2228" s="1">
        <v>931.59</v>
      </c>
      <c r="G2228" s="1">
        <v>687</v>
      </c>
      <c r="H2228" s="1">
        <v>38.863478890000003</v>
      </c>
    </row>
    <row r="2229" spans="1:8" ht="15.75" thickBot="1" x14ac:dyDescent="0.3">
      <c r="A2229" s="1">
        <v>2016</v>
      </c>
      <c r="B2229" s="1" t="s">
        <v>30</v>
      </c>
      <c r="C2229" s="1" t="s">
        <v>21</v>
      </c>
      <c r="D2229" s="1" t="s">
        <v>24</v>
      </c>
      <c r="E2229" s="1">
        <v>46814643.630000003</v>
      </c>
      <c r="F2229" s="1">
        <v>1521175.77</v>
      </c>
      <c r="G2229" s="1">
        <v>261182</v>
      </c>
      <c r="H2229" s="1">
        <v>179.24146239999999</v>
      </c>
    </row>
    <row r="2230" spans="1:8" ht="15.75" thickBot="1" x14ac:dyDescent="0.3">
      <c r="A2230" s="1">
        <v>2017</v>
      </c>
      <c r="B2230" s="1" t="s">
        <v>35</v>
      </c>
      <c r="C2230" s="1" t="s">
        <v>18</v>
      </c>
      <c r="D2230" s="1" t="s">
        <v>27</v>
      </c>
      <c r="E2230" s="1">
        <v>8993.67</v>
      </c>
      <c r="F2230" s="1">
        <v>196.99</v>
      </c>
      <c r="G2230" s="1">
        <v>78</v>
      </c>
      <c r="H2230" s="1">
        <v>115.3034615</v>
      </c>
    </row>
    <row r="2231" spans="1:8" ht="15.75" thickBot="1" x14ac:dyDescent="0.3">
      <c r="A2231" s="1">
        <v>2015</v>
      </c>
      <c r="B2231" s="1" t="s">
        <v>14</v>
      </c>
      <c r="C2231" s="1" t="s">
        <v>23</v>
      </c>
      <c r="D2231" s="1" t="s">
        <v>27</v>
      </c>
      <c r="E2231" s="1">
        <v>330580829.5</v>
      </c>
      <c r="F2231" s="1">
        <v>15121415.67</v>
      </c>
      <c r="G2231" s="1">
        <v>13407344</v>
      </c>
      <c r="H2231" s="1">
        <v>24.656697820000002</v>
      </c>
    </row>
    <row r="2232" spans="1:8" ht="15.75" thickBot="1" x14ac:dyDescent="0.3">
      <c r="A2232" s="1">
        <v>2014</v>
      </c>
      <c r="B2232" s="1" t="s">
        <v>11</v>
      </c>
      <c r="C2232" s="1" t="s">
        <v>15</v>
      </c>
      <c r="D2232" s="1" t="s">
        <v>27</v>
      </c>
      <c r="E2232" s="1">
        <v>140092655.40000001</v>
      </c>
      <c r="F2232" s="1">
        <v>3825822.67</v>
      </c>
      <c r="G2232" s="1">
        <v>1518581</v>
      </c>
      <c r="H2232" s="1">
        <v>92.252343100000004</v>
      </c>
    </row>
    <row r="2233" spans="1:8" ht="15.75" thickBot="1" x14ac:dyDescent="0.3">
      <c r="A2233" s="1">
        <v>2014</v>
      </c>
      <c r="B2233" s="1" t="s">
        <v>40</v>
      </c>
      <c r="C2233" s="1" t="s">
        <v>33</v>
      </c>
      <c r="D2233" s="1" t="s">
        <v>27</v>
      </c>
      <c r="E2233" s="1">
        <v>127157.6</v>
      </c>
      <c r="F2233" s="1">
        <v>3939.43</v>
      </c>
      <c r="G2233" s="1">
        <v>1233</v>
      </c>
      <c r="H2233" s="1">
        <v>103.12862939999999</v>
      </c>
    </row>
    <row r="2234" spans="1:8" ht="15.75" thickBot="1" x14ac:dyDescent="0.3">
      <c r="A2234" s="1">
        <v>2014</v>
      </c>
      <c r="B2234" s="1" t="s">
        <v>20</v>
      </c>
      <c r="C2234" s="1" t="s">
        <v>9</v>
      </c>
      <c r="D2234" s="1" t="s">
        <v>24</v>
      </c>
      <c r="E2234" s="1">
        <v>2420189.87</v>
      </c>
      <c r="F2234" s="1">
        <v>79191.67</v>
      </c>
      <c r="G2234" s="1">
        <v>20553</v>
      </c>
      <c r="H2234" s="1">
        <v>117.7536063</v>
      </c>
    </row>
    <row r="2235" spans="1:8" ht="15.75" thickBot="1" x14ac:dyDescent="0.3">
      <c r="A2235" s="1">
        <v>2016</v>
      </c>
      <c r="B2235" s="1" t="s">
        <v>12</v>
      </c>
      <c r="C2235" s="1" t="s">
        <v>9</v>
      </c>
      <c r="D2235" s="1" t="s">
        <v>27</v>
      </c>
      <c r="E2235" s="1">
        <v>3306486.14</v>
      </c>
      <c r="F2235" s="1">
        <v>121067.62</v>
      </c>
      <c r="G2235" s="1">
        <v>66609</v>
      </c>
      <c r="H2235" s="1">
        <v>49.640230899999999</v>
      </c>
    </row>
    <row r="2236" spans="1:8" ht="15.75" thickBot="1" x14ac:dyDescent="0.3">
      <c r="A2236" s="1">
        <v>2016</v>
      </c>
      <c r="B2236" s="1" t="s">
        <v>11</v>
      </c>
      <c r="C2236" s="1" t="s">
        <v>18</v>
      </c>
      <c r="D2236" s="1" t="s">
        <v>10</v>
      </c>
      <c r="E2236" s="1">
        <v>33240278.039999999</v>
      </c>
      <c r="F2236" s="1">
        <v>746602.26</v>
      </c>
      <c r="G2236" s="1">
        <v>478913</v>
      </c>
      <c r="H2236" s="1">
        <v>69.407758900000005</v>
      </c>
    </row>
    <row r="2237" spans="1:8" ht="15.75" thickBot="1" x14ac:dyDescent="0.3">
      <c r="A2237" s="1">
        <v>2014</v>
      </c>
      <c r="B2237" s="1" t="s">
        <v>17</v>
      </c>
      <c r="C2237" s="1" t="s">
        <v>18</v>
      </c>
      <c r="D2237" s="1" t="s">
        <v>29</v>
      </c>
      <c r="E2237" s="1">
        <v>1785168.46</v>
      </c>
      <c r="F2237" s="1">
        <v>52312.43</v>
      </c>
      <c r="G2237" s="1">
        <v>4583</v>
      </c>
      <c r="H2237" s="1">
        <v>389.51962909999997</v>
      </c>
    </row>
    <row r="2238" spans="1:8" ht="15.75" thickBot="1" x14ac:dyDescent="0.3">
      <c r="A2238" s="1">
        <v>2014</v>
      </c>
      <c r="B2238" s="1" t="s">
        <v>14</v>
      </c>
      <c r="C2238" s="1" t="s">
        <v>26</v>
      </c>
      <c r="D2238" s="1" t="s">
        <v>24</v>
      </c>
      <c r="E2238" s="1">
        <v>9796342.7599999998</v>
      </c>
      <c r="F2238" s="1">
        <v>362264.5</v>
      </c>
      <c r="G2238" s="1">
        <v>109957</v>
      </c>
      <c r="H2238" s="1">
        <v>89.092488520000003</v>
      </c>
    </row>
    <row r="2239" spans="1:8" ht="15.75" thickBot="1" x14ac:dyDescent="0.3">
      <c r="A2239" s="1">
        <v>2014</v>
      </c>
      <c r="B2239" s="1" t="s">
        <v>20</v>
      </c>
      <c r="C2239" s="1" t="s">
        <v>26</v>
      </c>
      <c r="D2239" s="1" t="s">
        <v>24</v>
      </c>
      <c r="E2239" s="1">
        <v>414738.55</v>
      </c>
      <c r="F2239" s="1">
        <v>15096.56</v>
      </c>
      <c r="G2239" s="1">
        <v>6289</v>
      </c>
      <c r="H2239" s="1">
        <v>65.946660840000007</v>
      </c>
    </row>
    <row r="2240" spans="1:8" ht="15.75" thickBot="1" x14ac:dyDescent="0.3">
      <c r="A2240" s="1">
        <v>2017</v>
      </c>
      <c r="B2240" s="1" t="s">
        <v>20</v>
      </c>
      <c r="C2240" s="1" t="s">
        <v>9</v>
      </c>
      <c r="D2240" s="1" t="s">
        <v>24</v>
      </c>
      <c r="E2240" s="1">
        <v>4264500.1900000004</v>
      </c>
      <c r="F2240" s="1">
        <v>139667.32999999999</v>
      </c>
      <c r="G2240" s="1">
        <v>34886</v>
      </c>
      <c r="H2240" s="1">
        <v>122.24101899999999</v>
      </c>
    </row>
    <row r="2241" spans="1:8" ht="15.75" thickBot="1" x14ac:dyDescent="0.3">
      <c r="A2241" s="1">
        <v>2017</v>
      </c>
      <c r="B2241" s="1" t="s">
        <v>8</v>
      </c>
      <c r="C2241" s="1" t="s">
        <v>23</v>
      </c>
      <c r="D2241" s="1" t="s">
        <v>32</v>
      </c>
      <c r="E2241" s="1">
        <v>2104.2399999999998</v>
      </c>
      <c r="F2241" s="1">
        <v>88.78</v>
      </c>
      <c r="G2241" s="1">
        <v>39</v>
      </c>
      <c r="H2241" s="1">
        <v>53.954871789999999</v>
      </c>
    </row>
    <row r="2242" spans="1:8" ht="15.75" thickBot="1" x14ac:dyDescent="0.3">
      <c r="A2242" s="1">
        <v>2017</v>
      </c>
      <c r="B2242" s="1" t="s">
        <v>40</v>
      </c>
      <c r="C2242" s="1" t="s">
        <v>28</v>
      </c>
      <c r="D2242" s="1" t="s">
        <v>36</v>
      </c>
      <c r="E2242" s="1">
        <v>300067.87</v>
      </c>
      <c r="F2242" s="1">
        <v>1400.32</v>
      </c>
      <c r="G2242" s="1">
        <v>8702</v>
      </c>
      <c r="H2242" s="1">
        <v>34.482632729999999</v>
      </c>
    </row>
    <row r="2243" spans="1:8" ht="15.75" thickBot="1" x14ac:dyDescent="0.3">
      <c r="A2243" s="1">
        <v>2015</v>
      </c>
      <c r="B2243" s="1" t="s">
        <v>11</v>
      </c>
      <c r="C2243" s="1" t="s">
        <v>12</v>
      </c>
      <c r="D2243" s="1" t="s">
        <v>24</v>
      </c>
      <c r="E2243" s="1">
        <v>3393575.96</v>
      </c>
      <c r="F2243" s="1">
        <v>116879.81</v>
      </c>
      <c r="G2243" s="1">
        <v>13828</v>
      </c>
      <c r="H2243" s="1">
        <v>245.41336129999999</v>
      </c>
    </row>
    <row r="2244" spans="1:8" ht="15.75" thickBot="1" x14ac:dyDescent="0.3">
      <c r="A2244" s="1">
        <v>2015</v>
      </c>
      <c r="B2244" s="1" t="s">
        <v>40</v>
      </c>
      <c r="C2244" s="1" t="s">
        <v>25</v>
      </c>
      <c r="D2244" s="1" t="s">
        <v>19</v>
      </c>
      <c r="E2244" s="1">
        <v>34378.910000000003</v>
      </c>
      <c r="F2244" s="1">
        <v>646.53</v>
      </c>
      <c r="G2244" s="1">
        <v>282</v>
      </c>
      <c r="H2244" s="1">
        <v>121.91102840000001</v>
      </c>
    </row>
    <row r="2245" spans="1:8" ht="15.75" thickBot="1" x14ac:dyDescent="0.3">
      <c r="A2245" s="1">
        <v>2015</v>
      </c>
      <c r="B2245" s="1" t="s">
        <v>12</v>
      </c>
      <c r="C2245" s="1" t="s">
        <v>18</v>
      </c>
      <c r="D2245" s="1" t="s">
        <v>32</v>
      </c>
      <c r="E2245" s="1">
        <v>4547564.5199999996</v>
      </c>
      <c r="F2245" s="1">
        <v>150545.15</v>
      </c>
      <c r="G2245" s="1">
        <v>60692</v>
      </c>
      <c r="H2245" s="1">
        <v>74.92856587</v>
      </c>
    </row>
    <row r="2246" spans="1:8" ht="15.75" thickBot="1" x14ac:dyDescent="0.3">
      <c r="A2246" s="1">
        <v>2015</v>
      </c>
      <c r="B2246" s="1" t="s">
        <v>11</v>
      </c>
      <c r="C2246" s="1" t="s">
        <v>25</v>
      </c>
      <c r="D2246" s="1" t="s">
        <v>32</v>
      </c>
      <c r="E2246" s="1">
        <v>112281418.3</v>
      </c>
      <c r="F2246" s="1">
        <v>3642435.86</v>
      </c>
      <c r="G2246" s="1">
        <v>2307063</v>
      </c>
      <c r="H2246" s="1">
        <v>48.668553170000003</v>
      </c>
    </row>
    <row r="2247" spans="1:8" ht="15.75" thickBot="1" x14ac:dyDescent="0.3">
      <c r="A2247" s="1">
        <v>2017</v>
      </c>
      <c r="B2247" s="1" t="s">
        <v>35</v>
      </c>
      <c r="C2247" s="1" t="s">
        <v>26</v>
      </c>
      <c r="D2247" s="1" t="s">
        <v>27</v>
      </c>
      <c r="E2247" s="1">
        <v>12052.79</v>
      </c>
      <c r="F2247" s="1">
        <v>548.74</v>
      </c>
      <c r="G2247" s="1">
        <v>505</v>
      </c>
      <c r="H2247" s="1">
        <v>23.86691089</v>
      </c>
    </row>
    <row r="2248" spans="1:8" ht="15.75" thickBot="1" x14ac:dyDescent="0.3">
      <c r="A2248" s="1">
        <v>2017</v>
      </c>
      <c r="B2248" s="1" t="s">
        <v>14</v>
      </c>
      <c r="C2248" s="1" t="s">
        <v>26</v>
      </c>
      <c r="D2248" s="1" t="s">
        <v>32</v>
      </c>
      <c r="E2248" s="1">
        <v>57706467.43</v>
      </c>
      <c r="F2248" s="1">
        <v>2341851.19</v>
      </c>
      <c r="G2248" s="1">
        <v>1598788</v>
      </c>
      <c r="H2248" s="1">
        <v>36.093883259999998</v>
      </c>
    </row>
    <row r="2249" spans="1:8" ht="15.75" thickBot="1" x14ac:dyDescent="0.3">
      <c r="A2249" s="1">
        <v>2014</v>
      </c>
      <c r="B2249" s="1" t="s">
        <v>14</v>
      </c>
      <c r="C2249" s="1" t="s">
        <v>15</v>
      </c>
      <c r="D2249" s="1" t="s">
        <v>19</v>
      </c>
      <c r="E2249" s="1">
        <v>29108887.66</v>
      </c>
      <c r="F2249" s="1">
        <v>970771.93</v>
      </c>
      <c r="G2249" s="1">
        <v>168668</v>
      </c>
      <c r="H2249" s="1">
        <v>172.58097359999999</v>
      </c>
    </row>
    <row r="2250" spans="1:8" ht="15.75" thickBot="1" x14ac:dyDescent="0.3">
      <c r="A2250" s="1">
        <v>2016</v>
      </c>
      <c r="B2250" s="1" t="s">
        <v>16</v>
      </c>
      <c r="C2250" s="1" t="s">
        <v>28</v>
      </c>
      <c r="D2250" s="1" t="s">
        <v>32</v>
      </c>
      <c r="E2250" s="1">
        <v>124639805.90000001</v>
      </c>
      <c r="F2250" s="1">
        <v>4658747.84</v>
      </c>
      <c r="G2250" s="1">
        <v>2086709</v>
      </c>
      <c r="H2250" s="1">
        <v>59.730324600000003</v>
      </c>
    </row>
    <row r="2251" spans="1:8" ht="15.75" thickBot="1" x14ac:dyDescent="0.3">
      <c r="A2251" s="1">
        <v>2016</v>
      </c>
      <c r="B2251" s="1" t="s">
        <v>11</v>
      </c>
      <c r="C2251" s="1" t="s">
        <v>33</v>
      </c>
      <c r="D2251" s="1" t="s">
        <v>10</v>
      </c>
      <c r="E2251" s="1">
        <v>627164892</v>
      </c>
      <c r="F2251" s="1">
        <v>13023638.359999999</v>
      </c>
      <c r="G2251" s="1">
        <v>8637853</v>
      </c>
      <c r="H2251" s="1">
        <v>72.606571560000006</v>
      </c>
    </row>
    <row r="2252" spans="1:8" ht="15.75" thickBot="1" x14ac:dyDescent="0.3">
      <c r="A2252" s="1">
        <v>2017</v>
      </c>
      <c r="B2252" s="1" t="s">
        <v>11</v>
      </c>
      <c r="C2252" s="1" t="s">
        <v>26</v>
      </c>
      <c r="D2252" s="1" t="s">
        <v>13</v>
      </c>
      <c r="E2252" s="1">
        <v>4752985.8</v>
      </c>
      <c r="F2252" s="1">
        <v>141337.03</v>
      </c>
      <c r="G2252" s="1">
        <v>221144</v>
      </c>
      <c r="H2252" s="1">
        <v>21.49271877</v>
      </c>
    </row>
    <row r="2253" spans="1:8" ht="15.75" thickBot="1" x14ac:dyDescent="0.3">
      <c r="A2253" s="1">
        <v>2016</v>
      </c>
      <c r="B2253" s="1" t="s">
        <v>8</v>
      </c>
      <c r="C2253" s="1" t="s">
        <v>33</v>
      </c>
      <c r="D2253" s="1" t="s">
        <v>27</v>
      </c>
      <c r="E2253" s="1">
        <v>10587.15</v>
      </c>
      <c r="F2253" s="1">
        <v>458.88</v>
      </c>
      <c r="G2253" s="1">
        <v>498</v>
      </c>
      <c r="H2253" s="1">
        <v>21.259337349999999</v>
      </c>
    </row>
    <row r="2254" spans="1:8" ht="15.75" thickBot="1" x14ac:dyDescent="0.3">
      <c r="A2254" s="1">
        <v>2015</v>
      </c>
      <c r="B2254" s="1" t="s">
        <v>20</v>
      </c>
      <c r="C2254" s="1" t="s">
        <v>12</v>
      </c>
      <c r="D2254" s="1" t="s">
        <v>13</v>
      </c>
      <c r="E2254" s="1">
        <v>13381.03</v>
      </c>
      <c r="F2254" s="1">
        <v>512.70000000000005</v>
      </c>
      <c r="G2254" s="1">
        <v>420</v>
      </c>
      <c r="H2254" s="1">
        <v>31.859595240000001</v>
      </c>
    </row>
    <row r="2255" spans="1:8" ht="15.75" thickBot="1" x14ac:dyDescent="0.3">
      <c r="A2255" s="1">
        <v>2015</v>
      </c>
      <c r="B2255" s="1" t="s">
        <v>35</v>
      </c>
      <c r="C2255" s="1" t="s">
        <v>18</v>
      </c>
      <c r="D2255" s="1" t="s">
        <v>31</v>
      </c>
      <c r="E2255" s="1">
        <v>0</v>
      </c>
      <c r="F2255" s="1">
        <v>0</v>
      </c>
      <c r="G2255" s="1">
        <v>4</v>
      </c>
      <c r="H2255" s="1">
        <v>0</v>
      </c>
    </row>
    <row r="2256" spans="1:8" ht="15.75" thickBot="1" x14ac:dyDescent="0.3">
      <c r="A2256" s="1">
        <v>2014</v>
      </c>
      <c r="B2256" s="1" t="s">
        <v>20</v>
      </c>
      <c r="C2256" s="1" t="s">
        <v>28</v>
      </c>
      <c r="D2256" s="1" t="s">
        <v>10</v>
      </c>
      <c r="E2256" s="1">
        <v>92321.48</v>
      </c>
      <c r="F2256" s="1">
        <v>3581.76</v>
      </c>
      <c r="G2256" s="1">
        <v>3562</v>
      </c>
      <c r="H2256" s="1">
        <v>25.918439079999999</v>
      </c>
    </row>
    <row r="2257" spans="1:8" ht="15.75" thickBot="1" x14ac:dyDescent="0.3">
      <c r="A2257" s="1">
        <v>2017</v>
      </c>
      <c r="B2257" s="1" t="s">
        <v>12</v>
      </c>
      <c r="C2257" s="1" t="s">
        <v>18</v>
      </c>
      <c r="D2257" s="1" t="s">
        <v>34</v>
      </c>
      <c r="E2257" s="1">
        <v>1398.31</v>
      </c>
      <c r="F2257" s="1">
        <v>58.8</v>
      </c>
      <c r="G2257" s="1">
        <v>50</v>
      </c>
      <c r="H2257" s="1">
        <v>27.966200000000001</v>
      </c>
    </row>
    <row r="2258" spans="1:8" ht="15.75" thickBot="1" x14ac:dyDescent="0.3">
      <c r="A2258" s="1">
        <v>2015</v>
      </c>
      <c r="B2258" s="1" t="s">
        <v>40</v>
      </c>
      <c r="C2258" s="1" t="s">
        <v>28</v>
      </c>
      <c r="D2258" s="1" t="s">
        <v>27</v>
      </c>
      <c r="E2258" s="1">
        <v>66009.19</v>
      </c>
      <c r="F2258" s="1">
        <v>2011.25</v>
      </c>
      <c r="G2258" s="1">
        <v>774</v>
      </c>
      <c r="H2258" s="1">
        <v>85.283191209999998</v>
      </c>
    </row>
    <row r="2259" spans="1:8" ht="15.75" thickBot="1" x14ac:dyDescent="0.3">
      <c r="A2259" s="1">
        <v>2016</v>
      </c>
      <c r="B2259" s="1" t="s">
        <v>30</v>
      </c>
      <c r="C2259" s="1" t="s">
        <v>9</v>
      </c>
      <c r="D2259" s="1" t="s">
        <v>27</v>
      </c>
      <c r="E2259" s="1">
        <v>68662711.719999999</v>
      </c>
      <c r="F2259" s="1">
        <v>2388563.7999999998</v>
      </c>
      <c r="G2259" s="1">
        <v>985370</v>
      </c>
      <c r="H2259" s="1">
        <v>69.682161750000006</v>
      </c>
    </row>
    <row r="2260" spans="1:8" ht="15.75" thickBot="1" x14ac:dyDescent="0.3">
      <c r="A2260" s="1">
        <v>2016</v>
      </c>
      <c r="B2260" s="1" t="s">
        <v>30</v>
      </c>
      <c r="C2260" s="1" t="s">
        <v>12</v>
      </c>
      <c r="D2260" s="1" t="s">
        <v>29</v>
      </c>
      <c r="E2260" s="1">
        <v>9413049.3800000008</v>
      </c>
      <c r="F2260" s="1">
        <v>281439.74</v>
      </c>
      <c r="G2260" s="1">
        <v>45486</v>
      </c>
      <c r="H2260" s="1">
        <v>206.94388119999999</v>
      </c>
    </row>
    <row r="2261" spans="1:8" ht="15.75" thickBot="1" x14ac:dyDescent="0.3">
      <c r="A2261" s="1">
        <v>2017</v>
      </c>
      <c r="B2261" s="1" t="s">
        <v>12</v>
      </c>
      <c r="C2261" s="1" t="s">
        <v>9</v>
      </c>
      <c r="D2261" s="1" t="s">
        <v>10</v>
      </c>
      <c r="E2261" s="1">
        <v>8655.32</v>
      </c>
      <c r="F2261" s="1">
        <v>241.79</v>
      </c>
      <c r="G2261" s="1">
        <v>1959</v>
      </c>
      <c r="H2261" s="1">
        <v>4.4182337929999997</v>
      </c>
    </row>
    <row r="2262" spans="1:8" ht="15.75" thickBot="1" x14ac:dyDescent="0.3">
      <c r="A2262" s="1">
        <v>2017</v>
      </c>
      <c r="B2262" s="1" t="s">
        <v>35</v>
      </c>
      <c r="C2262" s="1" t="s">
        <v>9</v>
      </c>
      <c r="D2262" s="1" t="s">
        <v>24</v>
      </c>
      <c r="E2262" s="1">
        <v>6465.17</v>
      </c>
      <c r="F2262" s="1">
        <v>79.989999999999995</v>
      </c>
      <c r="G2262" s="1">
        <v>54</v>
      </c>
      <c r="H2262" s="1">
        <v>119.7253704</v>
      </c>
    </row>
    <row r="2263" spans="1:8" ht="15.75" thickBot="1" x14ac:dyDescent="0.3">
      <c r="A2263" s="1">
        <v>2017</v>
      </c>
      <c r="B2263" s="1" t="s">
        <v>11</v>
      </c>
      <c r="C2263" s="1" t="s">
        <v>9</v>
      </c>
      <c r="D2263" s="1" t="s">
        <v>29</v>
      </c>
      <c r="E2263" s="1">
        <v>2225831.37</v>
      </c>
      <c r="F2263" s="1">
        <v>52758.79</v>
      </c>
      <c r="G2263" s="1">
        <v>6053</v>
      </c>
      <c r="H2263" s="1">
        <v>367.72366929999998</v>
      </c>
    </row>
    <row r="2264" spans="1:8" ht="15.75" thickBot="1" x14ac:dyDescent="0.3">
      <c r="A2264" s="1">
        <v>2014</v>
      </c>
      <c r="B2264" s="1" t="s">
        <v>35</v>
      </c>
      <c r="C2264" s="1" t="s">
        <v>21</v>
      </c>
      <c r="D2264" s="1" t="s">
        <v>31</v>
      </c>
      <c r="E2264" s="1">
        <v>152.94999999999999</v>
      </c>
      <c r="F2264" s="1">
        <v>9.6</v>
      </c>
      <c r="G2264" s="1">
        <v>6</v>
      </c>
      <c r="H2264" s="1">
        <v>25.491666670000001</v>
      </c>
    </row>
    <row r="2265" spans="1:8" ht="15.75" thickBot="1" x14ac:dyDescent="0.3">
      <c r="A2265" s="1">
        <v>2016</v>
      </c>
      <c r="B2265" s="1" t="s">
        <v>12</v>
      </c>
      <c r="C2265" s="1" t="s">
        <v>21</v>
      </c>
      <c r="D2265" s="1" t="s">
        <v>29</v>
      </c>
      <c r="E2265" s="1">
        <v>2759300.83</v>
      </c>
      <c r="F2265" s="1">
        <v>86920.69</v>
      </c>
      <c r="G2265" s="1">
        <v>8123</v>
      </c>
      <c r="H2265" s="1">
        <v>339.68987199999998</v>
      </c>
    </row>
    <row r="2266" spans="1:8" ht="15.75" thickBot="1" x14ac:dyDescent="0.3">
      <c r="A2266" s="1">
        <v>2016</v>
      </c>
      <c r="B2266" s="1" t="s">
        <v>12</v>
      </c>
      <c r="C2266" s="1" t="s">
        <v>25</v>
      </c>
      <c r="D2266" s="1" t="s">
        <v>24</v>
      </c>
      <c r="E2266" s="1">
        <v>2616039.67</v>
      </c>
      <c r="F2266" s="1">
        <v>83508.36</v>
      </c>
      <c r="G2266" s="1">
        <v>9207</v>
      </c>
      <c r="H2266" s="1">
        <v>284.13594760000001</v>
      </c>
    </row>
    <row r="2267" spans="1:8" ht="15.75" thickBot="1" x14ac:dyDescent="0.3">
      <c r="A2267" s="1">
        <v>2017</v>
      </c>
      <c r="B2267" s="1" t="s">
        <v>20</v>
      </c>
      <c r="C2267" s="1" t="s">
        <v>26</v>
      </c>
      <c r="D2267" s="1" t="s">
        <v>27</v>
      </c>
      <c r="E2267" s="1">
        <v>7992834.5800000001</v>
      </c>
      <c r="F2267" s="1">
        <v>332276.69</v>
      </c>
      <c r="G2267" s="1">
        <v>270774</v>
      </c>
      <c r="H2267" s="1">
        <v>29.518471420000001</v>
      </c>
    </row>
    <row r="2268" spans="1:8" ht="15.75" thickBot="1" x14ac:dyDescent="0.3">
      <c r="A2268" s="1">
        <v>2015</v>
      </c>
      <c r="B2268" s="1" t="s">
        <v>17</v>
      </c>
      <c r="C2268" s="1" t="s">
        <v>23</v>
      </c>
      <c r="D2268" s="1" t="s">
        <v>27</v>
      </c>
      <c r="E2268" s="1">
        <v>438188338.80000001</v>
      </c>
      <c r="F2268" s="1">
        <v>15530918.98</v>
      </c>
      <c r="G2268" s="1">
        <v>7302094</v>
      </c>
      <c r="H2268" s="1">
        <v>60.00858642</v>
      </c>
    </row>
    <row r="2269" spans="1:8" ht="15.75" thickBot="1" x14ac:dyDescent="0.3">
      <c r="A2269" s="1">
        <v>2017</v>
      </c>
      <c r="B2269" s="1" t="s">
        <v>35</v>
      </c>
      <c r="C2269" s="1" t="s">
        <v>18</v>
      </c>
      <c r="D2269" s="1" t="s">
        <v>32</v>
      </c>
      <c r="E2269" s="1">
        <v>15377.16</v>
      </c>
      <c r="F2269" s="1">
        <v>410.39</v>
      </c>
      <c r="G2269" s="1">
        <v>590</v>
      </c>
      <c r="H2269" s="1">
        <v>26.06298305</v>
      </c>
    </row>
    <row r="2270" spans="1:8" ht="15.75" thickBot="1" x14ac:dyDescent="0.3">
      <c r="A2270" s="1">
        <v>2014</v>
      </c>
      <c r="B2270" s="1" t="s">
        <v>17</v>
      </c>
      <c r="C2270" s="1" t="s">
        <v>9</v>
      </c>
      <c r="D2270" s="1" t="s">
        <v>37</v>
      </c>
      <c r="E2270" s="1">
        <v>709758994</v>
      </c>
      <c r="F2270" s="1">
        <v>18677465.390000001</v>
      </c>
      <c r="G2270" s="1">
        <v>1575528</v>
      </c>
      <c r="H2270" s="1">
        <v>450.48960979999998</v>
      </c>
    </row>
    <row r="2271" spans="1:8" ht="15.75" thickBot="1" x14ac:dyDescent="0.3">
      <c r="A2271" s="1">
        <v>2014</v>
      </c>
      <c r="B2271" s="1" t="s">
        <v>8</v>
      </c>
      <c r="C2271" s="1" t="s">
        <v>23</v>
      </c>
      <c r="D2271" s="1" t="s">
        <v>24</v>
      </c>
      <c r="E2271" s="1">
        <v>343.94</v>
      </c>
      <c r="F2271" s="1">
        <v>10.87</v>
      </c>
      <c r="G2271" s="1">
        <v>3</v>
      </c>
      <c r="H2271" s="1">
        <v>114.6466667</v>
      </c>
    </row>
    <row r="2272" spans="1:8" ht="15.75" thickBot="1" x14ac:dyDescent="0.3">
      <c r="A2272" s="1">
        <v>2014</v>
      </c>
      <c r="B2272" s="1" t="s">
        <v>30</v>
      </c>
      <c r="C2272" s="1" t="s">
        <v>26</v>
      </c>
      <c r="D2272" s="1" t="s">
        <v>29</v>
      </c>
      <c r="E2272" s="1">
        <v>5501841.21</v>
      </c>
      <c r="F2272" s="1">
        <v>180846.97</v>
      </c>
      <c r="G2272" s="1">
        <v>35944</v>
      </c>
      <c r="H2272" s="1">
        <v>153.06702680000001</v>
      </c>
    </row>
    <row r="2273" spans="1:8" ht="15.75" thickBot="1" x14ac:dyDescent="0.3">
      <c r="A2273" s="1">
        <v>2017</v>
      </c>
      <c r="B2273" s="1" t="s">
        <v>30</v>
      </c>
      <c r="C2273" s="1" t="s">
        <v>25</v>
      </c>
      <c r="D2273" s="1" t="s">
        <v>27</v>
      </c>
      <c r="E2273" s="1">
        <v>671724647.60000002</v>
      </c>
      <c r="F2273" s="1">
        <v>25074614.949999999</v>
      </c>
      <c r="G2273" s="1">
        <v>11443549</v>
      </c>
      <c r="H2273" s="1">
        <v>58.698979450000003</v>
      </c>
    </row>
    <row r="2274" spans="1:8" ht="15.75" thickBot="1" x14ac:dyDescent="0.3">
      <c r="A2274" s="1">
        <v>2017</v>
      </c>
      <c r="B2274" s="1" t="s">
        <v>16</v>
      </c>
      <c r="C2274" s="1" t="s">
        <v>23</v>
      </c>
      <c r="D2274" s="1" t="s">
        <v>22</v>
      </c>
      <c r="E2274" s="1">
        <v>44156.01</v>
      </c>
      <c r="F2274" s="1">
        <v>1520.86</v>
      </c>
      <c r="G2274" s="1">
        <v>2266</v>
      </c>
      <c r="H2274" s="1">
        <v>19.48632392</v>
      </c>
    </row>
    <row r="2275" spans="1:8" ht="15.75" thickBot="1" x14ac:dyDescent="0.3">
      <c r="A2275" s="1">
        <v>2017</v>
      </c>
      <c r="B2275" s="1" t="s">
        <v>14</v>
      </c>
      <c r="C2275" s="1" t="s">
        <v>26</v>
      </c>
      <c r="D2275" s="1" t="s">
        <v>31</v>
      </c>
      <c r="E2275" s="1">
        <v>1385786.1</v>
      </c>
      <c r="F2275" s="1">
        <v>54474.91</v>
      </c>
      <c r="G2275" s="1">
        <v>33883</v>
      </c>
      <c r="H2275" s="1">
        <v>40.899155919999998</v>
      </c>
    </row>
    <row r="2276" spans="1:8" ht="15.75" thickBot="1" x14ac:dyDescent="0.3">
      <c r="A2276" s="1">
        <v>2017</v>
      </c>
      <c r="B2276" s="1" t="s">
        <v>17</v>
      </c>
      <c r="C2276" s="1" t="s">
        <v>28</v>
      </c>
      <c r="D2276" s="1" t="s">
        <v>31</v>
      </c>
      <c r="E2276" s="1">
        <v>25367325.280000001</v>
      </c>
      <c r="F2276" s="1">
        <v>805335.48</v>
      </c>
      <c r="G2276" s="1">
        <v>356230</v>
      </c>
      <c r="H2276" s="1">
        <v>71.210524890000002</v>
      </c>
    </row>
    <row r="2277" spans="1:8" ht="15.75" thickBot="1" x14ac:dyDescent="0.3">
      <c r="A2277" s="1">
        <v>2017</v>
      </c>
      <c r="B2277" s="1" t="s">
        <v>14</v>
      </c>
      <c r="C2277" s="1" t="s">
        <v>28</v>
      </c>
      <c r="D2277" s="1" t="s">
        <v>13</v>
      </c>
      <c r="E2277" s="1">
        <v>6670440.7300000004</v>
      </c>
      <c r="F2277" s="1">
        <v>109777.58</v>
      </c>
      <c r="G2277" s="1">
        <v>108277</v>
      </c>
      <c r="H2277" s="1">
        <v>61.605333819999998</v>
      </c>
    </row>
    <row r="2278" spans="1:8" ht="15.75" thickBot="1" x14ac:dyDescent="0.3">
      <c r="A2278" s="1">
        <v>2014</v>
      </c>
      <c r="B2278" s="1" t="s">
        <v>35</v>
      </c>
      <c r="C2278" s="1" t="s">
        <v>23</v>
      </c>
      <c r="D2278" s="1" t="s">
        <v>24</v>
      </c>
      <c r="E2278" s="1">
        <v>6213.85</v>
      </c>
      <c r="F2278" s="1">
        <v>136.57</v>
      </c>
      <c r="G2278" s="1">
        <v>7</v>
      </c>
      <c r="H2278" s="1">
        <v>887.69285709999997</v>
      </c>
    </row>
    <row r="2279" spans="1:8" ht="15.75" thickBot="1" x14ac:dyDescent="0.3">
      <c r="A2279" s="1">
        <v>2014</v>
      </c>
      <c r="B2279" s="1" t="s">
        <v>12</v>
      </c>
      <c r="C2279" s="1" t="s">
        <v>9</v>
      </c>
      <c r="D2279" s="1" t="s">
        <v>29</v>
      </c>
      <c r="E2279" s="1">
        <v>4054800.16</v>
      </c>
      <c r="F2279" s="1">
        <v>125761.33</v>
      </c>
      <c r="G2279" s="1">
        <v>13566</v>
      </c>
      <c r="H2279" s="1">
        <v>298.8943064</v>
      </c>
    </row>
    <row r="2280" spans="1:8" ht="15.75" thickBot="1" x14ac:dyDescent="0.3">
      <c r="A2280" s="1">
        <v>2017</v>
      </c>
      <c r="B2280" s="1" t="s">
        <v>11</v>
      </c>
      <c r="C2280" s="1" t="s">
        <v>15</v>
      </c>
      <c r="D2280" s="1" t="s">
        <v>27</v>
      </c>
      <c r="E2280" s="1">
        <v>157029679.19999999</v>
      </c>
      <c r="F2280" s="1">
        <v>4400383.5999999996</v>
      </c>
      <c r="G2280" s="1">
        <v>2315234</v>
      </c>
      <c r="H2280" s="1">
        <v>67.824539200000004</v>
      </c>
    </row>
    <row r="2281" spans="1:8" ht="15.75" thickBot="1" x14ac:dyDescent="0.3">
      <c r="A2281" s="1">
        <v>2017</v>
      </c>
      <c r="B2281" s="1" t="s">
        <v>40</v>
      </c>
      <c r="C2281" s="1" t="s">
        <v>28</v>
      </c>
      <c r="D2281" s="1" t="s">
        <v>31</v>
      </c>
      <c r="E2281" s="1">
        <v>583.97</v>
      </c>
      <c r="F2281" s="1">
        <v>23.29</v>
      </c>
      <c r="G2281" s="1">
        <v>21</v>
      </c>
      <c r="H2281" s="1">
        <v>27.80809524</v>
      </c>
    </row>
    <row r="2282" spans="1:8" ht="15.75" thickBot="1" x14ac:dyDescent="0.3">
      <c r="A2282" s="1">
        <v>2015</v>
      </c>
      <c r="B2282" s="1" t="s">
        <v>12</v>
      </c>
      <c r="C2282" s="1" t="s">
        <v>12</v>
      </c>
      <c r="D2282" s="1" t="s">
        <v>29</v>
      </c>
      <c r="E2282" s="1">
        <v>3128330.08</v>
      </c>
      <c r="F2282" s="1">
        <v>96212.63</v>
      </c>
      <c r="G2282" s="1">
        <v>8319</v>
      </c>
      <c r="H2282" s="1">
        <v>376.04640940000002</v>
      </c>
    </row>
    <row r="2283" spans="1:8" ht="15.75" thickBot="1" x14ac:dyDescent="0.3">
      <c r="A2283" s="1">
        <v>2014</v>
      </c>
      <c r="B2283" s="1" t="s">
        <v>11</v>
      </c>
      <c r="C2283" s="1" t="s">
        <v>9</v>
      </c>
      <c r="D2283" s="1" t="s">
        <v>13</v>
      </c>
      <c r="E2283" s="1">
        <v>67.98</v>
      </c>
      <c r="F2283" s="1">
        <v>1.59</v>
      </c>
      <c r="G2283" s="1">
        <v>2</v>
      </c>
      <c r="H2283" s="1">
        <v>33.99</v>
      </c>
    </row>
    <row r="2284" spans="1:8" ht="15.75" thickBot="1" x14ac:dyDescent="0.3">
      <c r="A2284" s="1">
        <v>2016</v>
      </c>
      <c r="B2284" s="1" t="s">
        <v>30</v>
      </c>
      <c r="C2284" s="1" t="s">
        <v>15</v>
      </c>
      <c r="D2284" s="1" t="s">
        <v>13</v>
      </c>
      <c r="E2284" s="1">
        <v>1924145.6</v>
      </c>
      <c r="F2284" s="1">
        <v>49419.09</v>
      </c>
      <c r="G2284" s="1">
        <v>24180</v>
      </c>
      <c r="H2284" s="1">
        <v>79.575913979999996</v>
      </c>
    </row>
    <row r="2285" spans="1:8" ht="15.75" thickBot="1" x14ac:dyDescent="0.3">
      <c r="A2285" s="1">
        <v>2014</v>
      </c>
      <c r="B2285" s="1" t="s">
        <v>12</v>
      </c>
      <c r="C2285" s="1" t="s">
        <v>21</v>
      </c>
      <c r="D2285" s="1" t="s">
        <v>31</v>
      </c>
      <c r="E2285" s="1">
        <v>354537.35</v>
      </c>
      <c r="F2285" s="1">
        <v>11165.74</v>
      </c>
      <c r="G2285" s="1">
        <v>6132</v>
      </c>
      <c r="H2285" s="1">
        <v>57.817571749999999</v>
      </c>
    </row>
    <row r="2286" spans="1:8" ht="15.75" thickBot="1" x14ac:dyDescent="0.3">
      <c r="A2286" s="1">
        <v>2017</v>
      </c>
      <c r="B2286" s="1" t="s">
        <v>16</v>
      </c>
      <c r="C2286" s="1" t="s">
        <v>18</v>
      </c>
      <c r="D2286" s="1" t="s">
        <v>19</v>
      </c>
      <c r="E2286" s="1">
        <v>14996106.640000001</v>
      </c>
      <c r="F2286" s="1">
        <v>472313.39</v>
      </c>
      <c r="G2286" s="1">
        <v>56669</v>
      </c>
      <c r="H2286" s="1">
        <v>264.62627959999998</v>
      </c>
    </row>
    <row r="2287" spans="1:8" ht="15.75" thickBot="1" x14ac:dyDescent="0.3">
      <c r="A2287" s="1">
        <v>2017</v>
      </c>
      <c r="B2287" s="1" t="s">
        <v>16</v>
      </c>
      <c r="C2287" s="1" t="s">
        <v>23</v>
      </c>
      <c r="D2287" s="1" t="s">
        <v>19</v>
      </c>
      <c r="E2287" s="1">
        <v>64504212.600000001</v>
      </c>
      <c r="F2287" s="1">
        <v>2056239.92</v>
      </c>
      <c r="G2287" s="1">
        <v>456983</v>
      </c>
      <c r="H2287" s="1">
        <v>141.1523243</v>
      </c>
    </row>
    <row r="2288" spans="1:8" ht="15.75" thickBot="1" x14ac:dyDescent="0.3">
      <c r="A2288" s="1">
        <v>2016</v>
      </c>
      <c r="B2288" s="1" t="s">
        <v>12</v>
      </c>
      <c r="C2288" s="1" t="s">
        <v>33</v>
      </c>
      <c r="D2288" s="1" t="s">
        <v>31</v>
      </c>
      <c r="E2288" s="1">
        <v>689897.07</v>
      </c>
      <c r="F2288" s="1">
        <v>21731.85</v>
      </c>
      <c r="G2288" s="1">
        <v>13314</v>
      </c>
      <c r="H2288" s="1">
        <v>51.817415500000003</v>
      </c>
    </row>
    <row r="2289" spans="1:8" ht="15.75" thickBot="1" x14ac:dyDescent="0.3">
      <c r="A2289" s="1">
        <v>2015</v>
      </c>
      <c r="B2289" s="1" t="s">
        <v>35</v>
      </c>
      <c r="C2289" s="1" t="s">
        <v>28</v>
      </c>
      <c r="D2289" s="1" t="s">
        <v>27</v>
      </c>
      <c r="E2289" s="1">
        <v>36606.58</v>
      </c>
      <c r="F2289" s="1">
        <v>973.18</v>
      </c>
      <c r="G2289" s="1">
        <v>545</v>
      </c>
      <c r="H2289" s="1">
        <v>67.168036700000002</v>
      </c>
    </row>
    <row r="2290" spans="1:8" ht="15.75" thickBot="1" x14ac:dyDescent="0.3">
      <c r="A2290" s="1">
        <v>2016</v>
      </c>
      <c r="B2290" s="1" t="s">
        <v>17</v>
      </c>
      <c r="C2290" s="1" t="s">
        <v>15</v>
      </c>
      <c r="D2290" s="1" t="s">
        <v>10</v>
      </c>
      <c r="E2290" s="1">
        <v>39557268.460000001</v>
      </c>
      <c r="F2290" s="1">
        <v>1297139.99</v>
      </c>
      <c r="G2290" s="1">
        <v>680743</v>
      </c>
      <c r="H2290" s="1">
        <v>58.108961030000003</v>
      </c>
    </row>
    <row r="2291" spans="1:8" ht="15.75" thickBot="1" x14ac:dyDescent="0.3">
      <c r="A2291" s="1">
        <v>2014</v>
      </c>
      <c r="B2291" s="1" t="s">
        <v>40</v>
      </c>
      <c r="C2291" s="1" t="s">
        <v>12</v>
      </c>
      <c r="D2291" s="1" t="s">
        <v>13</v>
      </c>
      <c r="E2291" s="1">
        <v>179.82</v>
      </c>
      <c r="F2291" s="1">
        <v>1.32</v>
      </c>
      <c r="G2291" s="1">
        <v>17</v>
      </c>
      <c r="H2291" s="1">
        <v>10.57764706</v>
      </c>
    </row>
    <row r="2292" spans="1:8" ht="15.75" thickBot="1" x14ac:dyDescent="0.3">
      <c r="A2292" s="1">
        <v>2017</v>
      </c>
      <c r="B2292" s="1" t="s">
        <v>20</v>
      </c>
      <c r="C2292" s="1" t="s">
        <v>28</v>
      </c>
      <c r="D2292" s="1" t="s">
        <v>10</v>
      </c>
      <c r="E2292" s="1">
        <v>1125203.06</v>
      </c>
      <c r="F2292" s="1">
        <v>51776.23</v>
      </c>
      <c r="G2292" s="1">
        <v>61655</v>
      </c>
      <c r="H2292" s="1">
        <v>18.249988810000001</v>
      </c>
    </row>
    <row r="2293" spans="1:8" ht="15.75" thickBot="1" x14ac:dyDescent="0.3">
      <c r="A2293" s="1">
        <v>2017</v>
      </c>
      <c r="B2293" s="1" t="s">
        <v>12</v>
      </c>
      <c r="C2293" s="1" t="s">
        <v>12</v>
      </c>
      <c r="D2293" s="1" t="s">
        <v>34</v>
      </c>
      <c r="E2293" s="1">
        <v>11621.71</v>
      </c>
      <c r="F2293" s="1">
        <v>505.3</v>
      </c>
      <c r="G2293" s="1">
        <v>581</v>
      </c>
      <c r="H2293" s="1">
        <v>20.002943200000001</v>
      </c>
    </row>
    <row r="2294" spans="1:8" ht="15.75" thickBot="1" x14ac:dyDescent="0.3">
      <c r="A2294" s="1">
        <v>2015</v>
      </c>
      <c r="B2294" s="1" t="s">
        <v>8</v>
      </c>
      <c r="C2294" s="1" t="s">
        <v>9</v>
      </c>
      <c r="D2294" s="1" t="s">
        <v>19</v>
      </c>
      <c r="E2294" s="1">
        <v>1694.6</v>
      </c>
      <c r="F2294" s="1">
        <v>6.49</v>
      </c>
      <c r="G2294" s="1">
        <v>9</v>
      </c>
      <c r="H2294" s="1">
        <v>188.28888889999999</v>
      </c>
    </row>
    <row r="2295" spans="1:8" ht="15.75" thickBot="1" x14ac:dyDescent="0.3">
      <c r="A2295" s="1">
        <v>2015</v>
      </c>
      <c r="B2295" s="1" t="s">
        <v>40</v>
      </c>
      <c r="C2295" s="1" t="s">
        <v>33</v>
      </c>
      <c r="D2295" s="1" t="s">
        <v>13</v>
      </c>
      <c r="E2295" s="1">
        <v>453.23</v>
      </c>
      <c r="F2295" s="1">
        <v>0.75</v>
      </c>
      <c r="G2295" s="1">
        <v>12</v>
      </c>
      <c r="H2295" s="1">
        <v>37.769166669999997</v>
      </c>
    </row>
    <row r="2296" spans="1:8" ht="15.75" thickBot="1" x14ac:dyDescent="0.3">
      <c r="A2296" s="1">
        <v>2017</v>
      </c>
      <c r="B2296" s="1" t="s">
        <v>16</v>
      </c>
      <c r="C2296" s="1" t="s">
        <v>33</v>
      </c>
      <c r="D2296" s="1" t="s">
        <v>22</v>
      </c>
      <c r="E2296" s="1">
        <v>281693.09999999998</v>
      </c>
      <c r="F2296" s="1">
        <v>9451.27</v>
      </c>
      <c r="G2296" s="1">
        <v>14499</v>
      </c>
      <c r="H2296" s="1">
        <v>19.42845024</v>
      </c>
    </row>
    <row r="2297" spans="1:8" ht="15.75" thickBot="1" x14ac:dyDescent="0.3">
      <c r="A2297" s="1">
        <v>2016</v>
      </c>
      <c r="B2297" s="1" t="s">
        <v>12</v>
      </c>
      <c r="C2297" s="1" t="s">
        <v>33</v>
      </c>
      <c r="D2297" s="1" t="s">
        <v>27</v>
      </c>
      <c r="E2297" s="1">
        <v>19649113.59</v>
      </c>
      <c r="F2297" s="1">
        <v>747955</v>
      </c>
      <c r="G2297" s="1">
        <v>416800</v>
      </c>
      <c r="H2297" s="1">
        <v>47.142786919999999</v>
      </c>
    </row>
    <row r="2298" spans="1:8" ht="15.75" thickBot="1" x14ac:dyDescent="0.3">
      <c r="A2298" s="1">
        <v>2016</v>
      </c>
      <c r="B2298" s="1" t="s">
        <v>14</v>
      </c>
      <c r="C2298" s="1" t="s">
        <v>23</v>
      </c>
      <c r="D2298" s="1" t="s">
        <v>22</v>
      </c>
      <c r="E2298" s="1">
        <v>6955.04</v>
      </c>
      <c r="F2298" s="1">
        <v>251.52</v>
      </c>
      <c r="G2298" s="1">
        <v>411</v>
      </c>
      <c r="H2298" s="1">
        <v>16.922238440000001</v>
      </c>
    </row>
    <row r="2299" spans="1:8" ht="15.75" thickBot="1" x14ac:dyDescent="0.3">
      <c r="A2299" s="1">
        <v>2016</v>
      </c>
      <c r="B2299" s="1" t="s">
        <v>11</v>
      </c>
      <c r="C2299" s="1" t="s">
        <v>33</v>
      </c>
      <c r="D2299" s="1" t="s">
        <v>32</v>
      </c>
      <c r="E2299" s="1">
        <v>162909071.90000001</v>
      </c>
      <c r="F2299" s="1">
        <v>5439830.7199999997</v>
      </c>
      <c r="G2299" s="1">
        <v>3800084</v>
      </c>
      <c r="H2299" s="1">
        <v>42.869860750000001</v>
      </c>
    </row>
    <row r="2300" spans="1:8" ht="15.75" thickBot="1" x14ac:dyDescent="0.3">
      <c r="A2300" s="1">
        <v>2017</v>
      </c>
      <c r="B2300" s="1" t="s">
        <v>16</v>
      </c>
      <c r="C2300" s="1" t="s">
        <v>18</v>
      </c>
      <c r="D2300" s="1" t="s">
        <v>13</v>
      </c>
      <c r="E2300" s="1">
        <v>466898.45</v>
      </c>
      <c r="F2300" s="1">
        <v>14446.88</v>
      </c>
      <c r="G2300" s="1">
        <v>8625</v>
      </c>
      <c r="H2300" s="1">
        <v>54.133153620000002</v>
      </c>
    </row>
    <row r="2301" spans="1:8" ht="15.75" thickBot="1" x14ac:dyDescent="0.3">
      <c r="A2301" s="1">
        <v>2017</v>
      </c>
      <c r="B2301" s="1" t="s">
        <v>17</v>
      </c>
      <c r="C2301" s="1" t="s">
        <v>23</v>
      </c>
      <c r="D2301" s="1" t="s">
        <v>32</v>
      </c>
      <c r="E2301" s="1">
        <v>78425072.870000005</v>
      </c>
      <c r="F2301" s="1">
        <v>3007023.61</v>
      </c>
      <c r="G2301" s="1">
        <v>1676891</v>
      </c>
      <c r="H2301" s="1">
        <v>46.76813989</v>
      </c>
    </row>
    <row r="2302" spans="1:8" ht="15.75" thickBot="1" x14ac:dyDescent="0.3">
      <c r="A2302" s="1">
        <v>2016</v>
      </c>
      <c r="B2302" s="1" t="s">
        <v>14</v>
      </c>
      <c r="C2302" s="1" t="s">
        <v>15</v>
      </c>
      <c r="D2302" s="1" t="s">
        <v>22</v>
      </c>
      <c r="E2302" s="1">
        <v>9834.9500000000007</v>
      </c>
      <c r="F2302" s="1">
        <v>420.04</v>
      </c>
      <c r="G2302" s="1">
        <v>679</v>
      </c>
      <c r="H2302" s="1">
        <v>14.48446244</v>
      </c>
    </row>
    <row r="2303" spans="1:8" ht="15.75" thickBot="1" x14ac:dyDescent="0.3">
      <c r="A2303" s="1">
        <v>2016</v>
      </c>
      <c r="B2303" s="1" t="s">
        <v>20</v>
      </c>
      <c r="C2303" s="1" t="s">
        <v>33</v>
      </c>
      <c r="D2303" s="1" t="s">
        <v>31</v>
      </c>
      <c r="E2303" s="1">
        <v>69047</v>
      </c>
      <c r="F2303" s="1">
        <v>2887.96</v>
      </c>
      <c r="G2303" s="1">
        <v>3518</v>
      </c>
      <c r="H2303" s="1">
        <v>19.626776580000001</v>
      </c>
    </row>
    <row r="2304" spans="1:8" ht="15.75" thickBot="1" x14ac:dyDescent="0.3">
      <c r="A2304" s="1">
        <v>2017</v>
      </c>
      <c r="B2304" s="1" t="s">
        <v>17</v>
      </c>
      <c r="C2304" s="1" t="s">
        <v>12</v>
      </c>
      <c r="D2304" s="1" t="s">
        <v>24</v>
      </c>
      <c r="E2304" s="1">
        <v>14612106.5</v>
      </c>
      <c r="F2304" s="1">
        <v>543300.54</v>
      </c>
      <c r="G2304" s="1">
        <v>57402</v>
      </c>
      <c r="H2304" s="1">
        <v>254.55744569999999</v>
      </c>
    </row>
    <row r="2305" spans="1:8" ht="15.75" thickBot="1" x14ac:dyDescent="0.3">
      <c r="A2305" s="1">
        <v>2017</v>
      </c>
      <c r="B2305" s="1" t="s">
        <v>14</v>
      </c>
      <c r="C2305" s="1" t="s">
        <v>12</v>
      </c>
      <c r="D2305" s="1" t="s">
        <v>32</v>
      </c>
      <c r="E2305" s="1">
        <v>68987283.950000003</v>
      </c>
      <c r="F2305" s="1">
        <v>2550581</v>
      </c>
      <c r="G2305" s="1">
        <v>1307475</v>
      </c>
      <c r="H2305" s="1">
        <v>52.763749939999997</v>
      </c>
    </row>
    <row r="2306" spans="1:8" ht="15.75" thickBot="1" x14ac:dyDescent="0.3">
      <c r="A2306" s="1">
        <v>2015</v>
      </c>
      <c r="B2306" s="1" t="s">
        <v>30</v>
      </c>
      <c r="C2306" s="1" t="s">
        <v>25</v>
      </c>
      <c r="D2306" s="1" t="s">
        <v>19</v>
      </c>
      <c r="E2306" s="1">
        <v>242544225.69999999</v>
      </c>
      <c r="F2306" s="1">
        <v>6914151.9500000002</v>
      </c>
      <c r="G2306" s="1">
        <v>1933030</v>
      </c>
      <c r="H2306" s="1">
        <v>125.4735962</v>
      </c>
    </row>
    <row r="2307" spans="1:8" ht="15.75" thickBot="1" x14ac:dyDescent="0.3">
      <c r="A2307" s="1">
        <v>2015</v>
      </c>
      <c r="B2307" s="1" t="s">
        <v>11</v>
      </c>
      <c r="C2307" s="1" t="s">
        <v>33</v>
      </c>
      <c r="D2307" s="1" t="s">
        <v>32</v>
      </c>
      <c r="E2307" s="1">
        <v>130608015.40000001</v>
      </c>
      <c r="F2307" s="1">
        <v>4064244</v>
      </c>
      <c r="G2307" s="1">
        <v>2286923</v>
      </c>
      <c r="H2307" s="1">
        <v>57.110805820000003</v>
      </c>
    </row>
    <row r="2308" spans="1:8" ht="15.75" thickBot="1" x14ac:dyDescent="0.3">
      <c r="A2308" s="1">
        <v>2014</v>
      </c>
      <c r="B2308" s="1" t="s">
        <v>14</v>
      </c>
      <c r="C2308" s="1" t="s">
        <v>28</v>
      </c>
      <c r="D2308" s="1" t="s">
        <v>10</v>
      </c>
      <c r="E2308" s="1">
        <v>1968224.39</v>
      </c>
      <c r="F2308" s="1">
        <v>72544.22</v>
      </c>
      <c r="G2308" s="1">
        <v>35754</v>
      </c>
      <c r="H2308" s="1">
        <v>55.04906836</v>
      </c>
    </row>
    <row r="2309" spans="1:8" ht="15.75" thickBot="1" x14ac:dyDescent="0.3">
      <c r="A2309" s="1">
        <v>2014</v>
      </c>
      <c r="B2309" s="1" t="s">
        <v>12</v>
      </c>
      <c r="C2309" s="1" t="s">
        <v>9</v>
      </c>
      <c r="D2309" s="1" t="s">
        <v>22</v>
      </c>
      <c r="E2309" s="1">
        <v>0</v>
      </c>
      <c r="F2309" s="1">
        <v>0.78</v>
      </c>
      <c r="G2309" s="1">
        <v>545</v>
      </c>
      <c r="H2309" s="1">
        <v>0</v>
      </c>
    </row>
    <row r="2310" spans="1:8" ht="15.75" thickBot="1" x14ac:dyDescent="0.3">
      <c r="A2310" s="1">
        <v>2016</v>
      </c>
      <c r="B2310" s="1" t="s">
        <v>16</v>
      </c>
      <c r="C2310" s="1" t="s">
        <v>26</v>
      </c>
      <c r="D2310" s="1" t="s">
        <v>29</v>
      </c>
      <c r="E2310" s="1">
        <v>17269986.609999999</v>
      </c>
      <c r="F2310" s="1">
        <v>624493.04</v>
      </c>
      <c r="G2310" s="1">
        <v>91322</v>
      </c>
      <c r="H2310" s="1">
        <v>189.11091099999999</v>
      </c>
    </row>
    <row r="2311" spans="1:8" ht="15.75" thickBot="1" x14ac:dyDescent="0.3">
      <c r="A2311" s="1">
        <v>2017</v>
      </c>
      <c r="B2311" s="1" t="s">
        <v>12</v>
      </c>
      <c r="C2311" s="1" t="s">
        <v>9</v>
      </c>
      <c r="D2311" s="1" t="s">
        <v>27</v>
      </c>
      <c r="E2311" s="1">
        <v>29450.45</v>
      </c>
      <c r="F2311" s="1">
        <v>959.49</v>
      </c>
      <c r="G2311" s="1">
        <v>1965</v>
      </c>
      <c r="H2311" s="1">
        <v>14.987506359999999</v>
      </c>
    </row>
    <row r="2312" spans="1:8" ht="15.75" thickBot="1" x14ac:dyDescent="0.3">
      <c r="A2312" s="1">
        <v>2017</v>
      </c>
      <c r="B2312" s="1" t="s">
        <v>14</v>
      </c>
      <c r="C2312" s="1" t="s">
        <v>9</v>
      </c>
      <c r="D2312" s="1" t="s">
        <v>31</v>
      </c>
      <c r="E2312" s="1">
        <v>1156.04</v>
      </c>
      <c r="F2312" s="1">
        <v>106.25</v>
      </c>
      <c r="G2312" s="1">
        <v>741</v>
      </c>
      <c r="H2312" s="1">
        <v>1.560107962</v>
      </c>
    </row>
    <row r="2313" spans="1:8" ht="15.75" thickBot="1" x14ac:dyDescent="0.3">
      <c r="A2313" s="1">
        <v>2016</v>
      </c>
      <c r="B2313" s="1" t="s">
        <v>40</v>
      </c>
      <c r="C2313" s="1" t="s">
        <v>9</v>
      </c>
      <c r="D2313" s="1" t="s">
        <v>19</v>
      </c>
      <c r="E2313" s="1">
        <v>36061.300000000003</v>
      </c>
      <c r="F2313" s="1">
        <v>527.70000000000005</v>
      </c>
      <c r="G2313" s="1">
        <v>160</v>
      </c>
      <c r="H2313" s="1">
        <v>225.38312500000001</v>
      </c>
    </row>
    <row r="2314" spans="1:8" ht="15.75" thickBot="1" x14ac:dyDescent="0.3">
      <c r="A2314" s="1">
        <v>2017</v>
      </c>
      <c r="B2314" s="1" t="s">
        <v>12</v>
      </c>
      <c r="C2314" s="1" t="s">
        <v>26</v>
      </c>
      <c r="D2314" s="1" t="s">
        <v>31</v>
      </c>
      <c r="E2314" s="1">
        <v>551778.02</v>
      </c>
      <c r="F2314" s="1">
        <v>15486.79</v>
      </c>
      <c r="G2314" s="1">
        <v>9974</v>
      </c>
      <c r="H2314" s="1">
        <v>55.32163826</v>
      </c>
    </row>
    <row r="2315" spans="1:8" ht="15.75" thickBot="1" x14ac:dyDescent="0.3">
      <c r="A2315" s="1">
        <v>2016</v>
      </c>
      <c r="B2315" s="1" t="s">
        <v>11</v>
      </c>
      <c r="C2315" s="1" t="s">
        <v>12</v>
      </c>
      <c r="D2315" s="1" t="s">
        <v>27</v>
      </c>
      <c r="E2315" s="1">
        <v>153346897</v>
      </c>
      <c r="F2315" s="1">
        <v>4385011.34</v>
      </c>
      <c r="G2315" s="1">
        <v>2399170</v>
      </c>
      <c r="H2315" s="1">
        <v>63.916644920000003</v>
      </c>
    </row>
    <row r="2316" spans="1:8" ht="15.75" thickBot="1" x14ac:dyDescent="0.3">
      <c r="A2316" s="1">
        <v>2016</v>
      </c>
      <c r="B2316" s="1" t="s">
        <v>14</v>
      </c>
      <c r="C2316" s="1" t="s">
        <v>25</v>
      </c>
      <c r="D2316" s="1" t="s">
        <v>10</v>
      </c>
      <c r="E2316" s="1">
        <v>7841528.2699999996</v>
      </c>
      <c r="F2316" s="1">
        <v>295691.83</v>
      </c>
      <c r="G2316" s="1">
        <v>161927</v>
      </c>
      <c r="H2316" s="1">
        <v>48.426317230000002</v>
      </c>
    </row>
    <row r="2317" spans="1:8" ht="15.75" thickBot="1" x14ac:dyDescent="0.3">
      <c r="A2317" s="1">
        <v>2014</v>
      </c>
      <c r="B2317" s="1" t="s">
        <v>14</v>
      </c>
      <c r="C2317" s="1" t="s">
        <v>9</v>
      </c>
      <c r="D2317" s="1" t="s">
        <v>19</v>
      </c>
      <c r="E2317" s="1">
        <v>146161.65</v>
      </c>
      <c r="F2317" s="1">
        <v>3493.62</v>
      </c>
      <c r="G2317" s="1">
        <v>4085</v>
      </c>
      <c r="H2317" s="1">
        <v>35.780085679999999</v>
      </c>
    </row>
    <row r="2318" spans="1:8" ht="15.75" thickBot="1" x14ac:dyDescent="0.3">
      <c r="A2318" s="1">
        <v>2016</v>
      </c>
      <c r="B2318" s="1" t="s">
        <v>20</v>
      </c>
      <c r="C2318" s="1" t="s">
        <v>9</v>
      </c>
      <c r="D2318" s="1" t="s">
        <v>24</v>
      </c>
      <c r="E2318" s="1">
        <v>2419731.14</v>
      </c>
      <c r="F2318" s="1">
        <v>79260.88</v>
      </c>
      <c r="G2318" s="1">
        <v>19866</v>
      </c>
      <c r="H2318" s="1">
        <v>121.8026347</v>
      </c>
    </row>
    <row r="2319" spans="1:8" ht="15.75" thickBot="1" x14ac:dyDescent="0.3">
      <c r="A2319" s="1">
        <v>2014</v>
      </c>
      <c r="B2319" s="1" t="s">
        <v>11</v>
      </c>
      <c r="C2319" s="1" t="s">
        <v>28</v>
      </c>
      <c r="D2319" s="1" t="s">
        <v>24</v>
      </c>
      <c r="E2319" s="1">
        <v>28308906.940000001</v>
      </c>
      <c r="F2319" s="1">
        <v>683916.99</v>
      </c>
      <c r="G2319" s="1">
        <v>27163</v>
      </c>
      <c r="H2319" s="1">
        <v>1042.1863169999999</v>
      </c>
    </row>
    <row r="2320" spans="1:8" ht="15.75" thickBot="1" x14ac:dyDescent="0.3">
      <c r="A2320" s="1">
        <v>2014</v>
      </c>
      <c r="B2320" s="1" t="s">
        <v>35</v>
      </c>
      <c r="C2320" s="1" t="s">
        <v>26</v>
      </c>
      <c r="D2320" s="1" t="s">
        <v>27</v>
      </c>
      <c r="E2320" s="1">
        <v>25847.1</v>
      </c>
      <c r="F2320" s="1">
        <v>729.34</v>
      </c>
      <c r="G2320" s="1">
        <v>473</v>
      </c>
      <c r="H2320" s="1">
        <v>54.645031709999998</v>
      </c>
    </row>
    <row r="2321" spans="1:8" ht="15.75" thickBot="1" x14ac:dyDescent="0.3">
      <c r="A2321" s="1">
        <v>2014</v>
      </c>
      <c r="B2321" s="1" t="s">
        <v>30</v>
      </c>
      <c r="C2321" s="1" t="s">
        <v>9</v>
      </c>
      <c r="D2321" s="1" t="s">
        <v>27</v>
      </c>
      <c r="E2321" s="1">
        <v>1405344.2</v>
      </c>
      <c r="F2321" s="1">
        <v>45956.1</v>
      </c>
      <c r="G2321" s="1">
        <v>53379</v>
      </c>
      <c r="H2321" s="1">
        <v>26.327660689999998</v>
      </c>
    </row>
    <row r="2322" spans="1:8" ht="15.75" thickBot="1" x14ac:dyDescent="0.3">
      <c r="A2322" s="1">
        <v>2017</v>
      </c>
      <c r="B2322" s="1" t="s">
        <v>35</v>
      </c>
      <c r="C2322" s="1" t="s">
        <v>23</v>
      </c>
      <c r="D2322" s="1" t="s">
        <v>31</v>
      </c>
      <c r="E2322" s="1">
        <v>54.3</v>
      </c>
      <c r="F2322" s="1">
        <v>2.4700000000000002</v>
      </c>
      <c r="G2322" s="1">
        <v>6</v>
      </c>
      <c r="H2322" s="1">
        <v>9.0500000000000007</v>
      </c>
    </row>
    <row r="2323" spans="1:8" ht="15.75" thickBot="1" x14ac:dyDescent="0.3">
      <c r="A2323" s="1">
        <v>2015</v>
      </c>
      <c r="B2323" s="1" t="s">
        <v>30</v>
      </c>
      <c r="C2323" s="1" t="s">
        <v>25</v>
      </c>
      <c r="D2323" s="1" t="s">
        <v>32</v>
      </c>
      <c r="E2323" s="1">
        <v>16602221.869999999</v>
      </c>
      <c r="F2323" s="1">
        <v>665661.99</v>
      </c>
      <c r="G2323" s="1">
        <v>436973</v>
      </c>
      <c r="H2323" s="1">
        <v>37.993701829999999</v>
      </c>
    </row>
    <row r="2324" spans="1:8" ht="15.75" thickBot="1" x14ac:dyDescent="0.3">
      <c r="A2324" s="1">
        <v>2014</v>
      </c>
      <c r="B2324" s="1" t="s">
        <v>11</v>
      </c>
      <c r="C2324" s="1" t="s">
        <v>25</v>
      </c>
      <c r="D2324" s="1" t="s">
        <v>22</v>
      </c>
      <c r="E2324" s="1">
        <v>27170247.02</v>
      </c>
      <c r="F2324" s="1">
        <v>791764.63</v>
      </c>
      <c r="G2324" s="1">
        <v>2063143</v>
      </c>
      <c r="H2324" s="1">
        <v>13.169347459999999</v>
      </c>
    </row>
    <row r="2325" spans="1:8" ht="15.75" thickBot="1" x14ac:dyDescent="0.3">
      <c r="A2325" s="1">
        <v>2015</v>
      </c>
      <c r="B2325" s="1" t="s">
        <v>11</v>
      </c>
      <c r="C2325" s="1" t="s">
        <v>9</v>
      </c>
      <c r="D2325" s="1" t="s">
        <v>10</v>
      </c>
      <c r="E2325" s="1">
        <v>92266.240000000005</v>
      </c>
      <c r="F2325" s="1">
        <v>3264.75</v>
      </c>
      <c r="G2325" s="1">
        <v>46326</v>
      </c>
      <c r="H2325" s="1">
        <v>1.991672927</v>
      </c>
    </row>
    <row r="2326" spans="1:8" ht="15.75" thickBot="1" x14ac:dyDescent="0.3">
      <c r="A2326" s="1">
        <v>2015</v>
      </c>
      <c r="B2326" s="1" t="s">
        <v>14</v>
      </c>
      <c r="C2326" s="1" t="s">
        <v>15</v>
      </c>
      <c r="D2326" s="1" t="s">
        <v>31</v>
      </c>
      <c r="E2326" s="1">
        <v>693001.1</v>
      </c>
      <c r="F2326" s="1">
        <v>27570.74</v>
      </c>
      <c r="G2326" s="1">
        <v>17090</v>
      </c>
      <c r="H2326" s="1">
        <v>40.550093619999998</v>
      </c>
    </row>
    <row r="2327" spans="1:8" ht="15.75" thickBot="1" x14ac:dyDescent="0.3">
      <c r="A2327" s="1">
        <v>2015</v>
      </c>
      <c r="B2327" s="1" t="s">
        <v>14</v>
      </c>
      <c r="C2327" s="1" t="s">
        <v>25</v>
      </c>
      <c r="D2327" s="1" t="s">
        <v>29</v>
      </c>
      <c r="E2327" s="1">
        <v>9621946.9399999995</v>
      </c>
      <c r="F2327" s="1">
        <v>338010.67</v>
      </c>
      <c r="G2327" s="1">
        <v>73606</v>
      </c>
      <c r="H2327" s="1">
        <v>130.722318</v>
      </c>
    </row>
    <row r="2328" spans="1:8" ht="15.75" thickBot="1" x14ac:dyDescent="0.3">
      <c r="A2328" s="1">
        <v>2015</v>
      </c>
      <c r="B2328" s="1" t="s">
        <v>20</v>
      </c>
      <c r="C2328" s="1" t="s">
        <v>26</v>
      </c>
      <c r="D2328" s="1" t="s">
        <v>19</v>
      </c>
      <c r="E2328" s="1">
        <v>2129710.1800000002</v>
      </c>
      <c r="F2328" s="1">
        <v>78169.33</v>
      </c>
      <c r="G2328" s="1">
        <v>37594</v>
      </c>
      <c r="H2328" s="1">
        <v>56.650268130000001</v>
      </c>
    </row>
    <row r="2329" spans="1:8" ht="15.75" thickBot="1" x14ac:dyDescent="0.3">
      <c r="A2329" s="1">
        <v>2016</v>
      </c>
      <c r="B2329" s="1" t="s">
        <v>20</v>
      </c>
      <c r="C2329" s="1" t="s">
        <v>28</v>
      </c>
      <c r="D2329" s="1" t="s">
        <v>32</v>
      </c>
      <c r="E2329" s="1">
        <v>3795954.28</v>
      </c>
      <c r="F2329" s="1">
        <v>157807.34</v>
      </c>
      <c r="G2329" s="1">
        <v>235901</v>
      </c>
      <c r="H2329" s="1">
        <v>16.091302200000001</v>
      </c>
    </row>
    <row r="2330" spans="1:8" ht="15.75" thickBot="1" x14ac:dyDescent="0.3">
      <c r="A2330" s="1">
        <v>2016</v>
      </c>
      <c r="B2330" s="1" t="s">
        <v>8</v>
      </c>
      <c r="C2330" s="1" t="s">
        <v>33</v>
      </c>
      <c r="D2330" s="1" t="s">
        <v>32</v>
      </c>
      <c r="E2330" s="1">
        <v>417.72</v>
      </c>
      <c r="F2330" s="1">
        <v>19.63</v>
      </c>
      <c r="G2330" s="1">
        <v>12</v>
      </c>
      <c r="H2330" s="1">
        <v>34.81</v>
      </c>
    </row>
    <row r="2331" spans="1:8" ht="15.75" thickBot="1" x14ac:dyDescent="0.3">
      <c r="A2331" s="1">
        <v>2016</v>
      </c>
      <c r="B2331" s="1" t="s">
        <v>20</v>
      </c>
      <c r="C2331" s="1" t="s">
        <v>18</v>
      </c>
      <c r="D2331" s="1" t="s">
        <v>31</v>
      </c>
      <c r="E2331" s="1">
        <v>8535.39</v>
      </c>
      <c r="F2331" s="1">
        <v>364.43</v>
      </c>
      <c r="G2331" s="1">
        <v>303</v>
      </c>
      <c r="H2331" s="1">
        <v>28.16960396</v>
      </c>
    </row>
    <row r="2332" spans="1:8" ht="15.75" thickBot="1" x14ac:dyDescent="0.3">
      <c r="A2332" s="1">
        <v>2015</v>
      </c>
      <c r="B2332" s="1" t="s">
        <v>17</v>
      </c>
      <c r="C2332" s="1" t="s">
        <v>25</v>
      </c>
      <c r="D2332" s="1" t="s">
        <v>27</v>
      </c>
      <c r="E2332" s="1">
        <v>757537745.20000005</v>
      </c>
      <c r="F2332" s="1">
        <v>26484607.210000001</v>
      </c>
      <c r="G2332" s="1">
        <v>11660348</v>
      </c>
      <c r="H2332" s="1">
        <v>64.966992849999997</v>
      </c>
    </row>
    <row r="2333" spans="1:8" ht="15.75" thickBot="1" x14ac:dyDescent="0.3">
      <c r="A2333" s="1">
        <v>2016</v>
      </c>
      <c r="B2333" s="1" t="s">
        <v>11</v>
      </c>
      <c r="C2333" s="1" t="s">
        <v>15</v>
      </c>
      <c r="D2333" s="1" t="s">
        <v>32</v>
      </c>
      <c r="E2333" s="1">
        <v>62283997.799999997</v>
      </c>
      <c r="F2333" s="1">
        <v>2026367.29</v>
      </c>
      <c r="G2333" s="1">
        <v>1266685</v>
      </c>
      <c r="H2333" s="1">
        <v>49.17086553</v>
      </c>
    </row>
    <row r="2334" spans="1:8" ht="15.75" thickBot="1" x14ac:dyDescent="0.3">
      <c r="A2334" s="1">
        <v>2017</v>
      </c>
      <c r="B2334" s="1" t="s">
        <v>20</v>
      </c>
      <c r="C2334" s="1" t="s">
        <v>33</v>
      </c>
      <c r="D2334" s="1" t="s">
        <v>22</v>
      </c>
      <c r="E2334" s="1">
        <v>287.33</v>
      </c>
      <c r="F2334" s="1">
        <v>12.95</v>
      </c>
      <c r="G2334" s="1">
        <v>21</v>
      </c>
      <c r="H2334" s="1">
        <v>13.682380950000001</v>
      </c>
    </row>
    <row r="2335" spans="1:8" ht="15.75" thickBot="1" x14ac:dyDescent="0.3">
      <c r="A2335" s="1">
        <v>2015</v>
      </c>
      <c r="B2335" s="1" t="s">
        <v>14</v>
      </c>
      <c r="C2335" s="1" t="s">
        <v>15</v>
      </c>
      <c r="D2335" s="1" t="s">
        <v>24</v>
      </c>
      <c r="E2335" s="1">
        <v>22008953</v>
      </c>
      <c r="F2335" s="1">
        <v>712569.06</v>
      </c>
      <c r="G2335" s="1">
        <v>85270</v>
      </c>
      <c r="H2335" s="1">
        <v>258.10898320000001</v>
      </c>
    </row>
    <row r="2336" spans="1:8" ht="15.75" thickBot="1" x14ac:dyDescent="0.3">
      <c r="A2336" s="1">
        <v>2017</v>
      </c>
      <c r="B2336" s="1" t="s">
        <v>17</v>
      </c>
      <c r="C2336" s="1" t="s">
        <v>28</v>
      </c>
      <c r="D2336" s="1" t="s">
        <v>24</v>
      </c>
      <c r="E2336" s="1">
        <v>136345313.90000001</v>
      </c>
      <c r="F2336" s="1">
        <v>4235178.09</v>
      </c>
      <c r="G2336" s="1">
        <v>196885</v>
      </c>
      <c r="H2336" s="1">
        <v>692.51245089999998</v>
      </c>
    </row>
    <row r="2337" spans="1:8" ht="15.75" thickBot="1" x14ac:dyDescent="0.3">
      <c r="A2337" s="1">
        <v>2014</v>
      </c>
      <c r="B2337" s="1" t="s">
        <v>11</v>
      </c>
      <c r="C2337" s="1" t="s">
        <v>23</v>
      </c>
      <c r="D2337" s="1" t="s">
        <v>10</v>
      </c>
      <c r="E2337" s="1">
        <v>33996315.469999999</v>
      </c>
      <c r="F2337" s="1">
        <v>751154.32</v>
      </c>
      <c r="G2337" s="1">
        <v>416008</v>
      </c>
      <c r="H2337" s="1">
        <v>81.720340640000003</v>
      </c>
    </row>
    <row r="2338" spans="1:8" ht="15.75" thickBot="1" x14ac:dyDescent="0.3">
      <c r="A2338" s="1">
        <v>2017</v>
      </c>
      <c r="B2338" s="1" t="s">
        <v>16</v>
      </c>
      <c r="C2338" s="1" t="s">
        <v>18</v>
      </c>
      <c r="D2338" s="1" t="s">
        <v>22</v>
      </c>
      <c r="E2338" s="1">
        <v>9575.08</v>
      </c>
      <c r="F2338" s="1">
        <v>302.39</v>
      </c>
      <c r="G2338" s="1">
        <v>683</v>
      </c>
      <c r="H2338" s="1">
        <v>14.019150809999999</v>
      </c>
    </row>
    <row r="2339" spans="1:8" ht="15.75" thickBot="1" x14ac:dyDescent="0.3">
      <c r="A2339" s="1">
        <v>2017</v>
      </c>
      <c r="B2339" s="1" t="s">
        <v>11</v>
      </c>
      <c r="C2339" s="1" t="s">
        <v>23</v>
      </c>
      <c r="D2339" s="1" t="s">
        <v>22</v>
      </c>
      <c r="E2339" s="1">
        <v>30845993.100000001</v>
      </c>
      <c r="F2339" s="1">
        <v>967760.51</v>
      </c>
      <c r="G2339" s="1">
        <v>1902564</v>
      </c>
      <c r="H2339" s="1">
        <v>16.21285439</v>
      </c>
    </row>
    <row r="2340" spans="1:8" ht="15.75" thickBot="1" x14ac:dyDescent="0.3">
      <c r="A2340" s="1">
        <v>2015</v>
      </c>
      <c r="B2340" s="1" t="s">
        <v>17</v>
      </c>
      <c r="C2340" s="1" t="s">
        <v>9</v>
      </c>
      <c r="D2340" s="1" t="s">
        <v>27</v>
      </c>
      <c r="E2340" s="1">
        <v>1474720.86</v>
      </c>
      <c r="F2340" s="1">
        <v>41362.730000000003</v>
      </c>
      <c r="G2340" s="1">
        <v>71373</v>
      </c>
      <c r="H2340" s="1">
        <v>20.66216721</v>
      </c>
    </row>
    <row r="2341" spans="1:8" ht="15.75" thickBot="1" x14ac:dyDescent="0.3">
      <c r="A2341" s="1">
        <v>2017</v>
      </c>
      <c r="B2341" s="1" t="s">
        <v>8</v>
      </c>
      <c r="C2341" s="1" t="s">
        <v>21</v>
      </c>
      <c r="D2341" s="1" t="s">
        <v>32</v>
      </c>
      <c r="E2341" s="1">
        <v>1889.07</v>
      </c>
      <c r="F2341" s="1">
        <v>83.56</v>
      </c>
      <c r="G2341" s="1">
        <v>33</v>
      </c>
      <c r="H2341" s="1">
        <v>57.244545449999997</v>
      </c>
    </row>
    <row r="2342" spans="1:8" ht="15.75" thickBot="1" x14ac:dyDescent="0.3">
      <c r="A2342" s="1">
        <v>2017</v>
      </c>
      <c r="B2342" s="1" t="s">
        <v>16</v>
      </c>
      <c r="C2342" s="1" t="s">
        <v>12</v>
      </c>
      <c r="D2342" s="1" t="s">
        <v>10</v>
      </c>
      <c r="E2342" s="1">
        <v>16050138.82</v>
      </c>
      <c r="F2342" s="1">
        <v>641292.59</v>
      </c>
      <c r="G2342" s="1">
        <v>301830</v>
      </c>
      <c r="H2342" s="1">
        <v>53.176088589999999</v>
      </c>
    </row>
    <row r="2343" spans="1:8" ht="15.75" thickBot="1" x14ac:dyDescent="0.3">
      <c r="A2343" s="1">
        <v>2016</v>
      </c>
      <c r="B2343" s="1" t="s">
        <v>17</v>
      </c>
      <c r="C2343" s="1" t="s">
        <v>15</v>
      </c>
      <c r="D2343" s="1" t="s">
        <v>22</v>
      </c>
      <c r="E2343" s="1">
        <v>343751.02</v>
      </c>
      <c r="F2343" s="1">
        <v>9616.56</v>
      </c>
      <c r="G2343" s="1">
        <v>16401</v>
      </c>
      <c r="H2343" s="1">
        <v>20.959150050000002</v>
      </c>
    </row>
    <row r="2344" spans="1:8" ht="15.75" thickBot="1" x14ac:dyDescent="0.3">
      <c r="A2344" s="1">
        <v>2016</v>
      </c>
      <c r="B2344" s="1" t="s">
        <v>16</v>
      </c>
      <c r="C2344" s="1" t="s">
        <v>9</v>
      </c>
      <c r="D2344" s="1" t="s">
        <v>32</v>
      </c>
      <c r="E2344" s="1">
        <v>396002.32</v>
      </c>
      <c r="F2344" s="1">
        <v>11042.1</v>
      </c>
      <c r="G2344" s="1">
        <v>64575</v>
      </c>
      <c r="H2344" s="1">
        <v>6.1324401079999999</v>
      </c>
    </row>
    <row r="2345" spans="1:8" ht="15.75" thickBot="1" x14ac:dyDescent="0.3">
      <c r="A2345" s="1">
        <v>2014</v>
      </c>
      <c r="B2345" s="1" t="s">
        <v>16</v>
      </c>
      <c r="C2345" s="1" t="s">
        <v>25</v>
      </c>
      <c r="D2345" s="1" t="s">
        <v>10</v>
      </c>
      <c r="E2345" s="1">
        <v>9708969.6600000001</v>
      </c>
      <c r="F2345" s="1">
        <v>338959.72</v>
      </c>
      <c r="G2345" s="1">
        <v>175138</v>
      </c>
      <c r="H2345" s="1">
        <v>55.4361113</v>
      </c>
    </row>
    <row r="2346" spans="1:8" ht="15.75" thickBot="1" x14ac:dyDescent="0.3">
      <c r="A2346" s="1">
        <v>2016</v>
      </c>
      <c r="B2346" s="1" t="s">
        <v>16</v>
      </c>
      <c r="C2346" s="1" t="s">
        <v>26</v>
      </c>
      <c r="D2346" s="1" t="s">
        <v>32</v>
      </c>
      <c r="E2346" s="1">
        <v>83546785.879999995</v>
      </c>
      <c r="F2346" s="1">
        <v>3313743.44</v>
      </c>
      <c r="G2346" s="1">
        <v>1808673</v>
      </c>
      <c r="H2346" s="1">
        <v>46.192311089999997</v>
      </c>
    </row>
    <row r="2347" spans="1:8" ht="15.75" thickBot="1" x14ac:dyDescent="0.3">
      <c r="A2347" s="1">
        <v>2014</v>
      </c>
      <c r="B2347" s="1" t="s">
        <v>12</v>
      </c>
      <c r="C2347" s="1" t="s">
        <v>33</v>
      </c>
      <c r="D2347" s="1" t="s">
        <v>22</v>
      </c>
      <c r="E2347" s="1">
        <v>230942.17</v>
      </c>
      <c r="F2347" s="1">
        <v>8941.48</v>
      </c>
      <c r="G2347" s="1">
        <v>13412</v>
      </c>
      <c r="H2347" s="1">
        <v>17.219070240000001</v>
      </c>
    </row>
    <row r="2348" spans="1:8" ht="15.75" thickBot="1" x14ac:dyDescent="0.3">
      <c r="A2348" s="1">
        <v>2016</v>
      </c>
      <c r="B2348" s="1" t="s">
        <v>17</v>
      </c>
      <c r="C2348" s="1" t="s">
        <v>23</v>
      </c>
      <c r="D2348" s="1" t="s">
        <v>10</v>
      </c>
      <c r="E2348" s="1">
        <v>24981147.91</v>
      </c>
      <c r="F2348" s="1">
        <v>807833.28</v>
      </c>
      <c r="G2348" s="1">
        <v>491544</v>
      </c>
      <c r="H2348" s="1">
        <v>50.821793999999997</v>
      </c>
    </row>
    <row r="2349" spans="1:8" ht="15.75" thickBot="1" x14ac:dyDescent="0.3">
      <c r="A2349" s="1">
        <v>2016</v>
      </c>
      <c r="B2349" s="1" t="s">
        <v>17</v>
      </c>
      <c r="C2349" s="1" t="s">
        <v>9</v>
      </c>
      <c r="D2349" s="1" t="s">
        <v>19</v>
      </c>
      <c r="E2349" s="1">
        <v>98063.4</v>
      </c>
      <c r="F2349" s="1">
        <v>1815.21</v>
      </c>
      <c r="G2349" s="1">
        <v>3921</v>
      </c>
      <c r="H2349" s="1">
        <v>25.009793420000001</v>
      </c>
    </row>
    <row r="2350" spans="1:8" ht="15.75" thickBot="1" x14ac:dyDescent="0.3">
      <c r="A2350" s="1">
        <v>2014</v>
      </c>
      <c r="B2350" s="1" t="s">
        <v>30</v>
      </c>
      <c r="C2350" s="1" t="s">
        <v>12</v>
      </c>
      <c r="D2350" s="1" t="s">
        <v>13</v>
      </c>
      <c r="E2350" s="1">
        <v>154297.59</v>
      </c>
      <c r="F2350" s="1">
        <v>4322.79</v>
      </c>
      <c r="G2350" s="1">
        <v>2584</v>
      </c>
      <c r="H2350" s="1">
        <v>59.71268963</v>
      </c>
    </row>
    <row r="2351" spans="1:8" ht="15.75" thickBot="1" x14ac:dyDescent="0.3">
      <c r="A2351" s="1">
        <v>2015</v>
      </c>
      <c r="B2351" s="1" t="s">
        <v>35</v>
      </c>
      <c r="C2351" s="1" t="s">
        <v>9</v>
      </c>
      <c r="D2351" s="1" t="s">
        <v>24</v>
      </c>
      <c r="E2351" s="1">
        <v>1833.48</v>
      </c>
      <c r="F2351" s="1">
        <v>48.98</v>
      </c>
      <c r="G2351" s="1">
        <v>74</v>
      </c>
      <c r="H2351" s="1">
        <v>24.776756760000001</v>
      </c>
    </row>
    <row r="2352" spans="1:8" ht="15.75" thickBot="1" x14ac:dyDescent="0.3">
      <c r="A2352" s="1">
        <v>2016</v>
      </c>
      <c r="B2352" s="1" t="s">
        <v>16</v>
      </c>
      <c r="C2352" s="1" t="s">
        <v>33</v>
      </c>
      <c r="D2352" s="1" t="s">
        <v>32</v>
      </c>
      <c r="E2352" s="1">
        <v>213071573.80000001</v>
      </c>
      <c r="F2352" s="1">
        <v>7896116.1900000004</v>
      </c>
      <c r="G2352" s="1">
        <v>3674524</v>
      </c>
      <c r="H2352" s="1">
        <v>57.986170129999998</v>
      </c>
    </row>
    <row r="2353" spans="1:8" ht="15.75" thickBot="1" x14ac:dyDescent="0.3">
      <c r="A2353" s="1">
        <v>2014</v>
      </c>
      <c r="B2353" s="1" t="s">
        <v>12</v>
      </c>
      <c r="C2353" s="1" t="s">
        <v>28</v>
      </c>
      <c r="D2353" s="1" t="s">
        <v>29</v>
      </c>
      <c r="E2353" s="1">
        <v>4196594.49</v>
      </c>
      <c r="F2353" s="1">
        <v>122383.22</v>
      </c>
      <c r="G2353" s="1">
        <v>7229</v>
      </c>
      <c r="H2353" s="1">
        <v>580.52213170000005</v>
      </c>
    </row>
    <row r="2354" spans="1:8" ht="15.75" thickBot="1" x14ac:dyDescent="0.3">
      <c r="A2354" s="1">
        <v>2016</v>
      </c>
      <c r="B2354" s="1" t="s">
        <v>17</v>
      </c>
      <c r="C2354" s="1" t="s">
        <v>9</v>
      </c>
      <c r="D2354" s="1" t="s">
        <v>29</v>
      </c>
      <c r="E2354" s="1">
        <v>67944.429999999993</v>
      </c>
      <c r="F2354" s="1">
        <v>918.63</v>
      </c>
      <c r="G2354" s="1">
        <v>360</v>
      </c>
      <c r="H2354" s="1">
        <v>188.7345278</v>
      </c>
    </row>
    <row r="2355" spans="1:8" ht="15.75" thickBot="1" x14ac:dyDescent="0.3">
      <c r="A2355" s="1">
        <v>2017</v>
      </c>
      <c r="B2355" s="1" t="s">
        <v>12</v>
      </c>
      <c r="C2355" s="1" t="s">
        <v>25</v>
      </c>
      <c r="D2355" s="1" t="s">
        <v>19</v>
      </c>
      <c r="E2355" s="1">
        <v>6819274.5499999998</v>
      </c>
      <c r="F2355" s="1">
        <v>175639.46</v>
      </c>
      <c r="G2355" s="1">
        <v>35221</v>
      </c>
      <c r="H2355" s="1">
        <v>193.6138823</v>
      </c>
    </row>
    <row r="2356" spans="1:8" ht="15.75" thickBot="1" x14ac:dyDescent="0.3">
      <c r="A2356" s="1">
        <v>2017</v>
      </c>
      <c r="B2356" s="1" t="s">
        <v>20</v>
      </c>
      <c r="C2356" s="1" t="s">
        <v>18</v>
      </c>
      <c r="D2356" s="1" t="s">
        <v>27</v>
      </c>
      <c r="E2356" s="1">
        <v>778955.38</v>
      </c>
      <c r="F2356" s="1">
        <v>27278.87</v>
      </c>
      <c r="G2356" s="1">
        <v>12529</v>
      </c>
      <c r="H2356" s="1">
        <v>62.172190919999998</v>
      </c>
    </row>
    <row r="2357" spans="1:8" ht="15.75" thickBot="1" x14ac:dyDescent="0.3">
      <c r="A2357" s="1">
        <v>2017</v>
      </c>
      <c r="B2357" s="1" t="s">
        <v>12</v>
      </c>
      <c r="C2357" s="1" t="s">
        <v>21</v>
      </c>
      <c r="D2357" s="1" t="s">
        <v>19</v>
      </c>
      <c r="E2357" s="1">
        <v>8885191.5099999998</v>
      </c>
      <c r="F2357" s="1">
        <v>214217.43</v>
      </c>
      <c r="G2357" s="1">
        <v>37335</v>
      </c>
      <c r="H2357" s="1">
        <v>237.98557679999999</v>
      </c>
    </row>
    <row r="2358" spans="1:8" ht="15.75" thickBot="1" x14ac:dyDescent="0.3">
      <c r="A2358" s="1">
        <v>2014</v>
      </c>
      <c r="B2358" s="1" t="s">
        <v>35</v>
      </c>
      <c r="C2358" s="1" t="s">
        <v>28</v>
      </c>
      <c r="D2358" s="1" t="s">
        <v>31</v>
      </c>
      <c r="E2358" s="1">
        <v>0</v>
      </c>
      <c r="F2358" s="1">
        <v>0</v>
      </c>
      <c r="G2358" s="1">
        <v>23</v>
      </c>
      <c r="H2358" s="1">
        <v>0</v>
      </c>
    </row>
    <row r="2359" spans="1:8" ht="15.75" thickBot="1" x14ac:dyDescent="0.3">
      <c r="A2359" s="1">
        <v>2017</v>
      </c>
      <c r="B2359" s="1" t="s">
        <v>17</v>
      </c>
      <c r="C2359" s="1" t="s">
        <v>28</v>
      </c>
      <c r="D2359" s="1" t="s">
        <v>34</v>
      </c>
      <c r="E2359" s="1">
        <v>1134612.06</v>
      </c>
      <c r="F2359" s="1">
        <v>23913.65</v>
      </c>
      <c r="G2359" s="1">
        <v>14210</v>
      </c>
      <c r="H2359" s="1">
        <v>79.846028149999995</v>
      </c>
    </row>
    <row r="2360" spans="1:8" ht="15.75" thickBot="1" x14ac:dyDescent="0.3">
      <c r="A2360" s="1">
        <v>2015</v>
      </c>
      <c r="B2360" s="1" t="s">
        <v>30</v>
      </c>
      <c r="C2360" s="1" t="s">
        <v>18</v>
      </c>
      <c r="D2360" s="1" t="s">
        <v>13</v>
      </c>
      <c r="E2360" s="1">
        <v>104465.47</v>
      </c>
      <c r="F2360" s="1">
        <v>2439.41</v>
      </c>
      <c r="G2360" s="1">
        <v>1246</v>
      </c>
      <c r="H2360" s="1">
        <v>83.840666130000002</v>
      </c>
    </row>
    <row r="2361" spans="1:8" ht="15.75" thickBot="1" x14ac:dyDescent="0.3">
      <c r="A2361" s="1">
        <v>2017</v>
      </c>
      <c r="B2361" s="1" t="s">
        <v>20</v>
      </c>
      <c r="C2361" s="1" t="s">
        <v>25</v>
      </c>
      <c r="D2361" s="1" t="s">
        <v>34</v>
      </c>
      <c r="E2361" s="1">
        <v>23125.46</v>
      </c>
      <c r="F2361" s="1">
        <v>899.7</v>
      </c>
      <c r="G2361" s="1">
        <v>671</v>
      </c>
      <c r="H2361" s="1">
        <v>34.46417288</v>
      </c>
    </row>
    <row r="2362" spans="1:8" ht="15.75" thickBot="1" x14ac:dyDescent="0.3">
      <c r="A2362" s="1">
        <v>2017</v>
      </c>
      <c r="B2362" s="1" t="s">
        <v>11</v>
      </c>
      <c r="C2362" s="1" t="s">
        <v>25</v>
      </c>
      <c r="D2362" s="1" t="s">
        <v>29</v>
      </c>
      <c r="E2362" s="1">
        <v>5991986.0899999999</v>
      </c>
      <c r="F2362" s="1">
        <v>181252.72</v>
      </c>
      <c r="G2362" s="1">
        <v>14744</v>
      </c>
      <c r="H2362" s="1">
        <v>406.40166099999999</v>
      </c>
    </row>
    <row r="2363" spans="1:8" ht="15.75" thickBot="1" x14ac:dyDescent="0.3">
      <c r="A2363" s="1">
        <v>2014</v>
      </c>
      <c r="B2363" s="1" t="s">
        <v>17</v>
      </c>
      <c r="C2363" s="1" t="s">
        <v>23</v>
      </c>
      <c r="D2363" s="1" t="s">
        <v>29</v>
      </c>
      <c r="E2363" s="1">
        <v>4348309.6399999997</v>
      </c>
      <c r="F2363" s="1">
        <v>141612.17000000001</v>
      </c>
      <c r="G2363" s="1">
        <v>18093</v>
      </c>
      <c r="H2363" s="1">
        <v>240.33104739999999</v>
      </c>
    </row>
    <row r="2364" spans="1:8" ht="15.75" thickBot="1" x14ac:dyDescent="0.3">
      <c r="A2364" s="1">
        <v>2016</v>
      </c>
      <c r="B2364" s="1" t="s">
        <v>35</v>
      </c>
      <c r="C2364" s="1" t="s">
        <v>9</v>
      </c>
      <c r="D2364" s="1" t="s">
        <v>29</v>
      </c>
      <c r="E2364" s="1">
        <v>5870.85</v>
      </c>
      <c r="F2364" s="1">
        <v>87.1</v>
      </c>
      <c r="G2364" s="1">
        <v>48</v>
      </c>
      <c r="H2364" s="1">
        <v>122.309375</v>
      </c>
    </row>
    <row r="2365" spans="1:8" ht="15.75" thickBot="1" x14ac:dyDescent="0.3">
      <c r="A2365" s="1">
        <v>2015</v>
      </c>
      <c r="B2365" s="1" t="s">
        <v>14</v>
      </c>
      <c r="C2365" s="1" t="s">
        <v>18</v>
      </c>
      <c r="D2365" s="1" t="s">
        <v>32</v>
      </c>
      <c r="E2365" s="1">
        <v>21979955.420000002</v>
      </c>
      <c r="F2365" s="1">
        <v>779079.32</v>
      </c>
      <c r="G2365" s="1">
        <v>375599</v>
      </c>
      <c r="H2365" s="1">
        <v>58.519738920000002</v>
      </c>
    </row>
    <row r="2366" spans="1:8" ht="15.75" thickBot="1" x14ac:dyDescent="0.3">
      <c r="A2366" s="1">
        <v>2016</v>
      </c>
      <c r="B2366" s="1" t="s">
        <v>30</v>
      </c>
      <c r="C2366" s="1" t="s">
        <v>28</v>
      </c>
      <c r="D2366" s="1" t="s">
        <v>27</v>
      </c>
      <c r="E2366" s="1">
        <v>636355504.79999995</v>
      </c>
      <c r="F2366" s="1">
        <v>20943956.530000001</v>
      </c>
      <c r="G2366" s="1">
        <v>8090043</v>
      </c>
      <c r="H2366" s="1">
        <v>78.659100420000001</v>
      </c>
    </row>
    <row r="2367" spans="1:8" ht="15.75" thickBot="1" x14ac:dyDescent="0.3">
      <c r="A2367" s="1">
        <v>2016</v>
      </c>
      <c r="B2367" s="1" t="s">
        <v>14</v>
      </c>
      <c r="C2367" s="1" t="s">
        <v>25</v>
      </c>
      <c r="D2367" s="1" t="s">
        <v>22</v>
      </c>
      <c r="E2367" s="1">
        <v>26787.49</v>
      </c>
      <c r="F2367" s="1">
        <v>1181.71</v>
      </c>
      <c r="G2367" s="1">
        <v>1780</v>
      </c>
      <c r="H2367" s="1">
        <v>15.04915169</v>
      </c>
    </row>
    <row r="2368" spans="1:8" ht="15.75" thickBot="1" x14ac:dyDescent="0.3">
      <c r="A2368" s="1">
        <v>2016</v>
      </c>
      <c r="B2368" s="1" t="s">
        <v>12</v>
      </c>
      <c r="C2368" s="1" t="s">
        <v>9</v>
      </c>
      <c r="D2368" s="1" t="s">
        <v>31</v>
      </c>
      <c r="E2368" s="1">
        <v>169822349.19999999</v>
      </c>
      <c r="F2368" s="1">
        <v>4279227.04</v>
      </c>
      <c r="G2368" s="1">
        <v>1028844</v>
      </c>
      <c r="H2368" s="1">
        <v>165.06132049999999</v>
      </c>
    </row>
    <row r="2369" spans="1:8" ht="15.75" thickBot="1" x14ac:dyDescent="0.3">
      <c r="A2369" s="1">
        <v>2016</v>
      </c>
      <c r="B2369" s="1" t="s">
        <v>14</v>
      </c>
      <c r="C2369" s="1" t="s">
        <v>33</v>
      </c>
      <c r="D2369" s="1" t="s">
        <v>19</v>
      </c>
      <c r="E2369" s="1">
        <v>61497760.509999998</v>
      </c>
      <c r="F2369" s="1">
        <v>1894569.28</v>
      </c>
      <c r="G2369" s="1">
        <v>409350</v>
      </c>
      <c r="H2369" s="1">
        <v>150.23271159999999</v>
      </c>
    </row>
    <row r="2370" spans="1:8" ht="15.75" thickBot="1" x14ac:dyDescent="0.3">
      <c r="A2370" s="1">
        <v>2017</v>
      </c>
      <c r="B2370" s="1" t="s">
        <v>16</v>
      </c>
      <c r="C2370" s="1" t="s">
        <v>23</v>
      </c>
      <c r="D2370" s="1" t="s">
        <v>10</v>
      </c>
      <c r="E2370" s="1">
        <v>13973642.83</v>
      </c>
      <c r="F2370" s="1">
        <v>532914.68999999994</v>
      </c>
      <c r="G2370" s="1">
        <v>277818</v>
      </c>
      <c r="H2370" s="1">
        <v>50.29783106</v>
      </c>
    </row>
    <row r="2371" spans="1:8" ht="15.75" thickBot="1" x14ac:dyDescent="0.3">
      <c r="A2371" s="1">
        <v>2017</v>
      </c>
      <c r="B2371" s="1" t="s">
        <v>12</v>
      </c>
      <c r="C2371" s="1" t="s">
        <v>12</v>
      </c>
      <c r="D2371" s="1" t="s">
        <v>22</v>
      </c>
      <c r="E2371" s="1">
        <v>1014.92</v>
      </c>
      <c r="F2371" s="1">
        <v>66.36</v>
      </c>
      <c r="G2371" s="1">
        <v>118</v>
      </c>
      <c r="H2371" s="1">
        <v>8.6010169489999999</v>
      </c>
    </row>
    <row r="2372" spans="1:8" ht="15.75" thickBot="1" x14ac:dyDescent="0.3">
      <c r="A2372" s="1">
        <v>2015</v>
      </c>
      <c r="B2372" s="1" t="s">
        <v>16</v>
      </c>
      <c r="C2372" s="1" t="s">
        <v>25</v>
      </c>
      <c r="D2372" s="1" t="s">
        <v>32</v>
      </c>
      <c r="E2372" s="1">
        <v>111598216</v>
      </c>
      <c r="F2372" s="1">
        <v>4353028.28</v>
      </c>
      <c r="G2372" s="1">
        <v>2217814</v>
      </c>
      <c r="H2372" s="1">
        <v>50.319015030000003</v>
      </c>
    </row>
    <row r="2373" spans="1:8" ht="15.75" thickBot="1" x14ac:dyDescent="0.3">
      <c r="A2373" s="1">
        <v>2014</v>
      </c>
      <c r="B2373" s="1" t="s">
        <v>16</v>
      </c>
      <c r="C2373" s="1" t="s">
        <v>33</v>
      </c>
      <c r="D2373" s="1" t="s">
        <v>13</v>
      </c>
      <c r="E2373" s="1">
        <v>62549.02</v>
      </c>
      <c r="F2373" s="1">
        <v>1995.33</v>
      </c>
      <c r="G2373" s="1">
        <v>835</v>
      </c>
      <c r="H2373" s="1">
        <v>74.909005989999997</v>
      </c>
    </row>
    <row r="2374" spans="1:8" ht="15.75" thickBot="1" x14ac:dyDescent="0.3">
      <c r="A2374" s="1">
        <v>2015</v>
      </c>
      <c r="B2374" s="1" t="s">
        <v>16</v>
      </c>
      <c r="C2374" s="1" t="s">
        <v>18</v>
      </c>
      <c r="D2374" s="1" t="s">
        <v>27</v>
      </c>
      <c r="E2374" s="1">
        <v>66447575.869999997</v>
      </c>
      <c r="F2374" s="1">
        <v>2406836.19</v>
      </c>
      <c r="G2374" s="1">
        <v>882826</v>
      </c>
      <c r="H2374" s="1">
        <v>75.266899559999999</v>
      </c>
    </row>
    <row r="2375" spans="1:8" ht="15.75" thickBot="1" x14ac:dyDescent="0.3">
      <c r="A2375" s="1">
        <v>2014</v>
      </c>
      <c r="B2375" s="1" t="s">
        <v>35</v>
      </c>
      <c r="C2375" s="1" t="s">
        <v>26</v>
      </c>
      <c r="D2375" s="1" t="s">
        <v>24</v>
      </c>
      <c r="E2375" s="1">
        <v>1390.54</v>
      </c>
      <c r="F2375" s="1">
        <v>54.19</v>
      </c>
      <c r="G2375" s="1">
        <v>14</v>
      </c>
      <c r="H2375" s="1">
        <v>99.324285709999998</v>
      </c>
    </row>
    <row r="2376" spans="1:8" ht="15.75" thickBot="1" x14ac:dyDescent="0.3">
      <c r="A2376" s="1">
        <v>2016</v>
      </c>
      <c r="B2376" s="1" t="s">
        <v>20</v>
      </c>
      <c r="C2376" s="1" t="s">
        <v>33</v>
      </c>
      <c r="D2376" s="1" t="s">
        <v>32</v>
      </c>
      <c r="E2376" s="1">
        <v>8698828.3300000001</v>
      </c>
      <c r="F2376" s="1">
        <v>341286.07</v>
      </c>
      <c r="G2376" s="1">
        <v>280941</v>
      </c>
      <c r="H2376" s="1">
        <v>30.963185620000001</v>
      </c>
    </row>
    <row r="2377" spans="1:8" ht="15.75" thickBot="1" x14ac:dyDescent="0.3">
      <c r="A2377" s="1">
        <v>2014</v>
      </c>
      <c r="B2377" s="1" t="s">
        <v>16</v>
      </c>
      <c r="C2377" s="1" t="s">
        <v>33</v>
      </c>
      <c r="D2377" s="1" t="s">
        <v>22</v>
      </c>
      <c r="E2377" s="1">
        <v>250406.83</v>
      </c>
      <c r="F2377" s="1">
        <v>7465.91</v>
      </c>
      <c r="G2377" s="1">
        <v>13918</v>
      </c>
      <c r="H2377" s="1">
        <v>17.991581409999998</v>
      </c>
    </row>
    <row r="2378" spans="1:8" ht="15.75" thickBot="1" x14ac:dyDescent="0.3">
      <c r="A2378" s="1">
        <v>2016</v>
      </c>
      <c r="B2378" s="1" t="s">
        <v>17</v>
      </c>
      <c r="C2378" s="1" t="s">
        <v>15</v>
      </c>
      <c r="D2378" s="1" t="s">
        <v>19</v>
      </c>
      <c r="E2378" s="1">
        <v>16308291.9</v>
      </c>
      <c r="F2378" s="1">
        <v>561983.53</v>
      </c>
      <c r="G2378" s="1">
        <v>82322</v>
      </c>
      <c r="H2378" s="1">
        <v>198.10368919999999</v>
      </c>
    </row>
    <row r="2379" spans="1:8" ht="15.75" thickBot="1" x14ac:dyDescent="0.3">
      <c r="A2379" s="1">
        <v>2014</v>
      </c>
      <c r="B2379" s="1" t="s">
        <v>11</v>
      </c>
      <c r="C2379" s="1" t="s">
        <v>25</v>
      </c>
      <c r="D2379" s="1" t="s">
        <v>24</v>
      </c>
      <c r="E2379" s="1">
        <v>5568028.25</v>
      </c>
      <c r="F2379" s="1">
        <v>154305.45000000001</v>
      </c>
      <c r="G2379" s="1">
        <v>19366</v>
      </c>
      <c r="H2379" s="1">
        <v>287.51565890000001</v>
      </c>
    </row>
    <row r="2380" spans="1:8" ht="15.75" thickBot="1" x14ac:dyDescent="0.3">
      <c r="A2380" s="1">
        <v>2014</v>
      </c>
      <c r="B2380" s="1" t="s">
        <v>11</v>
      </c>
      <c r="C2380" s="1" t="s">
        <v>23</v>
      </c>
      <c r="D2380" s="1" t="s">
        <v>27</v>
      </c>
      <c r="E2380" s="1">
        <v>111911875.90000001</v>
      </c>
      <c r="F2380" s="1">
        <v>3135388.85</v>
      </c>
      <c r="G2380" s="1">
        <v>1593333</v>
      </c>
      <c r="H2380" s="1">
        <v>70.237593709999999</v>
      </c>
    </row>
    <row r="2381" spans="1:8" ht="15.75" thickBot="1" x14ac:dyDescent="0.3">
      <c r="A2381" s="1">
        <v>2014</v>
      </c>
      <c r="B2381" s="1" t="s">
        <v>11</v>
      </c>
      <c r="C2381" s="1" t="s">
        <v>33</v>
      </c>
      <c r="D2381" s="1" t="s">
        <v>22</v>
      </c>
      <c r="E2381" s="1">
        <v>17843901.66</v>
      </c>
      <c r="F2381" s="1">
        <v>522043.43</v>
      </c>
      <c r="G2381" s="1">
        <v>1142985</v>
      </c>
      <c r="H2381" s="1">
        <v>15.6116674</v>
      </c>
    </row>
    <row r="2382" spans="1:8" ht="15.75" thickBot="1" x14ac:dyDescent="0.3">
      <c r="A2382" s="1">
        <v>2014</v>
      </c>
      <c r="B2382" s="1" t="s">
        <v>16</v>
      </c>
      <c r="C2382" s="1" t="s">
        <v>23</v>
      </c>
      <c r="D2382" s="1" t="s">
        <v>13</v>
      </c>
      <c r="E2382" s="1">
        <v>137952.73000000001</v>
      </c>
      <c r="F2382" s="1">
        <v>4447.79</v>
      </c>
      <c r="G2382" s="1">
        <v>1305</v>
      </c>
      <c r="H2382" s="1">
        <v>105.7109042</v>
      </c>
    </row>
    <row r="2383" spans="1:8" ht="15.75" thickBot="1" x14ac:dyDescent="0.3">
      <c r="A2383" s="1">
        <v>2014</v>
      </c>
      <c r="B2383" s="1" t="s">
        <v>8</v>
      </c>
      <c r="C2383" s="1" t="s">
        <v>26</v>
      </c>
      <c r="D2383" s="1" t="s">
        <v>32</v>
      </c>
      <c r="E2383" s="1">
        <v>137.36000000000001</v>
      </c>
      <c r="F2383" s="1">
        <v>6.38</v>
      </c>
      <c r="G2383" s="1">
        <v>8</v>
      </c>
      <c r="H2383" s="1">
        <v>17.170000000000002</v>
      </c>
    </row>
    <row r="2384" spans="1:8" ht="15.75" thickBot="1" x14ac:dyDescent="0.3">
      <c r="A2384" s="1">
        <v>2016</v>
      </c>
      <c r="B2384" s="1" t="s">
        <v>35</v>
      </c>
      <c r="C2384" s="1" t="s">
        <v>21</v>
      </c>
      <c r="D2384" s="1" t="s">
        <v>10</v>
      </c>
      <c r="E2384" s="1">
        <v>-46.76</v>
      </c>
      <c r="F2384" s="1">
        <v>1.53</v>
      </c>
      <c r="G2384" s="1">
        <v>150</v>
      </c>
      <c r="H2384" s="1">
        <v>-0.31173333330000003</v>
      </c>
    </row>
    <row r="2385" spans="1:8" ht="15.75" thickBot="1" x14ac:dyDescent="0.3">
      <c r="A2385" s="1">
        <v>2017</v>
      </c>
      <c r="B2385" s="1" t="s">
        <v>20</v>
      </c>
      <c r="C2385" s="1" t="s">
        <v>21</v>
      </c>
      <c r="D2385" s="1" t="s">
        <v>32</v>
      </c>
      <c r="E2385" s="1">
        <v>7601893.1600000001</v>
      </c>
      <c r="F2385" s="1">
        <v>301159.45</v>
      </c>
      <c r="G2385" s="1">
        <v>251612</v>
      </c>
      <c r="H2385" s="1">
        <v>30.212760759999998</v>
      </c>
    </row>
    <row r="2386" spans="1:8" ht="15.75" thickBot="1" x14ac:dyDescent="0.3">
      <c r="A2386" s="1">
        <v>2014</v>
      </c>
      <c r="B2386" s="1" t="s">
        <v>14</v>
      </c>
      <c r="C2386" s="1" t="s">
        <v>25</v>
      </c>
      <c r="D2386" s="1" t="s">
        <v>22</v>
      </c>
      <c r="E2386" s="1">
        <v>25274.74</v>
      </c>
      <c r="F2386" s="1">
        <v>909.34</v>
      </c>
      <c r="G2386" s="1">
        <v>2191</v>
      </c>
      <c r="H2386" s="1">
        <v>11.53570972</v>
      </c>
    </row>
    <row r="2387" spans="1:8" ht="15.75" thickBot="1" x14ac:dyDescent="0.3">
      <c r="A2387" s="1">
        <v>2014</v>
      </c>
      <c r="B2387" s="1" t="s">
        <v>11</v>
      </c>
      <c r="C2387" s="1" t="s">
        <v>18</v>
      </c>
      <c r="D2387" s="1" t="s">
        <v>19</v>
      </c>
      <c r="E2387" s="1">
        <v>681622.76</v>
      </c>
      <c r="F2387" s="1">
        <v>20042.13</v>
      </c>
      <c r="G2387" s="1">
        <v>3065</v>
      </c>
      <c r="H2387" s="1">
        <v>222.38915499999999</v>
      </c>
    </row>
    <row r="2388" spans="1:8" ht="15.75" thickBot="1" x14ac:dyDescent="0.3">
      <c r="A2388" s="1">
        <v>2016</v>
      </c>
      <c r="B2388" s="1" t="s">
        <v>8</v>
      </c>
      <c r="C2388" s="1" t="s">
        <v>26</v>
      </c>
      <c r="D2388" s="1" t="s">
        <v>24</v>
      </c>
      <c r="E2388" s="1">
        <v>41.93</v>
      </c>
      <c r="F2388" s="1">
        <v>2.98</v>
      </c>
      <c r="G2388" s="1">
        <v>3</v>
      </c>
      <c r="H2388" s="1">
        <v>13.97666667</v>
      </c>
    </row>
    <row r="2389" spans="1:8" ht="15.75" thickBot="1" x14ac:dyDescent="0.3">
      <c r="A2389" s="1">
        <v>2015</v>
      </c>
      <c r="B2389" s="1" t="s">
        <v>16</v>
      </c>
      <c r="C2389" s="1" t="s">
        <v>23</v>
      </c>
      <c r="D2389" s="1" t="s">
        <v>22</v>
      </c>
      <c r="E2389" s="1">
        <v>41408.75</v>
      </c>
      <c r="F2389" s="1">
        <v>1297.42</v>
      </c>
      <c r="G2389" s="1">
        <v>2528</v>
      </c>
      <c r="H2389" s="1">
        <v>16.38004351</v>
      </c>
    </row>
    <row r="2390" spans="1:8" ht="15.75" thickBot="1" x14ac:dyDescent="0.3">
      <c r="A2390" s="1">
        <v>2016</v>
      </c>
      <c r="B2390" s="1" t="s">
        <v>14</v>
      </c>
      <c r="C2390" s="1" t="s">
        <v>26</v>
      </c>
      <c r="D2390" s="1" t="s">
        <v>22</v>
      </c>
      <c r="E2390" s="1">
        <v>15148.75</v>
      </c>
      <c r="F2390" s="1">
        <v>639.49</v>
      </c>
      <c r="G2390" s="1">
        <v>941</v>
      </c>
      <c r="H2390" s="1">
        <v>16.098565359999998</v>
      </c>
    </row>
    <row r="2391" spans="1:8" ht="15.75" thickBot="1" x14ac:dyDescent="0.3">
      <c r="A2391" s="1">
        <v>2015</v>
      </c>
      <c r="B2391" s="1" t="s">
        <v>14</v>
      </c>
      <c r="C2391" s="1" t="s">
        <v>21</v>
      </c>
      <c r="D2391" s="1" t="s">
        <v>32</v>
      </c>
      <c r="E2391" s="1">
        <v>80383074.010000005</v>
      </c>
      <c r="F2391" s="1">
        <v>3138716.77</v>
      </c>
      <c r="G2391" s="1">
        <v>1947486</v>
      </c>
      <c r="H2391" s="1">
        <v>41.275302629999999</v>
      </c>
    </row>
    <row r="2392" spans="1:8" ht="15.75" thickBot="1" x14ac:dyDescent="0.3">
      <c r="A2392" s="1">
        <v>2014</v>
      </c>
      <c r="B2392" s="1" t="s">
        <v>35</v>
      </c>
      <c r="C2392" s="1" t="s">
        <v>12</v>
      </c>
      <c r="D2392" s="1" t="s">
        <v>32</v>
      </c>
      <c r="E2392" s="1">
        <v>12118.77</v>
      </c>
      <c r="F2392" s="1">
        <v>819.14</v>
      </c>
      <c r="G2392" s="1">
        <v>1084</v>
      </c>
      <c r="H2392" s="1">
        <v>11.179677119999999</v>
      </c>
    </row>
    <row r="2393" spans="1:8" ht="15.75" thickBot="1" x14ac:dyDescent="0.3">
      <c r="A2393" s="1">
        <v>2016</v>
      </c>
      <c r="B2393" s="1" t="s">
        <v>30</v>
      </c>
      <c r="C2393" s="1" t="s">
        <v>9</v>
      </c>
      <c r="D2393" s="1" t="s">
        <v>24</v>
      </c>
      <c r="E2393" s="1">
        <v>22172504.550000001</v>
      </c>
      <c r="F2393" s="1">
        <v>716951.99</v>
      </c>
      <c r="G2393" s="1">
        <v>105742</v>
      </c>
      <c r="H2393" s="1">
        <v>209.6849364</v>
      </c>
    </row>
    <row r="2394" spans="1:8" ht="15.75" thickBot="1" x14ac:dyDescent="0.3">
      <c r="A2394" s="1">
        <v>2017</v>
      </c>
      <c r="B2394" s="1" t="s">
        <v>30</v>
      </c>
      <c r="C2394" s="1" t="s">
        <v>33</v>
      </c>
      <c r="D2394" s="1" t="s">
        <v>27</v>
      </c>
      <c r="E2394" s="1">
        <v>461908660.39999998</v>
      </c>
      <c r="F2394" s="1">
        <v>16618074.800000001</v>
      </c>
      <c r="G2394" s="1">
        <v>6376976</v>
      </c>
      <c r="H2394" s="1">
        <v>72.433808810000002</v>
      </c>
    </row>
    <row r="2395" spans="1:8" ht="15.75" thickBot="1" x14ac:dyDescent="0.3">
      <c r="A2395" s="1">
        <v>2017</v>
      </c>
      <c r="B2395" s="1" t="s">
        <v>11</v>
      </c>
      <c r="C2395" s="1" t="s">
        <v>33</v>
      </c>
      <c r="D2395" s="1" t="s">
        <v>10</v>
      </c>
      <c r="E2395" s="1">
        <v>867248237.89999998</v>
      </c>
      <c r="F2395" s="1">
        <v>19123515.550000001</v>
      </c>
      <c r="G2395" s="1">
        <v>14154742</v>
      </c>
      <c r="H2395" s="1">
        <v>61.269095389999997</v>
      </c>
    </row>
    <row r="2396" spans="1:8" ht="15.75" thickBot="1" x14ac:dyDescent="0.3">
      <c r="A2396" s="1">
        <v>2017</v>
      </c>
      <c r="B2396" s="1" t="s">
        <v>30</v>
      </c>
      <c r="C2396" s="1" t="s">
        <v>23</v>
      </c>
      <c r="D2396" s="1" t="s">
        <v>32</v>
      </c>
      <c r="E2396" s="1">
        <v>15633813.140000001</v>
      </c>
      <c r="F2396" s="1">
        <v>666234.59</v>
      </c>
      <c r="G2396" s="1">
        <v>448866</v>
      </c>
      <c r="H2396" s="1">
        <v>34.82957751</v>
      </c>
    </row>
    <row r="2397" spans="1:8" ht="15.75" thickBot="1" x14ac:dyDescent="0.3">
      <c r="A2397" s="1">
        <v>2015</v>
      </c>
      <c r="B2397" s="1" t="s">
        <v>14</v>
      </c>
      <c r="C2397" s="1" t="s">
        <v>9</v>
      </c>
      <c r="D2397" s="1" t="s">
        <v>24</v>
      </c>
      <c r="E2397" s="1">
        <v>33794609.340000004</v>
      </c>
      <c r="F2397" s="1">
        <v>1068042.31</v>
      </c>
      <c r="G2397" s="1">
        <v>123642</v>
      </c>
      <c r="H2397" s="1">
        <v>273.32629159999999</v>
      </c>
    </row>
    <row r="2398" spans="1:8" ht="15.75" thickBot="1" x14ac:dyDescent="0.3">
      <c r="A2398" s="1">
        <v>2016</v>
      </c>
      <c r="B2398" s="1" t="s">
        <v>11</v>
      </c>
      <c r="C2398" s="1" t="s">
        <v>28</v>
      </c>
      <c r="D2398" s="1" t="s">
        <v>24</v>
      </c>
      <c r="E2398" s="1">
        <v>33061916.91</v>
      </c>
      <c r="F2398" s="1">
        <v>886454.6</v>
      </c>
      <c r="G2398" s="1">
        <v>37927</v>
      </c>
      <c r="H2398" s="1">
        <v>871.72507470000005</v>
      </c>
    </row>
    <row r="2399" spans="1:8" ht="15.75" thickBot="1" x14ac:dyDescent="0.3">
      <c r="A2399" s="1">
        <v>2014</v>
      </c>
      <c r="B2399" s="1" t="s">
        <v>35</v>
      </c>
      <c r="C2399" s="1" t="s">
        <v>12</v>
      </c>
      <c r="D2399" s="1" t="s">
        <v>29</v>
      </c>
      <c r="E2399" s="1">
        <v>2604.6799999999998</v>
      </c>
      <c r="F2399" s="1">
        <v>122.84</v>
      </c>
      <c r="G2399" s="1">
        <v>61</v>
      </c>
      <c r="H2399" s="1">
        <v>42.699672130000003</v>
      </c>
    </row>
    <row r="2400" spans="1:8" ht="15.75" thickBot="1" x14ac:dyDescent="0.3">
      <c r="A2400" s="1">
        <v>2017</v>
      </c>
      <c r="B2400" s="1" t="s">
        <v>16</v>
      </c>
      <c r="C2400" s="1" t="s">
        <v>26</v>
      </c>
      <c r="D2400" s="1" t="s">
        <v>22</v>
      </c>
      <c r="E2400" s="1">
        <v>128420.98</v>
      </c>
      <c r="F2400" s="1">
        <v>4616.83</v>
      </c>
      <c r="G2400" s="1">
        <v>6764</v>
      </c>
      <c r="H2400" s="1">
        <v>18.985952099999999</v>
      </c>
    </row>
    <row r="2401" spans="1:8" ht="15.75" thickBot="1" x14ac:dyDescent="0.3">
      <c r="A2401" s="1">
        <v>2015</v>
      </c>
      <c r="B2401" s="1" t="s">
        <v>11</v>
      </c>
      <c r="C2401" s="1" t="s">
        <v>23</v>
      </c>
      <c r="D2401" s="1" t="s">
        <v>19</v>
      </c>
      <c r="E2401" s="1">
        <v>4319466.4000000004</v>
      </c>
      <c r="F2401" s="1">
        <v>144499.04</v>
      </c>
      <c r="G2401" s="1">
        <v>28760</v>
      </c>
      <c r="H2401" s="1">
        <v>150.19006949999999</v>
      </c>
    </row>
    <row r="2402" spans="1:8" ht="15.75" thickBot="1" x14ac:dyDescent="0.3">
      <c r="A2402" s="1">
        <v>2016</v>
      </c>
      <c r="B2402" s="1" t="s">
        <v>12</v>
      </c>
      <c r="C2402" s="1" t="s">
        <v>9</v>
      </c>
      <c r="D2402" s="1" t="s">
        <v>24</v>
      </c>
      <c r="E2402" s="1">
        <v>38138.04</v>
      </c>
      <c r="F2402" s="1">
        <v>392.78</v>
      </c>
      <c r="G2402" s="1">
        <v>249</v>
      </c>
      <c r="H2402" s="1">
        <v>153.1648193</v>
      </c>
    </row>
    <row r="2403" spans="1:8" ht="15.75" thickBot="1" x14ac:dyDescent="0.3">
      <c r="A2403" s="1">
        <v>2015</v>
      </c>
      <c r="B2403" s="1" t="s">
        <v>12</v>
      </c>
      <c r="C2403" s="1" t="s">
        <v>23</v>
      </c>
      <c r="D2403" s="1" t="s">
        <v>24</v>
      </c>
      <c r="E2403" s="1">
        <v>714151</v>
      </c>
      <c r="F2403" s="1">
        <v>24178.05</v>
      </c>
      <c r="G2403" s="1">
        <v>5108</v>
      </c>
      <c r="H2403" s="1">
        <v>139.81029760000001</v>
      </c>
    </row>
    <row r="2404" spans="1:8" ht="15.75" thickBot="1" x14ac:dyDescent="0.3">
      <c r="A2404" s="1">
        <v>2016</v>
      </c>
      <c r="B2404" s="1" t="s">
        <v>14</v>
      </c>
      <c r="C2404" s="1" t="s">
        <v>23</v>
      </c>
      <c r="D2404" s="1" t="s">
        <v>29</v>
      </c>
      <c r="E2404" s="1">
        <v>5394597.29</v>
      </c>
      <c r="F2404" s="1">
        <v>201731.52</v>
      </c>
      <c r="G2404" s="1">
        <v>58064</v>
      </c>
      <c r="H2404" s="1">
        <v>92.907779169999998</v>
      </c>
    </row>
    <row r="2405" spans="1:8" ht="15.75" thickBot="1" x14ac:dyDescent="0.3">
      <c r="A2405" s="1">
        <v>2017</v>
      </c>
      <c r="B2405" s="1" t="s">
        <v>20</v>
      </c>
      <c r="C2405" s="1" t="s">
        <v>28</v>
      </c>
      <c r="D2405" s="1" t="s">
        <v>19</v>
      </c>
      <c r="E2405" s="1">
        <v>13946064.699999999</v>
      </c>
      <c r="F2405" s="1">
        <v>343981.9</v>
      </c>
      <c r="G2405" s="1">
        <v>262075</v>
      </c>
      <c r="H2405" s="1">
        <v>53.214021559999999</v>
      </c>
    </row>
    <row r="2406" spans="1:8" ht="15.75" thickBot="1" x14ac:dyDescent="0.3">
      <c r="A2406" s="1">
        <v>2017</v>
      </c>
      <c r="B2406" s="1" t="s">
        <v>35</v>
      </c>
      <c r="C2406" s="1" t="s">
        <v>15</v>
      </c>
      <c r="D2406" s="1" t="s">
        <v>19</v>
      </c>
      <c r="E2406" s="1">
        <v>20003.47</v>
      </c>
      <c r="F2406" s="1">
        <v>491.76</v>
      </c>
      <c r="G2406" s="1">
        <v>631</v>
      </c>
      <c r="H2406" s="1">
        <v>31.701220289999998</v>
      </c>
    </row>
    <row r="2407" spans="1:8" ht="15.75" thickBot="1" x14ac:dyDescent="0.3">
      <c r="A2407" s="1">
        <v>2015</v>
      </c>
      <c r="B2407" s="1" t="s">
        <v>17</v>
      </c>
      <c r="C2407" s="1" t="s">
        <v>18</v>
      </c>
      <c r="D2407" s="1" t="s">
        <v>19</v>
      </c>
      <c r="E2407" s="1">
        <v>4899934.3499999996</v>
      </c>
      <c r="F2407" s="1">
        <v>167369.59</v>
      </c>
      <c r="G2407" s="1">
        <v>24335</v>
      </c>
      <c r="H2407" s="1">
        <v>201.35337369999999</v>
      </c>
    </row>
    <row r="2408" spans="1:8" ht="15.75" thickBot="1" x14ac:dyDescent="0.3">
      <c r="A2408" s="1">
        <v>2015</v>
      </c>
      <c r="B2408" s="1" t="s">
        <v>30</v>
      </c>
      <c r="C2408" s="1" t="s">
        <v>21</v>
      </c>
      <c r="D2408" s="1" t="s">
        <v>29</v>
      </c>
      <c r="E2408" s="1">
        <v>11424466.779999999</v>
      </c>
      <c r="F2408" s="1">
        <v>363972.1</v>
      </c>
      <c r="G2408" s="1">
        <v>59923</v>
      </c>
      <c r="H2408" s="1">
        <v>190.6524503</v>
      </c>
    </row>
    <row r="2409" spans="1:8" ht="15.75" thickBot="1" x14ac:dyDescent="0.3">
      <c r="A2409" s="1">
        <v>2015</v>
      </c>
      <c r="B2409" s="1" t="s">
        <v>40</v>
      </c>
      <c r="C2409" s="1" t="s">
        <v>12</v>
      </c>
      <c r="D2409" s="1" t="s">
        <v>19</v>
      </c>
      <c r="E2409" s="1">
        <v>45479.7</v>
      </c>
      <c r="F2409" s="1">
        <v>600</v>
      </c>
      <c r="G2409" s="1">
        <v>317</v>
      </c>
      <c r="H2409" s="1">
        <v>143.46908519999999</v>
      </c>
    </row>
    <row r="2410" spans="1:8" ht="15.75" thickBot="1" x14ac:dyDescent="0.3">
      <c r="A2410" s="1">
        <v>2015</v>
      </c>
      <c r="B2410" s="1" t="s">
        <v>12</v>
      </c>
      <c r="C2410" s="1" t="s">
        <v>18</v>
      </c>
      <c r="D2410" s="1" t="s">
        <v>27</v>
      </c>
      <c r="E2410" s="1">
        <v>3512301.3</v>
      </c>
      <c r="F2410" s="1">
        <v>126801.61</v>
      </c>
      <c r="G2410" s="1">
        <v>46719</v>
      </c>
      <c r="H2410" s="1">
        <v>75.179291079999999</v>
      </c>
    </row>
    <row r="2411" spans="1:8" ht="15.75" thickBot="1" x14ac:dyDescent="0.3">
      <c r="A2411" s="1">
        <v>2014</v>
      </c>
      <c r="B2411" s="1" t="s">
        <v>16</v>
      </c>
      <c r="C2411" s="1" t="s">
        <v>33</v>
      </c>
      <c r="D2411" s="1" t="s">
        <v>10</v>
      </c>
      <c r="E2411" s="1">
        <v>13668765.699999999</v>
      </c>
      <c r="F2411" s="1">
        <v>479256</v>
      </c>
      <c r="G2411" s="1">
        <v>240769</v>
      </c>
      <c r="H2411" s="1">
        <v>56.771285759999998</v>
      </c>
    </row>
    <row r="2412" spans="1:8" ht="15.75" thickBot="1" x14ac:dyDescent="0.3">
      <c r="A2412" s="1">
        <v>2017</v>
      </c>
      <c r="B2412" s="1" t="s">
        <v>20</v>
      </c>
      <c r="C2412" s="1" t="s">
        <v>12</v>
      </c>
      <c r="D2412" s="1" t="s">
        <v>31</v>
      </c>
      <c r="E2412" s="1">
        <v>31442.1</v>
      </c>
      <c r="F2412" s="1">
        <v>1291.3399999999999</v>
      </c>
      <c r="G2412" s="1">
        <v>1157</v>
      </c>
      <c r="H2412" s="1">
        <v>27.17554019</v>
      </c>
    </row>
    <row r="2413" spans="1:8" ht="15.75" thickBot="1" x14ac:dyDescent="0.3">
      <c r="A2413" s="1">
        <v>2017</v>
      </c>
      <c r="B2413" s="1" t="s">
        <v>12</v>
      </c>
      <c r="C2413" s="1" t="s">
        <v>28</v>
      </c>
      <c r="D2413" s="1" t="s">
        <v>24</v>
      </c>
      <c r="E2413" s="1">
        <v>8648577.0399999991</v>
      </c>
      <c r="F2413" s="1">
        <v>263012.39</v>
      </c>
      <c r="G2413" s="1">
        <v>12936</v>
      </c>
      <c r="H2413" s="1">
        <v>668.56656150000003</v>
      </c>
    </row>
    <row r="2414" spans="1:8" ht="15.75" thickBot="1" x14ac:dyDescent="0.3">
      <c r="A2414" s="1">
        <v>2014</v>
      </c>
      <c r="B2414" s="1" t="s">
        <v>20</v>
      </c>
      <c r="C2414" s="1" t="s">
        <v>18</v>
      </c>
      <c r="D2414" s="1" t="s">
        <v>22</v>
      </c>
      <c r="E2414" s="1">
        <v>37.28</v>
      </c>
      <c r="F2414" s="1">
        <v>1.26</v>
      </c>
      <c r="G2414" s="1">
        <v>6</v>
      </c>
      <c r="H2414" s="1">
        <v>6.2133333329999996</v>
      </c>
    </row>
    <row r="2415" spans="1:8" ht="15.75" thickBot="1" x14ac:dyDescent="0.3">
      <c r="A2415" s="1">
        <v>2017</v>
      </c>
      <c r="B2415" s="1" t="s">
        <v>11</v>
      </c>
      <c r="C2415" s="1" t="s">
        <v>9</v>
      </c>
      <c r="D2415" s="1" t="s">
        <v>24</v>
      </c>
      <c r="E2415" s="1">
        <v>41437.65</v>
      </c>
      <c r="F2415" s="1">
        <v>764.6</v>
      </c>
      <c r="G2415" s="1">
        <v>158</v>
      </c>
      <c r="H2415" s="1">
        <v>262.2636076</v>
      </c>
    </row>
    <row r="2416" spans="1:8" ht="15.75" thickBot="1" x14ac:dyDescent="0.3">
      <c r="A2416" s="1">
        <v>2016</v>
      </c>
      <c r="B2416" s="1" t="s">
        <v>16</v>
      </c>
      <c r="C2416" s="1" t="s">
        <v>21</v>
      </c>
      <c r="D2416" s="1" t="s">
        <v>13</v>
      </c>
      <c r="E2416" s="1">
        <v>3090308.05</v>
      </c>
      <c r="F2416" s="1">
        <v>107546.14</v>
      </c>
      <c r="G2416" s="1">
        <v>77216</v>
      </c>
      <c r="H2416" s="1">
        <v>40.021602389999998</v>
      </c>
    </row>
    <row r="2417" spans="1:8" ht="15.75" thickBot="1" x14ac:dyDescent="0.3">
      <c r="A2417" s="1">
        <v>2017</v>
      </c>
      <c r="B2417" s="1" t="s">
        <v>20</v>
      </c>
      <c r="C2417" s="1" t="s">
        <v>33</v>
      </c>
      <c r="D2417" s="1" t="s">
        <v>19</v>
      </c>
      <c r="E2417" s="1">
        <v>6323594.4000000004</v>
      </c>
      <c r="F2417" s="1">
        <v>164238.68</v>
      </c>
      <c r="G2417" s="1">
        <v>78964</v>
      </c>
      <c r="H2417" s="1">
        <v>80.081991790000004</v>
      </c>
    </row>
    <row r="2418" spans="1:8" ht="15.75" thickBot="1" x14ac:dyDescent="0.3">
      <c r="A2418" s="1">
        <v>2016</v>
      </c>
      <c r="B2418" s="1" t="s">
        <v>14</v>
      </c>
      <c r="C2418" s="1" t="s">
        <v>18</v>
      </c>
      <c r="D2418" s="1" t="s">
        <v>22</v>
      </c>
      <c r="E2418" s="1">
        <v>1065.04</v>
      </c>
      <c r="F2418" s="1">
        <v>48.78</v>
      </c>
      <c r="G2418" s="1">
        <v>127</v>
      </c>
      <c r="H2418" s="1">
        <v>8.3861417320000005</v>
      </c>
    </row>
    <row r="2419" spans="1:8" ht="15.75" thickBot="1" x14ac:dyDescent="0.3">
      <c r="A2419" s="1">
        <v>2015</v>
      </c>
      <c r="B2419" s="1" t="s">
        <v>17</v>
      </c>
      <c r="C2419" s="1" t="s">
        <v>23</v>
      </c>
      <c r="D2419" s="1" t="s">
        <v>31</v>
      </c>
      <c r="E2419" s="1">
        <v>5597746.8700000001</v>
      </c>
      <c r="F2419" s="1">
        <v>185207.77</v>
      </c>
      <c r="G2419" s="1">
        <v>100896</v>
      </c>
      <c r="H2419" s="1">
        <v>55.480364629999997</v>
      </c>
    </row>
    <row r="2420" spans="1:8" ht="15.75" thickBot="1" x14ac:dyDescent="0.3">
      <c r="A2420" s="1">
        <v>2017</v>
      </c>
      <c r="B2420" s="1" t="s">
        <v>11</v>
      </c>
      <c r="C2420" s="1" t="s">
        <v>12</v>
      </c>
      <c r="D2420" s="1" t="s">
        <v>22</v>
      </c>
      <c r="E2420" s="1">
        <v>4734882.24</v>
      </c>
      <c r="F2420" s="1">
        <v>162175.49</v>
      </c>
      <c r="G2420" s="1">
        <v>288796</v>
      </c>
      <c r="H2420" s="1">
        <v>16.395248689999999</v>
      </c>
    </row>
    <row r="2421" spans="1:8" ht="15.75" thickBot="1" x14ac:dyDescent="0.3">
      <c r="A2421" s="1">
        <v>2014</v>
      </c>
      <c r="B2421" s="1" t="s">
        <v>17</v>
      </c>
      <c r="C2421" s="1" t="s">
        <v>33</v>
      </c>
      <c r="D2421" s="1" t="s">
        <v>29</v>
      </c>
      <c r="E2421" s="1">
        <v>9772024.3900000006</v>
      </c>
      <c r="F2421" s="1">
        <v>304383.24</v>
      </c>
      <c r="G2421" s="1">
        <v>31694</v>
      </c>
      <c r="H2421" s="1">
        <v>308.32411150000001</v>
      </c>
    </row>
    <row r="2422" spans="1:8" ht="15.75" thickBot="1" x14ac:dyDescent="0.3">
      <c r="A2422" s="1">
        <v>2015</v>
      </c>
      <c r="B2422" s="1" t="s">
        <v>14</v>
      </c>
      <c r="C2422" s="1" t="s">
        <v>21</v>
      </c>
      <c r="D2422" s="1" t="s">
        <v>24</v>
      </c>
      <c r="E2422" s="1">
        <v>20385576.539999999</v>
      </c>
      <c r="F2422" s="1">
        <v>708331.21</v>
      </c>
      <c r="G2422" s="1">
        <v>141744</v>
      </c>
      <c r="H2422" s="1">
        <v>143.8196787</v>
      </c>
    </row>
    <row r="2423" spans="1:8" ht="15.75" thickBot="1" x14ac:dyDescent="0.3">
      <c r="A2423" s="1">
        <v>2016</v>
      </c>
      <c r="B2423" s="1" t="s">
        <v>20</v>
      </c>
      <c r="C2423" s="1" t="s">
        <v>33</v>
      </c>
      <c r="D2423" s="1" t="s">
        <v>10</v>
      </c>
      <c r="E2423" s="1">
        <v>562990.99</v>
      </c>
      <c r="F2423" s="1">
        <v>22622.45</v>
      </c>
      <c r="G2423" s="1">
        <v>18619</v>
      </c>
      <c r="H2423" s="1">
        <v>30.237445080000001</v>
      </c>
    </row>
    <row r="2424" spans="1:8" ht="15.75" thickBot="1" x14ac:dyDescent="0.3">
      <c r="A2424" s="1">
        <v>2014</v>
      </c>
      <c r="B2424" s="1" t="s">
        <v>14</v>
      </c>
      <c r="C2424" s="1" t="s">
        <v>26</v>
      </c>
      <c r="D2424" s="1" t="s">
        <v>31</v>
      </c>
      <c r="E2424" s="1">
        <v>444643.01</v>
      </c>
      <c r="F2424" s="1">
        <v>17464.37</v>
      </c>
      <c r="G2424" s="1">
        <v>10934</v>
      </c>
      <c r="H2424" s="1">
        <v>40.666088350000003</v>
      </c>
    </row>
    <row r="2425" spans="1:8" ht="15.75" thickBot="1" x14ac:dyDescent="0.3">
      <c r="A2425" s="1">
        <v>2014</v>
      </c>
      <c r="B2425" s="1" t="s">
        <v>17</v>
      </c>
      <c r="C2425" s="1" t="s">
        <v>21</v>
      </c>
      <c r="D2425" s="1" t="s">
        <v>29</v>
      </c>
      <c r="E2425" s="1">
        <v>9919770.3599999994</v>
      </c>
      <c r="F2425" s="1">
        <v>314590.94</v>
      </c>
      <c r="G2425" s="1">
        <v>33134</v>
      </c>
      <c r="H2425" s="1">
        <v>299.38342369999998</v>
      </c>
    </row>
    <row r="2426" spans="1:8" ht="15.75" thickBot="1" x14ac:dyDescent="0.3">
      <c r="A2426" s="1">
        <v>2017</v>
      </c>
      <c r="B2426" s="1" t="s">
        <v>16</v>
      </c>
      <c r="C2426" s="1" t="s">
        <v>12</v>
      </c>
      <c r="D2426" s="1" t="s">
        <v>24</v>
      </c>
      <c r="E2426" s="1">
        <v>27871671.57</v>
      </c>
      <c r="F2426" s="1">
        <v>998442.6</v>
      </c>
      <c r="G2426" s="1">
        <v>102813</v>
      </c>
      <c r="H2426" s="1">
        <v>271.0909279</v>
      </c>
    </row>
    <row r="2427" spans="1:8" ht="15.75" thickBot="1" x14ac:dyDescent="0.3">
      <c r="A2427" s="1">
        <v>2015</v>
      </c>
      <c r="B2427" s="1" t="s">
        <v>40</v>
      </c>
      <c r="C2427" s="1" t="s">
        <v>15</v>
      </c>
      <c r="D2427" s="1" t="s">
        <v>27</v>
      </c>
      <c r="E2427" s="1">
        <v>42399.66</v>
      </c>
      <c r="F2427" s="1">
        <v>1358.39</v>
      </c>
      <c r="G2427" s="1">
        <v>374</v>
      </c>
      <c r="H2427" s="1">
        <v>113.3680749</v>
      </c>
    </row>
    <row r="2428" spans="1:8" ht="15.75" thickBot="1" x14ac:dyDescent="0.3">
      <c r="A2428" s="1">
        <v>2015</v>
      </c>
      <c r="B2428" s="1" t="s">
        <v>20</v>
      </c>
      <c r="C2428" s="1" t="s">
        <v>18</v>
      </c>
      <c r="D2428" s="1" t="s">
        <v>13</v>
      </c>
      <c r="E2428" s="1">
        <v>2636.49</v>
      </c>
      <c r="F2428" s="1">
        <v>84.95</v>
      </c>
      <c r="G2428" s="1">
        <v>35</v>
      </c>
      <c r="H2428" s="1">
        <v>75.328285710000003</v>
      </c>
    </row>
    <row r="2429" spans="1:8" ht="15.75" thickBot="1" x14ac:dyDescent="0.3">
      <c r="A2429" s="1">
        <v>2015</v>
      </c>
      <c r="B2429" s="1" t="s">
        <v>14</v>
      </c>
      <c r="C2429" s="1" t="s">
        <v>33</v>
      </c>
      <c r="D2429" s="1" t="s">
        <v>13</v>
      </c>
      <c r="E2429" s="1">
        <v>287999.21000000002</v>
      </c>
      <c r="F2429" s="1">
        <v>10469.4</v>
      </c>
      <c r="G2429" s="1">
        <v>6704</v>
      </c>
      <c r="H2429" s="1">
        <v>42.95930937</v>
      </c>
    </row>
    <row r="2430" spans="1:8" ht="15.75" thickBot="1" x14ac:dyDescent="0.3">
      <c r="A2430" s="1">
        <v>2017</v>
      </c>
      <c r="B2430" s="1" t="s">
        <v>8</v>
      </c>
      <c r="C2430" s="1" t="s">
        <v>15</v>
      </c>
      <c r="D2430" s="1" t="s">
        <v>24</v>
      </c>
      <c r="E2430" s="1">
        <v>925</v>
      </c>
      <c r="F2430" s="1">
        <v>27.13</v>
      </c>
      <c r="G2430" s="1">
        <v>1</v>
      </c>
      <c r="H2430" s="1">
        <v>925</v>
      </c>
    </row>
    <row r="2431" spans="1:8" ht="15.75" thickBot="1" x14ac:dyDescent="0.3">
      <c r="A2431" s="1">
        <v>2017</v>
      </c>
      <c r="B2431" s="1" t="s">
        <v>17</v>
      </c>
      <c r="C2431" s="1" t="s">
        <v>23</v>
      </c>
      <c r="D2431" s="1" t="s">
        <v>31</v>
      </c>
      <c r="E2431" s="1">
        <v>15500270.960000001</v>
      </c>
      <c r="F2431" s="1">
        <v>513046.52</v>
      </c>
      <c r="G2431" s="1">
        <v>295531</v>
      </c>
      <c r="H2431" s="1">
        <v>52.4488834</v>
      </c>
    </row>
    <row r="2432" spans="1:8" ht="15.75" thickBot="1" x14ac:dyDescent="0.3">
      <c r="A2432" s="1">
        <v>2017</v>
      </c>
      <c r="B2432" s="1" t="s">
        <v>14</v>
      </c>
      <c r="C2432" s="1" t="s">
        <v>18</v>
      </c>
      <c r="D2432" s="1" t="s">
        <v>32</v>
      </c>
      <c r="E2432" s="1">
        <v>31245142.16</v>
      </c>
      <c r="F2432" s="1">
        <v>1079058.22</v>
      </c>
      <c r="G2432" s="1">
        <v>512872</v>
      </c>
      <c r="H2432" s="1">
        <v>60.921910650000001</v>
      </c>
    </row>
    <row r="2433" spans="1:8" ht="15.75" thickBot="1" x14ac:dyDescent="0.3">
      <c r="A2433" s="1">
        <v>2015</v>
      </c>
      <c r="B2433" s="1" t="s">
        <v>35</v>
      </c>
      <c r="C2433" s="1" t="s">
        <v>26</v>
      </c>
      <c r="D2433" s="1" t="s">
        <v>31</v>
      </c>
      <c r="E2433" s="1">
        <v>0</v>
      </c>
      <c r="F2433" s="1">
        <v>0</v>
      </c>
      <c r="G2433" s="1">
        <v>3</v>
      </c>
      <c r="H2433" s="1">
        <v>0</v>
      </c>
    </row>
    <row r="2434" spans="1:8" ht="15.75" thickBot="1" x14ac:dyDescent="0.3">
      <c r="A2434" s="1">
        <v>2014</v>
      </c>
      <c r="B2434" s="1" t="s">
        <v>16</v>
      </c>
      <c r="C2434" s="1" t="s">
        <v>12</v>
      </c>
      <c r="D2434" s="1" t="s">
        <v>24</v>
      </c>
      <c r="E2434" s="1">
        <v>22719951.780000001</v>
      </c>
      <c r="F2434" s="1">
        <v>791981.45</v>
      </c>
      <c r="G2434" s="1">
        <v>103459</v>
      </c>
      <c r="H2434" s="1">
        <v>219.60343499999999</v>
      </c>
    </row>
    <row r="2435" spans="1:8" ht="15.75" thickBot="1" x14ac:dyDescent="0.3">
      <c r="A2435" s="1">
        <v>2017</v>
      </c>
      <c r="B2435" s="1" t="s">
        <v>14</v>
      </c>
      <c r="C2435" s="1" t="s">
        <v>18</v>
      </c>
      <c r="D2435" s="1" t="s">
        <v>29</v>
      </c>
      <c r="E2435" s="1">
        <v>7962893.21</v>
      </c>
      <c r="F2435" s="1">
        <v>253716.58</v>
      </c>
      <c r="G2435" s="1">
        <v>28381</v>
      </c>
      <c r="H2435" s="1">
        <v>280.5712699</v>
      </c>
    </row>
    <row r="2436" spans="1:8" ht="15.75" thickBot="1" x14ac:dyDescent="0.3">
      <c r="A2436" s="1">
        <v>2015</v>
      </c>
      <c r="B2436" s="1" t="s">
        <v>8</v>
      </c>
      <c r="C2436" s="1" t="s">
        <v>23</v>
      </c>
      <c r="D2436" s="1" t="s">
        <v>27</v>
      </c>
      <c r="E2436" s="1">
        <v>10864.71</v>
      </c>
      <c r="F2436" s="1">
        <v>474.11</v>
      </c>
      <c r="G2436" s="1">
        <v>520</v>
      </c>
      <c r="H2436" s="1">
        <v>20.893673079999999</v>
      </c>
    </row>
    <row r="2437" spans="1:8" ht="15.75" thickBot="1" x14ac:dyDescent="0.3">
      <c r="A2437" s="1">
        <v>2016</v>
      </c>
      <c r="B2437" s="1" t="s">
        <v>20</v>
      </c>
      <c r="C2437" s="1" t="s">
        <v>15</v>
      </c>
      <c r="D2437" s="1" t="s">
        <v>29</v>
      </c>
      <c r="E2437" s="1">
        <v>1106627.42</v>
      </c>
      <c r="F2437" s="1">
        <v>36819.949999999997</v>
      </c>
      <c r="G2437" s="1">
        <v>9736</v>
      </c>
      <c r="H2437" s="1">
        <v>113.6634573</v>
      </c>
    </row>
    <row r="2438" spans="1:8" ht="15.75" thickBot="1" x14ac:dyDescent="0.3">
      <c r="A2438" s="1">
        <v>2016</v>
      </c>
      <c r="B2438" s="1" t="s">
        <v>35</v>
      </c>
      <c r="C2438" s="1" t="s">
        <v>15</v>
      </c>
      <c r="D2438" s="1" t="s">
        <v>19</v>
      </c>
      <c r="E2438" s="1">
        <v>37359.85</v>
      </c>
      <c r="F2438" s="1">
        <v>719.31</v>
      </c>
      <c r="G2438" s="1">
        <v>569</v>
      </c>
      <c r="H2438" s="1">
        <v>65.658787349999997</v>
      </c>
    </row>
    <row r="2439" spans="1:8" ht="15.75" thickBot="1" x14ac:dyDescent="0.3">
      <c r="A2439" s="1">
        <v>2016</v>
      </c>
      <c r="B2439" s="1" t="s">
        <v>35</v>
      </c>
      <c r="C2439" s="1" t="s">
        <v>15</v>
      </c>
      <c r="D2439" s="1" t="s">
        <v>13</v>
      </c>
      <c r="E2439" s="1">
        <v>-0.99</v>
      </c>
      <c r="F2439" s="1">
        <v>0.01</v>
      </c>
      <c r="G2439" s="1">
        <v>12</v>
      </c>
      <c r="H2439" s="1">
        <v>-8.2500000000000004E-2</v>
      </c>
    </row>
    <row r="2440" spans="1:8" ht="15.75" thickBot="1" x14ac:dyDescent="0.3">
      <c r="A2440" s="1">
        <v>2017</v>
      </c>
      <c r="B2440" s="1" t="s">
        <v>12</v>
      </c>
      <c r="C2440" s="1" t="s">
        <v>12</v>
      </c>
      <c r="D2440" s="1" t="s">
        <v>13</v>
      </c>
      <c r="E2440" s="1">
        <v>189760.09</v>
      </c>
      <c r="F2440" s="1">
        <v>6948.53</v>
      </c>
      <c r="G2440" s="1">
        <v>7602</v>
      </c>
      <c r="H2440" s="1">
        <v>24.96186398</v>
      </c>
    </row>
    <row r="2441" spans="1:8" ht="15.75" thickBot="1" x14ac:dyDescent="0.3">
      <c r="A2441" s="1">
        <v>2016</v>
      </c>
      <c r="B2441" s="1" t="s">
        <v>16</v>
      </c>
      <c r="C2441" s="1" t="s">
        <v>26</v>
      </c>
      <c r="D2441" s="1" t="s">
        <v>10</v>
      </c>
      <c r="E2441" s="1">
        <v>16113080.960000001</v>
      </c>
      <c r="F2441" s="1">
        <v>582901.68999999994</v>
      </c>
      <c r="G2441" s="1">
        <v>297217</v>
      </c>
      <c r="H2441" s="1">
        <v>54.21318754</v>
      </c>
    </row>
    <row r="2442" spans="1:8" ht="15.75" thickBot="1" x14ac:dyDescent="0.3">
      <c r="A2442" s="1">
        <v>2015</v>
      </c>
      <c r="B2442" s="1" t="s">
        <v>17</v>
      </c>
      <c r="C2442" s="1" t="s">
        <v>15</v>
      </c>
      <c r="D2442" s="1" t="s">
        <v>10</v>
      </c>
      <c r="E2442" s="1">
        <v>31605126.010000002</v>
      </c>
      <c r="F2442" s="1">
        <v>1006533.62</v>
      </c>
      <c r="G2442" s="1">
        <v>546677</v>
      </c>
      <c r="H2442" s="1">
        <v>57.813162089999999</v>
      </c>
    </row>
    <row r="2443" spans="1:8" ht="15.75" thickBot="1" x14ac:dyDescent="0.3">
      <c r="A2443" s="1">
        <v>2015</v>
      </c>
      <c r="B2443" s="1" t="s">
        <v>11</v>
      </c>
      <c r="C2443" s="1" t="s">
        <v>23</v>
      </c>
      <c r="D2443" s="1" t="s">
        <v>10</v>
      </c>
      <c r="E2443" s="1">
        <v>80734453.75</v>
      </c>
      <c r="F2443" s="1">
        <v>1855827.89</v>
      </c>
      <c r="G2443" s="1">
        <v>1157887</v>
      </c>
      <c r="H2443" s="1">
        <v>69.725675949999996</v>
      </c>
    </row>
    <row r="2444" spans="1:8" ht="15.75" thickBot="1" x14ac:dyDescent="0.3">
      <c r="A2444" s="1">
        <v>2015</v>
      </c>
      <c r="B2444" s="1" t="s">
        <v>20</v>
      </c>
      <c r="C2444" s="1" t="s">
        <v>12</v>
      </c>
      <c r="D2444" s="1" t="s">
        <v>32</v>
      </c>
      <c r="E2444" s="1">
        <v>5136398.04</v>
      </c>
      <c r="F2444" s="1">
        <v>205338.79</v>
      </c>
      <c r="G2444" s="1">
        <v>157095</v>
      </c>
      <c r="H2444" s="1">
        <v>32.696126800000002</v>
      </c>
    </row>
    <row r="2445" spans="1:8" ht="15.75" thickBot="1" x14ac:dyDescent="0.3">
      <c r="A2445" s="1">
        <v>2016</v>
      </c>
      <c r="B2445" s="1" t="s">
        <v>17</v>
      </c>
      <c r="C2445" s="1" t="s">
        <v>9</v>
      </c>
      <c r="D2445" s="1" t="s">
        <v>10</v>
      </c>
      <c r="E2445" s="1">
        <v>30713.77</v>
      </c>
      <c r="F2445" s="1">
        <v>1455.88</v>
      </c>
      <c r="G2445" s="1">
        <v>16485</v>
      </c>
      <c r="H2445" s="1">
        <v>1.8631343650000001</v>
      </c>
    </row>
    <row r="2446" spans="1:8" ht="15.75" thickBot="1" x14ac:dyDescent="0.3">
      <c r="A2446" s="1">
        <v>2014</v>
      </c>
      <c r="B2446" s="1" t="s">
        <v>8</v>
      </c>
      <c r="C2446" s="1" t="s">
        <v>9</v>
      </c>
      <c r="D2446" s="1" t="s">
        <v>32</v>
      </c>
      <c r="E2446" s="1">
        <v>-125</v>
      </c>
      <c r="F2446" s="1">
        <v>0</v>
      </c>
      <c r="G2446" s="1">
        <v>2</v>
      </c>
      <c r="H2446" s="1">
        <v>-62.5</v>
      </c>
    </row>
    <row r="2447" spans="1:8" ht="15.75" thickBot="1" x14ac:dyDescent="0.3">
      <c r="A2447" s="1">
        <v>2015</v>
      </c>
      <c r="B2447" s="1" t="s">
        <v>12</v>
      </c>
      <c r="C2447" s="1" t="s">
        <v>28</v>
      </c>
      <c r="D2447" s="1" t="s">
        <v>31</v>
      </c>
      <c r="E2447" s="1">
        <v>212885.94</v>
      </c>
      <c r="F2447" s="1">
        <v>6959.23</v>
      </c>
      <c r="G2447" s="1">
        <v>3129</v>
      </c>
      <c r="H2447" s="1">
        <v>68.036414190000002</v>
      </c>
    </row>
    <row r="2448" spans="1:8" ht="15.75" thickBot="1" x14ac:dyDescent="0.3">
      <c r="A2448" s="1">
        <v>2015</v>
      </c>
      <c r="B2448" s="1" t="s">
        <v>12</v>
      </c>
      <c r="C2448" s="1" t="s">
        <v>12</v>
      </c>
      <c r="D2448" s="1" t="s">
        <v>32</v>
      </c>
      <c r="E2448" s="1">
        <v>13384722.27</v>
      </c>
      <c r="F2448" s="1">
        <v>485848.08</v>
      </c>
      <c r="G2448" s="1">
        <v>240271</v>
      </c>
      <c r="H2448" s="1">
        <v>55.706773890000001</v>
      </c>
    </row>
    <row r="2449" spans="1:8" ht="15.75" thickBot="1" x14ac:dyDescent="0.3">
      <c r="A2449" s="1">
        <v>2014</v>
      </c>
      <c r="B2449" s="1" t="s">
        <v>14</v>
      </c>
      <c r="C2449" s="1" t="s">
        <v>26</v>
      </c>
      <c r="D2449" s="1" t="s">
        <v>19</v>
      </c>
      <c r="E2449" s="1">
        <v>30919442.280000001</v>
      </c>
      <c r="F2449" s="1">
        <v>1103566.6399999999</v>
      </c>
      <c r="G2449" s="1">
        <v>372034</v>
      </c>
      <c r="H2449" s="1">
        <v>83.109184319999997</v>
      </c>
    </row>
    <row r="2450" spans="1:8" ht="15.75" thickBot="1" x14ac:dyDescent="0.3">
      <c r="A2450" s="1">
        <v>2016</v>
      </c>
      <c r="B2450" s="1" t="s">
        <v>16</v>
      </c>
      <c r="C2450" s="1" t="s">
        <v>9</v>
      </c>
      <c r="D2450" s="1" t="s">
        <v>19</v>
      </c>
      <c r="E2450" s="1">
        <v>22181.119999999999</v>
      </c>
      <c r="F2450" s="1">
        <v>820.15</v>
      </c>
      <c r="G2450" s="1">
        <v>5627</v>
      </c>
      <c r="H2450" s="1">
        <v>3.9419086550000002</v>
      </c>
    </row>
    <row r="2451" spans="1:8" ht="15.75" thickBot="1" x14ac:dyDescent="0.3">
      <c r="A2451" s="1">
        <v>2016</v>
      </c>
      <c r="B2451" s="1" t="s">
        <v>35</v>
      </c>
      <c r="C2451" s="1" t="s">
        <v>26</v>
      </c>
      <c r="D2451" s="1" t="s">
        <v>24</v>
      </c>
      <c r="E2451" s="1">
        <v>428.25</v>
      </c>
      <c r="F2451" s="1">
        <v>16.600000000000001</v>
      </c>
      <c r="G2451" s="1">
        <v>21</v>
      </c>
      <c r="H2451" s="1">
        <v>20.39285714</v>
      </c>
    </row>
    <row r="2452" spans="1:8" ht="15.75" thickBot="1" x14ac:dyDescent="0.3">
      <c r="A2452" s="1">
        <v>2017</v>
      </c>
      <c r="B2452" s="1" t="s">
        <v>12</v>
      </c>
      <c r="C2452" s="1" t="s">
        <v>15</v>
      </c>
      <c r="D2452" s="1" t="s">
        <v>19</v>
      </c>
      <c r="E2452" s="1">
        <v>5960396.4400000004</v>
      </c>
      <c r="F2452" s="1">
        <v>154467.85999999999</v>
      </c>
      <c r="G2452" s="1">
        <v>23655</v>
      </c>
      <c r="H2452" s="1">
        <v>251.9719484</v>
      </c>
    </row>
    <row r="2453" spans="1:8" ht="15.75" thickBot="1" x14ac:dyDescent="0.3">
      <c r="A2453" s="1">
        <v>2017</v>
      </c>
      <c r="B2453" s="1" t="s">
        <v>14</v>
      </c>
      <c r="C2453" s="1" t="s">
        <v>26</v>
      </c>
      <c r="D2453" s="1" t="s">
        <v>34</v>
      </c>
      <c r="E2453" s="1">
        <v>469241.33</v>
      </c>
      <c r="F2453" s="1">
        <v>20206.09</v>
      </c>
      <c r="G2453" s="1">
        <v>19919</v>
      </c>
      <c r="H2453" s="1">
        <v>23.55747427</v>
      </c>
    </row>
    <row r="2454" spans="1:8" ht="15.75" thickBot="1" x14ac:dyDescent="0.3">
      <c r="A2454" s="1">
        <v>2017</v>
      </c>
      <c r="B2454" s="1" t="s">
        <v>40</v>
      </c>
      <c r="C2454" s="1" t="s">
        <v>15</v>
      </c>
      <c r="D2454" s="1" t="s">
        <v>32</v>
      </c>
      <c r="E2454" s="1">
        <v>6024.57</v>
      </c>
      <c r="F2454" s="1">
        <v>359.29</v>
      </c>
      <c r="G2454" s="1">
        <v>161</v>
      </c>
      <c r="H2454" s="1">
        <v>37.419689439999999</v>
      </c>
    </row>
    <row r="2455" spans="1:8" ht="15.75" thickBot="1" x14ac:dyDescent="0.3">
      <c r="A2455" s="1">
        <v>2014</v>
      </c>
      <c r="B2455" s="1" t="s">
        <v>40</v>
      </c>
      <c r="C2455" s="1" t="s">
        <v>21</v>
      </c>
      <c r="D2455" s="1" t="s">
        <v>13</v>
      </c>
      <c r="E2455" s="1">
        <v>941.98</v>
      </c>
      <c r="F2455" s="1">
        <v>25.75</v>
      </c>
      <c r="G2455" s="1">
        <v>11</v>
      </c>
      <c r="H2455" s="1">
        <v>85.634545450000005</v>
      </c>
    </row>
    <row r="2456" spans="1:8" ht="15.75" thickBot="1" x14ac:dyDescent="0.3">
      <c r="A2456" s="1">
        <v>2017</v>
      </c>
      <c r="B2456" s="1" t="s">
        <v>17</v>
      </c>
      <c r="C2456" s="1" t="s">
        <v>23</v>
      </c>
      <c r="D2456" s="1" t="s">
        <v>24</v>
      </c>
      <c r="E2456" s="1">
        <v>24516514.43</v>
      </c>
      <c r="F2456" s="1">
        <v>854662.53</v>
      </c>
      <c r="G2456" s="1">
        <v>117633</v>
      </c>
      <c r="H2456" s="1">
        <v>208.41527830000001</v>
      </c>
    </row>
    <row r="2457" spans="1:8" ht="15.75" thickBot="1" x14ac:dyDescent="0.3">
      <c r="A2457" s="1">
        <v>2016</v>
      </c>
      <c r="B2457" s="1" t="s">
        <v>35</v>
      </c>
      <c r="C2457" s="1" t="s">
        <v>9</v>
      </c>
      <c r="D2457" s="1" t="s">
        <v>10</v>
      </c>
      <c r="E2457" s="1">
        <v>479.6</v>
      </c>
      <c r="F2457" s="1">
        <v>24.93</v>
      </c>
      <c r="G2457" s="1">
        <v>287</v>
      </c>
      <c r="H2457" s="1">
        <v>1.6710801390000001</v>
      </c>
    </row>
    <row r="2458" spans="1:8" ht="15.75" thickBot="1" x14ac:dyDescent="0.3">
      <c r="A2458" s="1">
        <v>2014</v>
      </c>
      <c r="B2458" s="1" t="s">
        <v>35</v>
      </c>
      <c r="C2458" s="1" t="s">
        <v>9</v>
      </c>
      <c r="D2458" s="1" t="s">
        <v>13</v>
      </c>
      <c r="E2458" s="1">
        <v>0</v>
      </c>
      <c r="F2458" s="1">
        <v>0</v>
      </c>
      <c r="G2458" s="1">
        <v>14</v>
      </c>
      <c r="H2458" s="1">
        <v>0</v>
      </c>
    </row>
    <row r="2459" spans="1:8" ht="15.75" thickBot="1" x14ac:dyDescent="0.3">
      <c r="A2459" s="1">
        <v>2017</v>
      </c>
      <c r="B2459" s="1" t="s">
        <v>12</v>
      </c>
      <c r="C2459" s="1" t="s">
        <v>18</v>
      </c>
      <c r="D2459" s="1" t="s">
        <v>31</v>
      </c>
      <c r="E2459" s="1">
        <v>85397.26</v>
      </c>
      <c r="F2459" s="1">
        <v>2629.24</v>
      </c>
      <c r="G2459" s="1">
        <v>1343</v>
      </c>
      <c r="H2459" s="1">
        <v>63.586939690000001</v>
      </c>
    </row>
    <row r="2460" spans="1:8" ht="15.75" thickBot="1" x14ac:dyDescent="0.3">
      <c r="A2460" s="1">
        <v>2017</v>
      </c>
      <c r="B2460" s="1" t="s">
        <v>12</v>
      </c>
      <c r="C2460" s="1" t="s">
        <v>33</v>
      </c>
      <c r="D2460" s="1" t="s">
        <v>10</v>
      </c>
      <c r="E2460" s="1">
        <v>9627298.2300000004</v>
      </c>
      <c r="F2460" s="1">
        <v>277462.31</v>
      </c>
      <c r="G2460" s="1">
        <v>186878</v>
      </c>
      <c r="H2460" s="1">
        <v>51.516487920000003</v>
      </c>
    </row>
    <row r="2461" spans="1:8" ht="15.75" thickBot="1" x14ac:dyDescent="0.3">
      <c r="A2461" s="1">
        <v>2016</v>
      </c>
      <c r="B2461" s="1" t="s">
        <v>20</v>
      </c>
      <c r="C2461" s="1" t="s">
        <v>9</v>
      </c>
      <c r="D2461" s="1" t="s">
        <v>31</v>
      </c>
      <c r="E2461" s="1">
        <v>196.59</v>
      </c>
      <c r="F2461" s="1">
        <v>9.68</v>
      </c>
      <c r="G2461" s="1">
        <v>143</v>
      </c>
      <c r="H2461" s="1">
        <v>1.374755245</v>
      </c>
    </row>
    <row r="2462" spans="1:8" ht="15.75" thickBot="1" x14ac:dyDescent="0.3">
      <c r="A2462" s="1">
        <v>2017</v>
      </c>
      <c r="B2462" s="1" t="s">
        <v>35</v>
      </c>
      <c r="C2462" s="1" t="s">
        <v>28</v>
      </c>
      <c r="D2462" s="1" t="s">
        <v>10</v>
      </c>
      <c r="E2462" s="1">
        <v>-341.72</v>
      </c>
      <c r="F2462" s="1">
        <v>94.59</v>
      </c>
      <c r="G2462" s="1">
        <v>809</v>
      </c>
      <c r="H2462" s="1">
        <v>-0.4223980222</v>
      </c>
    </row>
    <row r="2463" spans="1:8" ht="15.75" thickBot="1" x14ac:dyDescent="0.3">
      <c r="A2463" s="1">
        <v>2017</v>
      </c>
      <c r="B2463" s="1" t="s">
        <v>16</v>
      </c>
      <c r="C2463" s="1" t="s">
        <v>23</v>
      </c>
      <c r="D2463" s="1" t="s">
        <v>13</v>
      </c>
      <c r="E2463" s="1">
        <v>11656091.199999999</v>
      </c>
      <c r="F2463" s="1">
        <v>413783.95</v>
      </c>
      <c r="G2463" s="1">
        <v>329126</v>
      </c>
      <c r="H2463" s="1">
        <v>35.415285330000003</v>
      </c>
    </row>
    <row r="2464" spans="1:8" ht="15.75" thickBot="1" x14ac:dyDescent="0.3">
      <c r="A2464" s="1">
        <v>2016</v>
      </c>
      <c r="B2464" s="1" t="s">
        <v>35</v>
      </c>
      <c r="C2464" s="1" t="s">
        <v>12</v>
      </c>
      <c r="D2464" s="1" t="s">
        <v>32</v>
      </c>
      <c r="E2464" s="1">
        <v>21214.54</v>
      </c>
      <c r="F2464" s="1">
        <v>806.64</v>
      </c>
      <c r="G2464" s="1">
        <v>1054</v>
      </c>
      <c r="H2464" s="1">
        <v>20.127647060000001</v>
      </c>
    </row>
    <row r="2465" spans="1:8" ht="15.75" thickBot="1" x14ac:dyDescent="0.3">
      <c r="A2465" s="1">
        <v>2014</v>
      </c>
      <c r="B2465" s="1" t="s">
        <v>11</v>
      </c>
      <c r="C2465" s="1" t="s">
        <v>12</v>
      </c>
      <c r="D2465" s="1" t="s">
        <v>22</v>
      </c>
      <c r="E2465" s="1">
        <v>4328390.82</v>
      </c>
      <c r="F2465" s="1">
        <v>149214.79999999999</v>
      </c>
      <c r="G2465" s="1">
        <v>258780</v>
      </c>
      <c r="H2465" s="1">
        <v>16.726141200000001</v>
      </c>
    </row>
    <row r="2466" spans="1:8" ht="15.75" thickBot="1" x14ac:dyDescent="0.3">
      <c r="A2466" s="1">
        <v>2015</v>
      </c>
      <c r="B2466" s="1" t="s">
        <v>30</v>
      </c>
      <c r="C2466" s="1" t="s">
        <v>23</v>
      </c>
      <c r="D2466" s="1" t="s">
        <v>24</v>
      </c>
      <c r="E2466" s="1">
        <v>15794913.689999999</v>
      </c>
      <c r="F2466" s="1">
        <v>541411.64</v>
      </c>
      <c r="G2466" s="1">
        <v>134227</v>
      </c>
      <c r="H2466" s="1">
        <v>117.6731484</v>
      </c>
    </row>
    <row r="2467" spans="1:8" ht="15.75" thickBot="1" x14ac:dyDescent="0.3">
      <c r="A2467" s="1">
        <v>2015</v>
      </c>
      <c r="B2467" s="1" t="s">
        <v>11</v>
      </c>
      <c r="C2467" s="1" t="s">
        <v>25</v>
      </c>
      <c r="D2467" s="1" t="s">
        <v>22</v>
      </c>
      <c r="E2467" s="1">
        <v>45749734.390000001</v>
      </c>
      <c r="F2467" s="1">
        <v>1374978</v>
      </c>
      <c r="G2467" s="1">
        <v>3376731</v>
      </c>
      <c r="H2467" s="1">
        <v>13.54852797</v>
      </c>
    </row>
    <row r="2468" spans="1:8" ht="15.75" thickBot="1" x14ac:dyDescent="0.3">
      <c r="A2468" s="1">
        <v>2017</v>
      </c>
      <c r="B2468" s="1" t="s">
        <v>14</v>
      </c>
      <c r="C2468" s="1" t="s">
        <v>26</v>
      </c>
      <c r="D2468" s="1" t="s">
        <v>27</v>
      </c>
      <c r="E2468" s="1">
        <v>271201174.5</v>
      </c>
      <c r="F2468" s="1">
        <v>12273293.66</v>
      </c>
      <c r="G2468" s="1">
        <v>11007646</v>
      </c>
      <c r="H2468" s="1">
        <v>24.637526909999998</v>
      </c>
    </row>
    <row r="2469" spans="1:8" ht="15.75" thickBot="1" x14ac:dyDescent="0.3">
      <c r="A2469" s="1">
        <v>2014</v>
      </c>
      <c r="B2469" s="1" t="s">
        <v>14</v>
      </c>
      <c r="C2469" s="1" t="s">
        <v>9</v>
      </c>
      <c r="D2469" s="1" t="s">
        <v>13</v>
      </c>
      <c r="E2469" s="1">
        <v>48.95</v>
      </c>
      <c r="F2469" s="1">
        <v>1.72</v>
      </c>
      <c r="G2469" s="1">
        <v>20</v>
      </c>
      <c r="H2469" s="1">
        <v>2.4474999999999998</v>
      </c>
    </row>
    <row r="2470" spans="1:8" ht="15.75" thickBot="1" x14ac:dyDescent="0.3">
      <c r="A2470" s="1">
        <v>2016</v>
      </c>
      <c r="B2470" s="1" t="s">
        <v>14</v>
      </c>
      <c r="C2470" s="1" t="s">
        <v>15</v>
      </c>
      <c r="D2470" s="1" t="s">
        <v>32</v>
      </c>
      <c r="E2470" s="1">
        <v>81964481.269999996</v>
      </c>
      <c r="F2470" s="1">
        <v>2939630.7</v>
      </c>
      <c r="G2470" s="1">
        <v>1515397</v>
      </c>
      <c r="H2470" s="1">
        <v>54.087794330000001</v>
      </c>
    </row>
    <row r="2471" spans="1:8" ht="15.75" thickBot="1" x14ac:dyDescent="0.3">
      <c r="A2471" s="1">
        <v>2016</v>
      </c>
      <c r="B2471" s="1" t="s">
        <v>11</v>
      </c>
      <c r="C2471" s="1" t="s">
        <v>9</v>
      </c>
      <c r="D2471" s="1" t="s">
        <v>13</v>
      </c>
      <c r="E2471" s="1">
        <v>3162.03</v>
      </c>
      <c r="F2471" s="1">
        <v>74.39</v>
      </c>
      <c r="G2471" s="1">
        <v>10157</v>
      </c>
      <c r="H2471" s="1">
        <v>0.31131534900000002</v>
      </c>
    </row>
    <row r="2472" spans="1:8" ht="15.75" thickBot="1" x14ac:dyDescent="0.3">
      <c r="A2472" s="1">
        <v>2014</v>
      </c>
      <c r="B2472" s="1" t="s">
        <v>14</v>
      </c>
      <c r="C2472" s="1" t="s">
        <v>21</v>
      </c>
      <c r="D2472" s="1" t="s">
        <v>10</v>
      </c>
      <c r="E2472" s="1">
        <v>3983525.58</v>
      </c>
      <c r="F2472" s="1">
        <v>147518.98000000001</v>
      </c>
      <c r="G2472" s="1">
        <v>76435</v>
      </c>
      <c r="H2472" s="1">
        <v>52.116511809999999</v>
      </c>
    </row>
    <row r="2473" spans="1:8" ht="15.75" thickBot="1" x14ac:dyDescent="0.3">
      <c r="A2473" s="1">
        <v>2014</v>
      </c>
      <c r="B2473" s="1" t="s">
        <v>17</v>
      </c>
      <c r="C2473" s="1" t="s">
        <v>9</v>
      </c>
      <c r="D2473" s="1" t="s">
        <v>27</v>
      </c>
      <c r="E2473" s="1">
        <v>1152666.78</v>
      </c>
      <c r="F2473" s="1">
        <v>41150.58</v>
      </c>
      <c r="G2473" s="1">
        <v>65178</v>
      </c>
      <c r="H2473" s="1">
        <v>17.68490564</v>
      </c>
    </row>
    <row r="2474" spans="1:8" ht="15.75" thickBot="1" x14ac:dyDescent="0.3">
      <c r="A2474" s="1">
        <v>2014</v>
      </c>
      <c r="B2474" s="1" t="s">
        <v>11</v>
      </c>
      <c r="C2474" s="1" t="s">
        <v>15</v>
      </c>
      <c r="D2474" s="1" t="s">
        <v>24</v>
      </c>
      <c r="E2474" s="1">
        <v>2740419.52</v>
      </c>
      <c r="F2474" s="1">
        <v>76965.31</v>
      </c>
      <c r="G2474" s="1">
        <v>9593</v>
      </c>
      <c r="H2474" s="1">
        <v>285.66866670000002</v>
      </c>
    </row>
    <row r="2475" spans="1:8" ht="15.75" thickBot="1" x14ac:dyDescent="0.3">
      <c r="A2475" s="1">
        <v>2014</v>
      </c>
      <c r="B2475" s="1" t="s">
        <v>14</v>
      </c>
      <c r="C2475" s="1" t="s">
        <v>18</v>
      </c>
      <c r="D2475" s="1" t="s">
        <v>10</v>
      </c>
      <c r="E2475" s="1">
        <v>609179.77</v>
      </c>
      <c r="F2475" s="1">
        <v>22310.27</v>
      </c>
      <c r="G2475" s="1">
        <v>10814</v>
      </c>
      <c r="H2475" s="1">
        <v>56.332510630000002</v>
      </c>
    </row>
    <row r="2476" spans="1:8" ht="15.75" thickBot="1" x14ac:dyDescent="0.3">
      <c r="A2476" s="1">
        <v>2016</v>
      </c>
      <c r="B2476" s="1" t="s">
        <v>40</v>
      </c>
      <c r="C2476" s="1" t="s">
        <v>15</v>
      </c>
      <c r="D2476" s="1" t="s">
        <v>13</v>
      </c>
      <c r="E2476" s="1">
        <v>531.49</v>
      </c>
      <c r="F2476" s="1">
        <v>12.42</v>
      </c>
      <c r="G2476" s="1">
        <v>8</v>
      </c>
      <c r="H2476" s="1">
        <v>66.436250000000001</v>
      </c>
    </row>
    <row r="2477" spans="1:8" ht="15.75" thickBot="1" x14ac:dyDescent="0.3">
      <c r="A2477" s="1">
        <v>2016</v>
      </c>
      <c r="B2477" s="1" t="s">
        <v>16</v>
      </c>
      <c r="C2477" s="1" t="s">
        <v>33</v>
      </c>
      <c r="D2477" s="1" t="s">
        <v>13</v>
      </c>
      <c r="E2477" s="1">
        <v>2329142.46</v>
      </c>
      <c r="F2477" s="1">
        <v>81030.460000000006</v>
      </c>
      <c r="G2477" s="1">
        <v>56206</v>
      </c>
      <c r="H2477" s="1">
        <v>41.439391880000002</v>
      </c>
    </row>
    <row r="2478" spans="1:8" ht="15.75" thickBot="1" x14ac:dyDescent="0.3">
      <c r="A2478" s="1">
        <v>2014</v>
      </c>
      <c r="B2478" s="1" t="s">
        <v>12</v>
      </c>
      <c r="C2478" s="1" t="s">
        <v>28</v>
      </c>
      <c r="D2478" s="1" t="s">
        <v>32</v>
      </c>
      <c r="E2478" s="1">
        <v>6999633.2000000002</v>
      </c>
      <c r="F2478" s="1">
        <v>226849.43</v>
      </c>
      <c r="G2478" s="1">
        <v>114083</v>
      </c>
      <c r="H2478" s="1">
        <v>61.355620029999997</v>
      </c>
    </row>
    <row r="2479" spans="1:8" ht="15.75" thickBot="1" x14ac:dyDescent="0.3">
      <c r="A2479" s="1">
        <v>2014</v>
      </c>
      <c r="B2479" s="1" t="s">
        <v>20</v>
      </c>
      <c r="C2479" s="1" t="s">
        <v>18</v>
      </c>
      <c r="D2479" s="1" t="s">
        <v>32</v>
      </c>
      <c r="E2479" s="1">
        <v>1293127.43</v>
      </c>
      <c r="F2479" s="1">
        <v>50563.64</v>
      </c>
      <c r="G2479" s="1">
        <v>38901</v>
      </c>
      <c r="H2479" s="1">
        <v>33.24149585</v>
      </c>
    </row>
    <row r="2480" spans="1:8" ht="15.75" thickBot="1" x14ac:dyDescent="0.3">
      <c r="A2480" s="1">
        <v>2015</v>
      </c>
      <c r="B2480" s="1" t="s">
        <v>12</v>
      </c>
      <c r="C2480" s="1" t="s">
        <v>25</v>
      </c>
      <c r="D2480" s="1" t="s">
        <v>31</v>
      </c>
      <c r="E2480" s="1">
        <v>326941.56</v>
      </c>
      <c r="F2480" s="1">
        <v>11435.04</v>
      </c>
      <c r="G2480" s="1">
        <v>5758</v>
      </c>
      <c r="H2480" s="1">
        <v>56.78040292</v>
      </c>
    </row>
    <row r="2481" spans="1:8" ht="15.75" thickBot="1" x14ac:dyDescent="0.3">
      <c r="A2481" s="1">
        <v>2014</v>
      </c>
      <c r="B2481" s="1" t="s">
        <v>8</v>
      </c>
      <c r="C2481" s="1" t="s">
        <v>21</v>
      </c>
      <c r="D2481" s="1" t="s">
        <v>24</v>
      </c>
      <c r="E2481" s="1">
        <v>30</v>
      </c>
      <c r="F2481" s="1">
        <v>0</v>
      </c>
      <c r="G2481" s="1">
        <v>1</v>
      </c>
      <c r="H2481" s="1">
        <v>30</v>
      </c>
    </row>
    <row r="2482" spans="1:8" ht="15.75" thickBot="1" x14ac:dyDescent="0.3">
      <c r="A2482" s="1">
        <v>2015</v>
      </c>
      <c r="B2482" s="1" t="s">
        <v>17</v>
      </c>
      <c r="C2482" s="1" t="s">
        <v>15</v>
      </c>
      <c r="D2482" s="1" t="s">
        <v>31</v>
      </c>
      <c r="E2482" s="1">
        <v>9869818.1300000008</v>
      </c>
      <c r="F2482" s="1">
        <v>327336.12</v>
      </c>
      <c r="G2482" s="1">
        <v>163175</v>
      </c>
      <c r="H2482" s="1">
        <v>60.486092419999999</v>
      </c>
    </row>
    <row r="2483" spans="1:8" ht="15.75" thickBot="1" x14ac:dyDescent="0.3">
      <c r="A2483" s="1">
        <v>2014</v>
      </c>
      <c r="B2483" s="1" t="s">
        <v>8</v>
      </c>
      <c r="C2483" s="1" t="s">
        <v>26</v>
      </c>
      <c r="D2483" s="1" t="s">
        <v>24</v>
      </c>
      <c r="E2483" s="1">
        <v>175</v>
      </c>
      <c r="F2483" s="1">
        <v>5.38</v>
      </c>
      <c r="G2483" s="1">
        <v>1</v>
      </c>
      <c r="H2483" s="1">
        <v>175</v>
      </c>
    </row>
    <row r="2484" spans="1:8" ht="15.75" thickBot="1" x14ac:dyDescent="0.3">
      <c r="A2484" s="1">
        <v>2017</v>
      </c>
      <c r="B2484" s="1" t="s">
        <v>20</v>
      </c>
      <c r="C2484" s="1" t="s">
        <v>9</v>
      </c>
      <c r="D2484" s="1" t="s">
        <v>29</v>
      </c>
      <c r="E2484" s="1">
        <v>3186716.5</v>
      </c>
      <c r="F2484" s="1">
        <v>102720.28</v>
      </c>
      <c r="G2484" s="1">
        <v>24924</v>
      </c>
      <c r="H2484" s="1">
        <v>127.8573463</v>
      </c>
    </row>
    <row r="2485" spans="1:8" ht="15.75" thickBot="1" x14ac:dyDescent="0.3">
      <c r="A2485" s="1">
        <v>2014</v>
      </c>
      <c r="B2485" s="1" t="s">
        <v>8</v>
      </c>
      <c r="C2485" s="1" t="s">
        <v>9</v>
      </c>
      <c r="D2485" s="1" t="s">
        <v>32</v>
      </c>
      <c r="E2485" s="1">
        <v>231.71</v>
      </c>
      <c r="F2485" s="1">
        <v>9.7200000000000006</v>
      </c>
      <c r="G2485" s="1">
        <v>10</v>
      </c>
      <c r="H2485" s="1">
        <v>23.170999999999999</v>
      </c>
    </row>
    <row r="2486" spans="1:8" ht="15.75" thickBot="1" x14ac:dyDescent="0.3">
      <c r="A2486" s="1">
        <v>2015</v>
      </c>
      <c r="B2486" s="1" t="s">
        <v>14</v>
      </c>
      <c r="C2486" s="1" t="s">
        <v>28</v>
      </c>
      <c r="D2486" s="1" t="s">
        <v>29</v>
      </c>
      <c r="E2486" s="1">
        <v>26432333.420000002</v>
      </c>
      <c r="F2486" s="1">
        <v>842184.71</v>
      </c>
      <c r="G2486" s="1">
        <v>114115</v>
      </c>
      <c r="H2486" s="1">
        <v>231.62891310000001</v>
      </c>
    </row>
    <row r="2487" spans="1:8" ht="15.75" thickBot="1" x14ac:dyDescent="0.3">
      <c r="A2487" s="1">
        <v>2017</v>
      </c>
      <c r="B2487" s="1" t="s">
        <v>12</v>
      </c>
      <c r="C2487" s="1" t="s">
        <v>9</v>
      </c>
      <c r="D2487" s="1" t="s">
        <v>32</v>
      </c>
      <c r="E2487" s="1">
        <v>124499.33</v>
      </c>
      <c r="F2487" s="1">
        <v>3962.91</v>
      </c>
      <c r="G2487" s="1">
        <v>7510</v>
      </c>
      <c r="H2487" s="1">
        <v>16.57780692</v>
      </c>
    </row>
    <row r="2488" spans="1:8" ht="15.75" thickBot="1" x14ac:dyDescent="0.3">
      <c r="A2488" s="1">
        <v>2017</v>
      </c>
      <c r="B2488" s="1" t="s">
        <v>14</v>
      </c>
      <c r="C2488" s="1" t="s">
        <v>18</v>
      </c>
      <c r="D2488" s="1" t="s">
        <v>13</v>
      </c>
      <c r="E2488" s="1">
        <v>257545.23</v>
      </c>
      <c r="F2488" s="1">
        <v>7618.48</v>
      </c>
      <c r="G2488" s="1">
        <v>5723</v>
      </c>
      <c r="H2488" s="1">
        <v>45.001787520000001</v>
      </c>
    </row>
    <row r="2489" spans="1:8" ht="15.75" thickBot="1" x14ac:dyDescent="0.3">
      <c r="A2489" s="1">
        <v>2014</v>
      </c>
      <c r="B2489" s="1" t="s">
        <v>30</v>
      </c>
      <c r="C2489" s="1" t="s">
        <v>12</v>
      </c>
      <c r="D2489" s="1" t="s">
        <v>32</v>
      </c>
      <c r="E2489" s="1">
        <v>11859009.15</v>
      </c>
      <c r="F2489" s="1">
        <v>485934.69</v>
      </c>
      <c r="G2489" s="1">
        <v>254836</v>
      </c>
      <c r="H2489" s="1">
        <v>46.535847169999997</v>
      </c>
    </row>
    <row r="2490" spans="1:8" ht="15.75" thickBot="1" x14ac:dyDescent="0.3">
      <c r="A2490" s="1">
        <v>2014</v>
      </c>
      <c r="B2490" s="1" t="s">
        <v>14</v>
      </c>
      <c r="C2490" s="1" t="s">
        <v>9</v>
      </c>
      <c r="D2490" s="1" t="s">
        <v>19</v>
      </c>
      <c r="E2490" s="1">
        <v>1459.21</v>
      </c>
      <c r="F2490" s="1">
        <v>51.52</v>
      </c>
      <c r="G2490" s="1">
        <v>6029</v>
      </c>
      <c r="H2490" s="1">
        <v>0.2420318461</v>
      </c>
    </row>
    <row r="2491" spans="1:8" ht="15.75" thickBot="1" x14ac:dyDescent="0.3">
      <c r="A2491" s="1">
        <v>2017</v>
      </c>
      <c r="B2491" s="1" t="s">
        <v>35</v>
      </c>
      <c r="C2491" s="1" t="s">
        <v>18</v>
      </c>
      <c r="D2491" s="1" t="s">
        <v>29</v>
      </c>
      <c r="E2491" s="1">
        <v>602.95000000000005</v>
      </c>
      <c r="F2491" s="1">
        <v>18.68</v>
      </c>
      <c r="G2491" s="1">
        <v>10</v>
      </c>
      <c r="H2491" s="1">
        <v>60.295000000000002</v>
      </c>
    </row>
    <row r="2492" spans="1:8" ht="15.75" thickBot="1" x14ac:dyDescent="0.3">
      <c r="A2492" s="1">
        <v>2017</v>
      </c>
      <c r="B2492" s="1" t="s">
        <v>17</v>
      </c>
      <c r="C2492" s="1" t="s">
        <v>12</v>
      </c>
      <c r="D2492" s="1" t="s">
        <v>19</v>
      </c>
      <c r="E2492" s="1">
        <v>14700506.619999999</v>
      </c>
      <c r="F2492" s="1">
        <v>563596.4</v>
      </c>
      <c r="G2492" s="1">
        <v>83998</v>
      </c>
      <c r="H2492" s="1">
        <v>175.0101981</v>
      </c>
    </row>
    <row r="2493" spans="1:8" ht="15.75" thickBot="1" x14ac:dyDescent="0.3">
      <c r="A2493" s="1">
        <v>2017</v>
      </c>
      <c r="B2493" s="1" t="s">
        <v>14</v>
      </c>
      <c r="C2493" s="1" t="s">
        <v>25</v>
      </c>
      <c r="D2493" s="1" t="s">
        <v>19</v>
      </c>
      <c r="E2493" s="1">
        <v>64106708.609999999</v>
      </c>
      <c r="F2493" s="1">
        <v>1763350.92</v>
      </c>
      <c r="G2493" s="1">
        <v>555976</v>
      </c>
      <c r="H2493" s="1">
        <v>115.30481279999999</v>
      </c>
    </row>
    <row r="2494" spans="1:8" ht="15.75" thickBot="1" x14ac:dyDescent="0.3">
      <c r="A2494" s="1">
        <v>2016</v>
      </c>
      <c r="B2494" s="1" t="s">
        <v>20</v>
      </c>
      <c r="C2494" s="1" t="s">
        <v>25</v>
      </c>
      <c r="D2494" s="1" t="s">
        <v>29</v>
      </c>
      <c r="E2494" s="1">
        <v>686890.49</v>
      </c>
      <c r="F2494" s="1">
        <v>24054.16</v>
      </c>
      <c r="G2494" s="1">
        <v>7685</v>
      </c>
      <c r="H2494" s="1">
        <v>89.380675339999996</v>
      </c>
    </row>
    <row r="2495" spans="1:8" ht="15.75" thickBot="1" x14ac:dyDescent="0.3">
      <c r="A2495" s="1">
        <v>2017</v>
      </c>
      <c r="B2495" s="1" t="s">
        <v>8</v>
      </c>
      <c r="C2495" s="1" t="s">
        <v>26</v>
      </c>
      <c r="D2495" s="1" t="s">
        <v>19</v>
      </c>
      <c r="E2495" s="1">
        <v>628.13</v>
      </c>
      <c r="F2495" s="1">
        <v>13.83</v>
      </c>
      <c r="G2495" s="1">
        <v>24</v>
      </c>
      <c r="H2495" s="1">
        <v>26.17208333</v>
      </c>
    </row>
    <row r="2496" spans="1:8" ht="15.75" thickBot="1" x14ac:dyDescent="0.3">
      <c r="A2496" s="1">
        <v>2017</v>
      </c>
      <c r="B2496" s="1" t="s">
        <v>12</v>
      </c>
      <c r="C2496" s="1" t="s">
        <v>33</v>
      </c>
      <c r="D2496" s="1" t="s">
        <v>32</v>
      </c>
      <c r="E2496" s="1">
        <v>22731154.329999998</v>
      </c>
      <c r="F2496" s="1">
        <v>770786.08</v>
      </c>
      <c r="G2496" s="1">
        <v>355647</v>
      </c>
      <c r="H2496" s="1">
        <v>63.914933429999998</v>
      </c>
    </row>
    <row r="2497" spans="1:8" ht="15.75" thickBot="1" x14ac:dyDescent="0.3">
      <c r="A2497" s="1">
        <v>2017</v>
      </c>
      <c r="B2497" s="1" t="s">
        <v>14</v>
      </c>
      <c r="C2497" s="1" t="s">
        <v>9</v>
      </c>
      <c r="D2497" s="1" t="s">
        <v>31</v>
      </c>
      <c r="E2497" s="1">
        <v>80737446.159999996</v>
      </c>
      <c r="F2497" s="1">
        <v>2732647.71</v>
      </c>
      <c r="G2497" s="1">
        <v>1472771</v>
      </c>
      <c r="H2497" s="1">
        <v>54.820095019999997</v>
      </c>
    </row>
    <row r="2498" spans="1:8" ht="15.75" thickBot="1" x14ac:dyDescent="0.3">
      <c r="A2498" s="1">
        <v>2017</v>
      </c>
      <c r="B2498" s="1" t="s">
        <v>17</v>
      </c>
      <c r="C2498" s="1" t="s">
        <v>9</v>
      </c>
      <c r="D2498" s="1" t="s">
        <v>22</v>
      </c>
      <c r="E2498" s="1">
        <v>250.68</v>
      </c>
      <c r="F2498" s="1">
        <v>5.07</v>
      </c>
      <c r="G2498" s="1">
        <v>4</v>
      </c>
      <c r="H2498" s="1">
        <v>62.67</v>
      </c>
    </row>
    <row r="2499" spans="1:8" ht="15.75" thickBot="1" x14ac:dyDescent="0.3">
      <c r="A2499" s="1">
        <v>2014</v>
      </c>
      <c r="B2499" s="1" t="s">
        <v>20</v>
      </c>
      <c r="C2499" s="1" t="s">
        <v>15</v>
      </c>
      <c r="D2499" s="1" t="s">
        <v>27</v>
      </c>
      <c r="E2499" s="1">
        <v>3999598.75</v>
      </c>
      <c r="F2499" s="1">
        <v>144537.67000000001</v>
      </c>
      <c r="G2499" s="1">
        <v>78211</v>
      </c>
      <c r="H2499" s="1">
        <v>51.138570659999999</v>
      </c>
    </row>
    <row r="2500" spans="1:8" ht="15.75" thickBot="1" x14ac:dyDescent="0.3">
      <c r="A2500" s="1">
        <v>2015</v>
      </c>
      <c r="B2500" s="1" t="s">
        <v>8</v>
      </c>
      <c r="C2500" s="1" t="s">
        <v>21</v>
      </c>
      <c r="D2500" s="1" t="s">
        <v>19</v>
      </c>
      <c r="E2500" s="1">
        <v>4890.45</v>
      </c>
      <c r="F2500" s="1">
        <v>105.24</v>
      </c>
      <c r="G2500" s="1">
        <v>76</v>
      </c>
      <c r="H2500" s="1">
        <v>64.348026320000002</v>
      </c>
    </row>
    <row r="2501" spans="1:8" ht="15.75" thickBot="1" x14ac:dyDescent="0.3">
      <c r="A2501" s="1">
        <v>2014</v>
      </c>
      <c r="B2501" s="1" t="s">
        <v>11</v>
      </c>
      <c r="C2501" s="1" t="s">
        <v>9</v>
      </c>
      <c r="D2501" s="1" t="s">
        <v>32</v>
      </c>
      <c r="E2501" s="1">
        <v>112787204</v>
      </c>
      <c r="F2501" s="1">
        <v>2861510.29</v>
      </c>
      <c r="G2501" s="1">
        <v>1717375</v>
      </c>
      <c r="H2501" s="1">
        <v>65.674185300000005</v>
      </c>
    </row>
    <row r="2502" spans="1:8" ht="15.75" thickBot="1" x14ac:dyDescent="0.3">
      <c r="A2502" s="1">
        <v>2014</v>
      </c>
      <c r="B2502" s="1" t="s">
        <v>12</v>
      </c>
      <c r="C2502" s="1" t="s">
        <v>9</v>
      </c>
      <c r="D2502" s="1" t="s">
        <v>10</v>
      </c>
      <c r="E2502" s="1">
        <v>2603.7199999999998</v>
      </c>
      <c r="F2502" s="1">
        <v>132.84</v>
      </c>
      <c r="G2502" s="1">
        <v>618</v>
      </c>
      <c r="H2502" s="1">
        <v>4.2131391589999998</v>
      </c>
    </row>
    <row r="2503" spans="1:8" ht="15.75" thickBot="1" x14ac:dyDescent="0.3">
      <c r="A2503" s="1">
        <v>2014</v>
      </c>
      <c r="B2503" s="1" t="s">
        <v>40</v>
      </c>
      <c r="C2503" s="1" t="s">
        <v>18</v>
      </c>
      <c r="D2503" s="1" t="s">
        <v>19</v>
      </c>
      <c r="E2503" s="1">
        <v>18667.02</v>
      </c>
      <c r="F2503" s="1">
        <v>361.18</v>
      </c>
      <c r="G2503" s="1">
        <v>101</v>
      </c>
      <c r="H2503" s="1">
        <v>184.82198020000001</v>
      </c>
    </row>
    <row r="2504" spans="1:8" ht="15.75" thickBot="1" x14ac:dyDescent="0.3">
      <c r="A2504" s="1">
        <v>2017</v>
      </c>
      <c r="B2504" s="1" t="s">
        <v>12</v>
      </c>
      <c r="C2504" s="1" t="s">
        <v>12</v>
      </c>
      <c r="D2504" s="1" t="s">
        <v>10</v>
      </c>
      <c r="E2504" s="1">
        <v>3554478.67</v>
      </c>
      <c r="F2504" s="1">
        <v>119430.02</v>
      </c>
      <c r="G2504" s="1">
        <v>80433</v>
      </c>
      <c r="H2504" s="1">
        <v>44.191795280000001</v>
      </c>
    </row>
    <row r="2505" spans="1:8" ht="15.75" thickBot="1" x14ac:dyDescent="0.3">
      <c r="A2505" s="1">
        <v>2014</v>
      </c>
      <c r="B2505" s="1" t="s">
        <v>14</v>
      </c>
      <c r="C2505" s="1" t="s">
        <v>9</v>
      </c>
      <c r="D2505" s="1" t="s">
        <v>22</v>
      </c>
      <c r="E2505" s="1">
        <v>30</v>
      </c>
      <c r="F2505" s="1">
        <v>1.95</v>
      </c>
      <c r="G2505" s="1">
        <v>99</v>
      </c>
      <c r="H2505" s="1">
        <v>0.303030303</v>
      </c>
    </row>
    <row r="2506" spans="1:8" ht="15.75" thickBot="1" x14ac:dyDescent="0.3">
      <c r="A2506" s="1">
        <v>2016</v>
      </c>
      <c r="B2506" s="1" t="s">
        <v>35</v>
      </c>
      <c r="C2506" s="1" t="s">
        <v>25</v>
      </c>
      <c r="D2506" s="1" t="s">
        <v>10</v>
      </c>
      <c r="E2506" s="1">
        <v>60.05</v>
      </c>
      <c r="F2506" s="1">
        <v>15.49</v>
      </c>
      <c r="G2506" s="1">
        <v>113</v>
      </c>
      <c r="H2506" s="1">
        <v>0.53141592920000003</v>
      </c>
    </row>
    <row r="2507" spans="1:8" ht="15.75" thickBot="1" x14ac:dyDescent="0.3">
      <c r="A2507" s="1">
        <v>2017</v>
      </c>
      <c r="B2507" s="1" t="s">
        <v>17</v>
      </c>
      <c r="C2507" s="1" t="s">
        <v>33</v>
      </c>
      <c r="D2507" s="1" t="s">
        <v>29</v>
      </c>
      <c r="E2507" s="1">
        <v>23916271.629999999</v>
      </c>
      <c r="F2507" s="1">
        <v>826517.02</v>
      </c>
      <c r="G2507" s="1">
        <v>69231</v>
      </c>
      <c r="H2507" s="1">
        <v>345.45610540000001</v>
      </c>
    </row>
    <row r="2508" spans="1:8" ht="15.75" thickBot="1" x14ac:dyDescent="0.3">
      <c r="A2508" s="1">
        <v>2014</v>
      </c>
      <c r="B2508" s="1" t="s">
        <v>20</v>
      </c>
      <c r="C2508" s="1" t="s">
        <v>25</v>
      </c>
      <c r="D2508" s="1" t="s">
        <v>31</v>
      </c>
      <c r="E2508" s="1">
        <v>23491.9</v>
      </c>
      <c r="F2508" s="1">
        <v>965.99</v>
      </c>
      <c r="G2508" s="1">
        <v>948</v>
      </c>
      <c r="H2508" s="1">
        <v>24.78048523</v>
      </c>
    </row>
    <row r="2509" spans="1:8" ht="15.75" thickBot="1" x14ac:dyDescent="0.3">
      <c r="A2509" s="1">
        <v>2015</v>
      </c>
      <c r="B2509" s="1" t="s">
        <v>12</v>
      </c>
      <c r="C2509" s="1" t="s">
        <v>12</v>
      </c>
      <c r="D2509" s="1" t="s">
        <v>27</v>
      </c>
      <c r="E2509" s="1">
        <v>15826151.68</v>
      </c>
      <c r="F2509" s="1">
        <v>648453.75</v>
      </c>
      <c r="G2509" s="1">
        <v>362394</v>
      </c>
      <c r="H2509" s="1">
        <v>43.671119500000003</v>
      </c>
    </row>
    <row r="2510" spans="1:8" ht="15.75" thickBot="1" x14ac:dyDescent="0.3">
      <c r="A2510" s="1">
        <v>2014</v>
      </c>
      <c r="B2510" s="1" t="s">
        <v>14</v>
      </c>
      <c r="C2510" s="1" t="s">
        <v>33</v>
      </c>
      <c r="D2510" s="1" t="s">
        <v>32</v>
      </c>
      <c r="E2510" s="1">
        <v>81852756.299999997</v>
      </c>
      <c r="F2510" s="1">
        <v>3147000.85</v>
      </c>
      <c r="G2510" s="1">
        <v>1869020</v>
      </c>
      <c r="H2510" s="1">
        <v>43.794478550000001</v>
      </c>
    </row>
    <row r="2511" spans="1:8" ht="15.75" thickBot="1" x14ac:dyDescent="0.3">
      <c r="A2511" s="1">
        <v>2014</v>
      </c>
      <c r="B2511" s="1" t="s">
        <v>12</v>
      </c>
      <c r="C2511" s="1" t="s">
        <v>9</v>
      </c>
      <c r="D2511" s="1" t="s">
        <v>19</v>
      </c>
      <c r="E2511" s="1">
        <v>9832.69</v>
      </c>
      <c r="F2511" s="1">
        <v>1280.1300000000001</v>
      </c>
      <c r="G2511" s="1">
        <v>832</v>
      </c>
      <c r="H2511" s="1">
        <v>11.81813702</v>
      </c>
    </row>
    <row r="2512" spans="1:8" ht="15.75" thickBot="1" x14ac:dyDescent="0.3">
      <c r="A2512" s="1">
        <v>2017</v>
      </c>
      <c r="B2512" s="1" t="s">
        <v>14</v>
      </c>
      <c r="C2512" s="1" t="s">
        <v>15</v>
      </c>
      <c r="D2512" s="1" t="s">
        <v>29</v>
      </c>
      <c r="E2512" s="1">
        <v>19598292.640000001</v>
      </c>
      <c r="F2512" s="1">
        <v>635379.88</v>
      </c>
      <c r="G2512" s="1">
        <v>76172</v>
      </c>
      <c r="H2512" s="1">
        <v>257.28998369999999</v>
      </c>
    </row>
    <row r="2513" spans="1:8" ht="15.75" thickBot="1" x14ac:dyDescent="0.3">
      <c r="A2513" s="1">
        <v>2014</v>
      </c>
      <c r="B2513" s="1" t="s">
        <v>14</v>
      </c>
      <c r="C2513" s="1" t="s">
        <v>33</v>
      </c>
      <c r="D2513" s="1" t="s">
        <v>22</v>
      </c>
      <c r="E2513" s="1">
        <v>38119.81</v>
      </c>
      <c r="F2513" s="1">
        <v>1271.23</v>
      </c>
      <c r="G2513" s="1">
        <v>2933</v>
      </c>
      <c r="H2513" s="1">
        <v>12.996866689999999</v>
      </c>
    </row>
    <row r="2514" spans="1:8" ht="15.75" thickBot="1" x14ac:dyDescent="0.3">
      <c r="A2514" s="1">
        <v>2015</v>
      </c>
      <c r="B2514" s="1" t="s">
        <v>30</v>
      </c>
      <c r="C2514" s="1" t="s">
        <v>26</v>
      </c>
      <c r="D2514" s="1" t="s">
        <v>27</v>
      </c>
      <c r="E2514" s="1">
        <v>623141349.70000005</v>
      </c>
      <c r="F2514" s="1">
        <v>23449138.199999999</v>
      </c>
      <c r="G2514" s="1">
        <v>12017994</v>
      </c>
      <c r="H2514" s="1">
        <v>51.850695690000002</v>
      </c>
    </row>
    <row r="2515" spans="1:8" ht="15.75" thickBot="1" x14ac:dyDescent="0.3">
      <c r="A2515" s="1">
        <v>2016</v>
      </c>
      <c r="B2515" s="1" t="s">
        <v>20</v>
      </c>
      <c r="C2515" s="1" t="s">
        <v>23</v>
      </c>
      <c r="D2515" s="1" t="s">
        <v>19</v>
      </c>
      <c r="E2515" s="1">
        <v>1297985.6200000001</v>
      </c>
      <c r="F2515" s="1">
        <v>44257.79</v>
      </c>
      <c r="G2515" s="1">
        <v>84634</v>
      </c>
      <c r="H2515" s="1">
        <v>15.336456030000001</v>
      </c>
    </row>
    <row r="2516" spans="1:8" ht="15.75" thickBot="1" x14ac:dyDescent="0.3">
      <c r="A2516" s="1">
        <v>2014</v>
      </c>
      <c r="B2516" s="1" t="s">
        <v>17</v>
      </c>
      <c r="C2516" s="1" t="s">
        <v>23</v>
      </c>
      <c r="D2516" s="1" t="s">
        <v>24</v>
      </c>
      <c r="E2516" s="1">
        <v>14176641.93</v>
      </c>
      <c r="F2516" s="1">
        <v>461045.9</v>
      </c>
      <c r="G2516" s="1">
        <v>66808</v>
      </c>
      <c r="H2516" s="1">
        <v>212.19976539999999</v>
      </c>
    </row>
    <row r="2517" spans="1:8" ht="15.75" thickBot="1" x14ac:dyDescent="0.3">
      <c r="A2517" s="1">
        <v>2017</v>
      </c>
      <c r="B2517" s="1" t="s">
        <v>17</v>
      </c>
      <c r="C2517" s="1" t="s">
        <v>18</v>
      </c>
      <c r="D2517" s="1" t="s">
        <v>27</v>
      </c>
      <c r="E2517" s="1">
        <v>81359258.359999999</v>
      </c>
      <c r="F2517" s="1">
        <v>2720670.48</v>
      </c>
      <c r="G2517" s="1">
        <v>959726</v>
      </c>
      <c r="H2517" s="1">
        <v>84.773423210000004</v>
      </c>
    </row>
    <row r="2518" spans="1:8" ht="15.75" thickBot="1" x14ac:dyDescent="0.3">
      <c r="A2518" s="1">
        <v>2015</v>
      </c>
      <c r="B2518" s="1" t="s">
        <v>30</v>
      </c>
      <c r="C2518" s="1" t="s">
        <v>28</v>
      </c>
      <c r="D2518" s="1" t="s">
        <v>13</v>
      </c>
      <c r="E2518" s="1">
        <v>1352939.69</v>
      </c>
      <c r="F2518" s="1">
        <v>35275.919999999998</v>
      </c>
      <c r="G2518" s="1">
        <v>12703</v>
      </c>
      <c r="H2518" s="1">
        <v>106.5055255</v>
      </c>
    </row>
    <row r="2519" spans="1:8" ht="15.75" thickBot="1" x14ac:dyDescent="0.3">
      <c r="A2519" s="1">
        <v>2017</v>
      </c>
      <c r="B2519" s="1" t="s">
        <v>11</v>
      </c>
      <c r="C2519" s="1" t="s">
        <v>33</v>
      </c>
      <c r="D2519" s="1" t="s">
        <v>32</v>
      </c>
      <c r="E2519" s="1">
        <v>172512335.30000001</v>
      </c>
      <c r="F2519" s="1">
        <v>5615373.9699999997</v>
      </c>
      <c r="G2519" s="1">
        <v>3407325</v>
      </c>
      <c r="H2519" s="1">
        <v>50.629844609999999</v>
      </c>
    </row>
    <row r="2520" spans="1:8" ht="15.75" thickBot="1" x14ac:dyDescent="0.3">
      <c r="A2520" s="1">
        <v>2014</v>
      </c>
      <c r="B2520" s="1" t="s">
        <v>30</v>
      </c>
      <c r="C2520" s="1" t="s">
        <v>23</v>
      </c>
      <c r="D2520" s="1" t="s">
        <v>24</v>
      </c>
      <c r="E2520" s="1">
        <v>12891571.33</v>
      </c>
      <c r="F2520" s="1">
        <v>434476.22</v>
      </c>
      <c r="G2520" s="1">
        <v>115155</v>
      </c>
      <c r="H2520" s="1">
        <v>111.9497315</v>
      </c>
    </row>
    <row r="2521" spans="1:8" ht="15.75" thickBot="1" x14ac:dyDescent="0.3">
      <c r="A2521" s="1">
        <v>2016</v>
      </c>
      <c r="B2521" s="1" t="s">
        <v>16</v>
      </c>
      <c r="C2521" s="1" t="s">
        <v>33</v>
      </c>
      <c r="D2521" s="1" t="s">
        <v>24</v>
      </c>
      <c r="E2521" s="1">
        <v>49773603.729999997</v>
      </c>
      <c r="F2521" s="1">
        <v>1713887.46</v>
      </c>
      <c r="G2521" s="1">
        <v>206734</v>
      </c>
      <c r="H2521" s="1">
        <v>240.7615764</v>
      </c>
    </row>
    <row r="2522" spans="1:8" ht="15.75" thickBot="1" x14ac:dyDescent="0.3">
      <c r="A2522" s="1">
        <v>2016</v>
      </c>
      <c r="B2522" s="1" t="s">
        <v>16</v>
      </c>
      <c r="C2522" s="1" t="s">
        <v>9</v>
      </c>
      <c r="D2522" s="1" t="s">
        <v>32</v>
      </c>
      <c r="E2522" s="1">
        <v>561192275.89999998</v>
      </c>
      <c r="F2522" s="1">
        <v>18648740.109999999</v>
      </c>
      <c r="G2522" s="1">
        <v>6015088</v>
      </c>
      <c r="H2522" s="1">
        <v>93.297434039999999</v>
      </c>
    </row>
    <row r="2523" spans="1:8" ht="15.75" thickBot="1" x14ac:dyDescent="0.3">
      <c r="A2523" s="1">
        <v>2014</v>
      </c>
      <c r="B2523" s="1" t="s">
        <v>11</v>
      </c>
      <c r="C2523" s="1" t="s">
        <v>18</v>
      </c>
      <c r="D2523" s="1" t="s">
        <v>10</v>
      </c>
      <c r="E2523" s="1">
        <v>11841561.970000001</v>
      </c>
      <c r="F2523" s="1">
        <v>266295.69</v>
      </c>
      <c r="G2523" s="1">
        <v>153887</v>
      </c>
      <c r="H2523" s="1">
        <v>76.949722649999998</v>
      </c>
    </row>
    <row r="2524" spans="1:8" ht="15.75" thickBot="1" x14ac:dyDescent="0.3">
      <c r="A2524" s="1">
        <v>2017</v>
      </c>
      <c r="B2524" s="1" t="s">
        <v>17</v>
      </c>
      <c r="C2524" s="1" t="s">
        <v>21</v>
      </c>
      <c r="D2524" s="1" t="s">
        <v>27</v>
      </c>
      <c r="E2524" s="1">
        <v>726384139</v>
      </c>
      <c r="F2524" s="1">
        <v>25919080.969999999</v>
      </c>
      <c r="G2524" s="1">
        <v>12627822</v>
      </c>
      <c r="H2524" s="1">
        <v>57.522519639999999</v>
      </c>
    </row>
    <row r="2525" spans="1:8" ht="15.75" thickBot="1" x14ac:dyDescent="0.3">
      <c r="A2525" s="1">
        <v>2015</v>
      </c>
      <c r="B2525" s="1" t="s">
        <v>20</v>
      </c>
      <c r="C2525" s="1" t="s">
        <v>9</v>
      </c>
      <c r="D2525" s="1" t="s">
        <v>32</v>
      </c>
      <c r="E2525" s="1">
        <v>35720.6</v>
      </c>
      <c r="F2525" s="1">
        <v>1354.55</v>
      </c>
      <c r="G2525" s="1">
        <v>7770</v>
      </c>
      <c r="H2525" s="1">
        <v>4.5972458170000001</v>
      </c>
    </row>
    <row r="2526" spans="1:8" ht="15.75" thickBot="1" x14ac:dyDescent="0.3">
      <c r="A2526" s="1">
        <v>2014</v>
      </c>
      <c r="B2526" s="1" t="s">
        <v>17</v>
      </c>
      <c r="C2526" s="1" t="s">
        <v>9</v>
      </c>
      <c r="D2526" s="1" t="s">
        <v>10</v>
      </c>
      <c r="E2526" s="1">
        <v>5468.02</v>
      </c>
      <c r="F2526" s="1">
        <v>1552.7</v>
      </c>
      <c r="G2526" s="1">
        <v>6190</v>
      </c>
      <c r="H2526" s="1">
        <v>0.88336348949999999</v>
      </c>
    </row>
    <row r="2527" spans="1:8" ht="15.75" thickBot="1" x14ac:dyDescent="0.3">
      <c r="A2527" s="1">
        <v>2016</v>
      </c>
      <c r="B2527" s="1" t="s">
        <v>8</v>
      </c>
      <c r="C2527" s="1" t="s">
        <v>26</v>
      </c>
      <c r="D2527" s="1" t="s">
        <v>13</v>
      </c>
      <c r="E2527" s="1">
        <v>39.46</v>
      </c>
      <c r="F2527" s="1">
        <v>2.04</v>
      </c>
      <c r="G2527" s="1">
        <v>3</v>
      </c>
      <c r="H2527" s="1">
        <v>13.153333330000001</v>
      </c>
    </row>
    <row r="2528" spans="1:8" ht="15.75" thickBot="1" x14ac:dyDescent="0.3">
      <c r="A2528" s="1">
        <v>2017</v>
      </c>
      <c r="B2528" s="1" t="s">
        <v>14</v>
      </c>
      <c r="C2528" s="1" t="s">
        <v>21</v>
      </c>
      <c r="D2528" s="1" t="s">
        <v>19</v>
      </c>
      <c r="E2528" s="1">
        <v>68372803.840000004</v>
      </c>
      <c r="F2528" s="1">
        <v>1864678.13</v>
      </c>
      <c r="G2528" s="1">
        <v>502635</v>
      </c>
      <c r="H2528" s="1">
        <v>136.0287362</v>
      </c>
    </row>
    <row r="2529" spans="1:8" ht="15.75" thickBot="1" x14ac:dyDescent="0.3">
      <c r="A2529" s="1">
        <v>2015</v>
      </c>
      <c r="B2529" s="1" t="s">
        <v>17</v>
      </c>
      <c r="C2529" s="1" t="s">
        <v>25</v>
      </c>
      <c r="D2529" s="1" t="s">
        <v>32</v>
      </c>
      <c r="E2529" s="1">
        <v>141034969.30000001</v>
      </c>
      <c r="F2529" s="1">
        <v>5219329.8099999996</v>
      </c>
      <c r="G2529" s="1">
        <v>2790724</v>
      </c>
      <c r="H2529" s="1">
        <v>50.53705394</v>
      </c>
    </row>
    <row r="2530" spans="1:8" ht="15.75" thickBot="1" x14ac:dyDescent="0.3">
      <c r="A2530" s="1">
        <v>2014</v>
      </c>
      <c r="B2530" s="1" t="s">
        <v>30</v>
      </c>
      <c r="C2530" s="1" t="s">
        <v>15</v>
      </c>
      <c r="D2530" s="1" t="s">
        <v>27</v>
      </c>
      <c r="E2530" s="1">
        <v>274823171.89999998</v>
      </c>
      <c r="F2530" s="1">
        <v>9349130.0199999996</v>
      </c>
      <c r="G2530" s="1">
        <v>3006690</v>
      </c>
      <c r="H2530" s="1">
        <v>91.403893289999999</v>
      </c>
    </row>
    <row r="2531" spans="1:8" ht="15.75" thickBot="1" x14ac:dyDescent="0.3">
      <c r="A2531" s="1">
        <v>2017</v>
      </c>
      <c r="B2531" s="1" t="s">
        <v>11</v>
      </c>
      <c r="C2531" s="1" t="s">
        <v>28</v>
      </c>
      <c r="D2531" s="1" t="s">
        <v>36</v>
      </c>
      <c r="E2531" s="1">
        <v>476856503.30000001</v>
      </c>
      <c r="F2531" s="1">
        <v>101416.46</v>
      </c>
      <c r="G2531" s="1">
        <v>973320</v>
      </c>
      <c r="H2531" s="1">
        <v>489.9277763</v>
      </c>
    </row>
    <row r="2532" spans="1:8" ht="15.75" thickBot="1" x14ac:dyDescent="0.3">
      <c r="A2532" s="1">
        <v>2017</v>
      </c>
      <c r="B2532" s="1" t="s">
        <v>11</v>
      </c>
      <c r="C2532" s="1" t="s">
        <v>15</v>
      </c>
      <c r="D2532" s="1" t="s">
        <v>10</v>
      </c>
      <c r="E2532" s="1">
        <v>261907697.19999999</v>
      </c>
      <c r="F2532" s="1">
        <v>5905444.1200000001</v>
      </c>
      <c r="G2532" s="1">
        <v>4167647</v>
      </c>
      <c r="H2532" s="1">
        <v>62.843061609999999</v>
      </c>
    </row>
    <row r="2533" spans="1:8" ht="15.75" thickBot="1" x14ac:dyDescent="0.3">
      <c r="A2533" s="1">
        <v>2016</v>
      </c>
      <c r="B2533" s="1" t="s">
        <v>17</v>
      </c>
      <c r="C2533" s="1" t="s">
        <v>25</v>
      </c>
      <c r="D2533" s="1" t="s">
        <v>19</v>
      </c>
      <c r="E2533" s="1">
        <v>38153979.189999998</v>
      </c>
      <c r="F2533" s="1">
        <v>1330946.49</v>
      </c>
      <c r="G2533" s="1">
        <v>213017</v>
      </c>
      <c r="H2533" s="1">
        <v>179.1123675</v>
      </c>
    </row>
    <row r="2534" spans="1:8" ht="15.75" thickBot="1" x14ac:dyDescent="0.3">
      <c r="A2534" s="1">
        <v>2017</v>
      </c>
      <c r="B2534" s="1" t="s">
        <v>17</v>
      </c>
      <c r="C2534" s="1" t="s">
        <v>25</v>
      </c>
      <c r="D2534" s="1" t="s">
        <v>32</v>
      </c>
      <c r="E2534" s="1">
        <v>220169806.59999999</v>
      </c>
      <c r="F2534" s="1">
        <v>8052674.3899999997</v>
      </c>
      <c r="G2534" s="1">
        <v>4108622</v>
      </c>
      <c r="H2534" s="1">
        <v>53.58726274</v>
      </c>
    </row>
    <row r="2535" spans="1:8" ht="15.75" thickBot="1" x14ac:dyDescent="0.3">
      <c r="A2535" s="1">
        <v>2016</v>
      </c>
      <c r="B2535" s="1" t="s">
        <v>40</v>
      </c>
      <c r="C2535" s="1" t="s">
        <v>28</v>
      </c>
      <c r="D2535" s="1" t="s">
        <v>27</v>
      </c>
      <c r="E2535" s="1">
        <v>42443.45</v>
      </c>
      <c r="F2535" s="1">
        <v>1387.86</v>
      </c>
      <c r="G2535" s="1">
        <v>337</v>
      </c>
      <c r="H2535" s="1">
        <v>125.94495550000001</v>
      </c>
    </row>
    <row r="2536" spans="1:8" ht="15.75" thickBot="1" x14ac:dyDescent="0.3">
      <c r="A2536" s="1">
        <v>2015</v>
      </c>
      <c r="B2536" s="1" t="s">
        <v>17</v>
      </c>
      <c r="C2536" s="1" t="s">
        <v>15</v>
      </c>
      <c r="D2536" s="1" t="s">
        <v>32</v>
      </c>
      <c r="E2536" s="1">
        <v>92101458.120000005</v>
      </c>
      <c r="F2536" s="1">
        <v>3261014.08</v>
      </c>
      <c r="G2536" s="1">
        <v>1451248</v>
      </c>
      <c r="H2536" s="1">
        <v>63.463624490000001</v>
      </c>
    </row>
    <row r="2537" spans="1:8" ht="15.75" thickBot="1" x14ac:dyDescent="0.3">
      <c r="A2537" s="1">
        <v>2015</v>
      </c>
      <c r="B2537" s="1" t="s">
        <v>20</v>
      </c>
      <c r="C2537" s="1" t="s">
        <v>33</v>
      </c>
      <c r="D2537" s="1" t="s">
        <v>29</v>
      </c>
      <c r="E2537" s="1">
        <v>988923.58</v>
      </c>
      <c r="F2537" s="1">
        <v>33299.120000000003</v>
      </c>
      <c r="G2537" s="1">
        <v>10322</v>
      </c>
      <c r="H2537" s="1">
        <v>95.807360979999999</v>
      </c>
    </row>
    <row r="2538" spans="1:8" ht="15.75" thickBot="1" x14ac:dyDescent="0.3">
      <c r="A2538" s="1">
        <v>2014</v>
      </c>
      <c r="B2538" s="1" t="s">
        <v>11</v>
      </c>
      <c r="C2538" s="1" t="s">
        <v>9</v>
      </c>
      <c r="D2538" s="1" t="s">
        <v>31</v>
      </c>
      <c r="E2538" s="1">
        <v>19610.32</v>
      </c>
      <c r="F2538" s="1">
        <v>2190.19</v>
      </c>
      <c r="G2538" s="1">
        <v>13971</v>
      </c>
      <c r="H2538" s="1">
        <v>1.4036446929999999</v>
      </c>
    </row>
    <row r="2539" spans="1:8" ht="15.75" thickBot="1" x14ac:dyDescent="0.3">
      <c r="A2539" s="1">
        <v>2017</v>
      </c>
      <c r="B2539" s="1" t="s">
        <v>35</v>
      </c>
      <c r="C2539" s="1" t="s">
        <v>18</v>
      </c>
      <c r="D2539" s="1" t="s">
        <v>10</v>
      </c>
      <c r="E2539" s="1">
        <v>177.04</v>
      </c>
      <c r="F2539" s="1">
        <v>32.200000000000003</v>
      </c>
      <c r="G2539" s="1">
        <v>124</v>
      </c>
      <c r="H2539" s="1">
        <v>1.427741935</v>
      </c>
    </row>
    <row r="2540" spans="1:8" ht="15.75" thickBot="1" x14ac:dyDescent="0.3">
      <c r="A2540" s="1">
        <v>2015</v>
      </c>
      <c r="B2540" s="1" t="s">
        <v>20</v>
      </c>
      <c r="C2540" s="1" t="s">
        <v>21</v>
      </c>
      <c r="D2540" s="1" t="s">
        <v>27</v>
      </c>
      <c r="E2540" s="1">
        <v>9395041.7200000007</v>
      </c>
      <c r="F2540" s="1">
        <v>367847.83</v>
      </c>
      <c r="G2540" s="1">
        <v>259537</v>
      </c>
      <c r="H2540" s="1">
        <v>36.199238340000001</v>
      </c>
    </row>
    <row r="2541" spans="1:8" ht="15.75" thickBot="1" x14ac:dyDescent="0.3">
      <c r="A2541" s="1">
        <v>2016</v>
      </c>
      <c r="B2541" s="1" t="s">
        <v>14</v>
      </c>
      <c r="C2541" s="1" t="s">
        <v>23</v>
      </c>
      <c r="D2541" s="1" t="s">
        <v>13</v>
      </c>
      <c r="E2541" s="1">
        <v>1108177.2</v>
      </c>
      <c r="F2541" s="1">
        <v>41625</v>
      </c>
      <c r="G2541" s="1">
        <v>45617</v>
      </c>
      <c r="H2541" s="1">
        <v>24.293074950000001</v>
      </c>
    </row>
    <row r="2542" spans="1:8" ht="15.75" thickBot="1" x14ac:dyDescent="0.3">
      <c r="A2542" s="1">
        <v>2016</v>
      </c>
      <c r="B2542" s="1" t="s">
        <v>16</v>
      </c>
      <c r="C2542" s="1" t="s">
        <v>12</v>
      </c>
      <c r="D2542" s="1" t="s">
        <v>19</v>
      </c>
      <c r="E2542" s="1">
        <v>31398343.140000001</v>
      </c>
      <c r="F2542" s="1">
        <v>1051214.02</v>
      </c>
      <c r="G2542" s="1">
        <v>175726</v>
      </c>
      <c r="H2542" s="1">
        <v>178.67784589999999</v>
      </c>
    </row>
    <row r="2543" spans="1:8" ht="15.75" thickBot="1" x14ac:dyDescent="0.3">
      <c r="A2543" s="1">
        <v>2016</v>
      </c>
      <c r="B2543" s="1" t="s">
        <v>20</v>
      </c>
      <c r="C2543" s="1" t="s">
        <v>15</v>
      </c>
      <c r="D2543" s="1" t="s">
        <v>27</v>
      </c>
      <c r="E2543" s="1">
        <v>2833037.05</v>
      </c>
      <c r="F2543" s="1">
        <v>103693.23</v>
      </c>
      <c r="G2543" s="1">
        <v>57389</v>
      </c>
      <c r="H2543" s="1">
        <v>49.365506459999999</v>
      </c>
    </row>
    <row r="2544" spans="1:8" ht="15.75" thickBot="1" x14ac:dyDescent="0.3">
      <c r="A2544" s="1">
        <v>2017</v>
      </c>
      <c r="B2544" s="1" t="s">
        <v>14</v>
      </c>
      <c r="C2544" s="1" t="s">
        <v>12</v>
      </c>
      <c r="D2544" s="1" t="s">
        <v>13</v>
      </c>
      <c r="E2544" s="1">
        <v>2566602.5499999998</v>
      </c>
      <c r="F2544" s="1">
        <v>105802.36</v>
      </c>
      <c r="G2544" s="1">
        <v>117522</v>
      </c>
      <c r="H2544" s="1">
        <v>21.839336889999998</v>
      </c>
    </row>
    <row r="2545" spans="1:8" ht="15.75" thickBot="1" x14ac:dyDescent="0.3">
      <c r="A2545" s="1">
        <v>2016</v>
      </c>
      <c r="B2545" s="1" t="s">
        <v>11</v>
      </c>
      <c r="C2545" s="1" t="s">
        <v>21</v>
      </c>
      <c r="D2545" s="1" t="s">
        <v>29</v>
      </c>
      <c r="E2545" s="1">
        <v>3909512.95</v>
      </c>
      <c r="F2545" s="1">
        <v>111710.44</v>
      </c>
      <c r="G2545" s="1">
        <v>9543</v>
      </c>
      <c r="H2545" s="1">
        <v>409.67336790000002</v>
      </c>
    </row>
    <row r="2546" spans="1:8" ht="15.75" thickBot="1" x14ac:dyDescent="0.3">
      <c r="A2546" s="1">
        <v>2014</v>
      </c>
      <c r="B2546" s="1" t="s">
        <v>20</v>
      </c>
      <c r="C2546" s="1" t="s">
        <v>18</v>
      </c>
      <c r="D2546" s="1" t="s">
        <v>27</v>
      </c>
      <c r="E2546" s="1">
        <v>1111146.1399999999</v>
      </c>
      <c r="F2546" s="1">
        <v>38719.160000000003</v>
      </c>
      <c r="G2546" s="1">
        <v>17949</v>
      </c>
      <c r="H2546" s="1">
        <v>61.905740710000003</v>
      </c>
    </row>
    <row r="2547" spans="1:8" ht="15.75" thickBot="1" x14ac:dyDescent="0.3">
      <c r="A2547" s="1">
        <v>2016</v>
      </c>
      <c r="B2547" s="1" t="s">
        <v>14</v>
      </c>
      <c r="C2547" s="1" t="s">
        <v>15</v>
      </c>
      <c r="D2547" s="1" t="s">
        <v>29</v>
      </c>
      <c r="E2547" s="1">
        <v>18682309.710000001</v>
      </c>
      <c r="F2547" s="1">
        <v>603479.64</v>
      </c>
      <c r="G2547" s="1">
        <v>72662</v>
      </c>
      <c r="H2547" s="1">
        <v>257.11251700000003</v>
      </c>
    </row>
    <row r="2548" spans="1:8" ht="15.75" thickBot="1" x14ac:dyDescent="0.3">
      <c r="A2548" s="1">
        <v>2015</v>
      </c>
      <c r="B2548" s="1" t="s">
        <v>17</v>
      </c>
      <c r="C2548" s="1" t="s">
        <v>26</v>
      </c>
      <c r="D2548" s="1" t="s">
        <v>10</v>
      </c>
      <c r="E2548" s="1">
        <v>32375889.379999999</v>
      </c>
      <c r="F2548" s="1">
        <v>1033617.01</v>
      </c>
      <c r="G2548" s="1">
        <v>610393</v>
      </c>
      <c r="H2548" s="1">
        <v>53.041056140000002</v>
      </c>
    </row>
    <row r="2549" spans="1:8" ht="15.75" thickBot="1" x14ac:dyDescent="0.3">
      <c r="A2549" s="1">
        <v>2015</v>
      </c>
      <c r="B2549" s="1" t="s">
        <v>12</v>
      </c>
      <c r="C2549" s="1" t="s">
        <v>33</v>
      </c>
      <c r="D2549" s="1" t="s">
        <v>13</v>
      </c>
      <c r="E2549" s="1">
        <v>26596.44</v>
      </c>
      <c r="F2549" s="1">
        <v>969.72</v>
      </c>
      <c r="G2549" s="1">
        <v>713</v>
      </c>
      <c r="H2549" s="1">
        <v>37.302159889999999</v>
      </c>
    </row>
    <row r="2550" spans="1:8" ht="15.75" thickBot="1" x14ac:dyDescent="0.3">
      <c r="A2550" s="1">
        <v>2014</v>
      </c>
      <c r="B2550" s="1" t="s">
        <v>35</v>
      </c>
      <c r="C2550" s="1" t="s">
        <v>9</v>
      </c>
      <c r="D2550" s="1" t="s">
        <v>24</v>
      </c>
      <c r="E2550" s="1">
        <v>669.06</v>
      </c>
      <c r="F2550" s="1">
        <v>21.79</v>
      </c>
      <c r="G2550" s="1">
        <v>162</v>
      </c>
      <c r="H2550" s="1">
        <v>4.13</v>
      </c>
    </row>
    <row r="2551" spans="1:8" ht="15.75" thickBot="1" x14ac:dyDescent="0.3">
      <c r="A2551" s="1">
        <v>2016</v>
      </c>
      <c r="B2551" s="1" t="s">
        <v>14</v>
      </c>
      <c r="C2551" s="1" t="s">
        <v>28</v>
      </c>
      <c r="D2551" s="1" t="s">
        <v>19</v>
      </c>
      <c r="E2551" s="1">
        <v>161235535.19999999</v>
      </c>
      <c r="F2551" s="1">
        <v>4578940.45</v>
      </c>
      <c r="G2551" s="1">
        <v>972086</v>
      </c>
      <c r="H2551" s="1">
        <v>165.86550489999999</v>
      </c>
    </row>
    <row r="2552" spans="1:8" ht="15.75" thickBot="1" x14ac:dyDescent="0.3">
      <c r="A2552" s="1">
        <v>2015</v>
      </c>
      <c r="B2552" s="1" t="s">
        <v>14</v>
      </c>
      <c r="C2552" s="1" t="s">
        <v>18</v>
      </c>
      <c r="D2552" s="1" t="s">
        <v>27</v>
      </c>
      <c r="E2552" s="1">
        <v>21757665.859999999</v>
      </c>
      <c r="F2552" s="1">
        <v>837342.03</v>
      </c>
      <c r="G2552" s="1">
        <v>495168</v>
      </c>
      <c r="H2552" s="1">
        <v>43.93996757</v>
      </c>
    </row>
    <row r="2553" spans="1:8" ht="15.75" thickBot="1" x14ac:dyDescent="0.3">
      <c r="A2553" s="1">
        <v>2017</v>
      </c>
      <c r="B2553" s="1" t="s">
        <v>20</v>
      </c>
      <c r="C2553" s="1" t="s">
        <v>9</v>
      </c>
      <c r="D2553" s="1" t="s">
        <v>29</v>
      </c>
      <c r="E2553" s="1">
        <v>21220.12</v>
      </c>
      <c r="F2553" s="1">
        <v>152.81</v>
      </c>
      <c r="G2553" s="1">
        <v>112</v>
      </c>
      <c r="H2553" s="1">
        <v>189.46535710000001</v>
      </c>
    </row>
    <row r="2554" spans="1:8" ht="15.75" thickBot="1" x14ac:dyDescent="0.3">
      <c r="A2554" s="1">
        <v>2017</v>
      </c>
      <c r="B2554" s="1" t="s">
        <v>20</v>
      </c>
      <c r="C2554" s="1" t="s">
        <v>12</v>
      </c>
      <c r="D2554" s="1" t="s">
        <v>13</v>
      </c>
      <c r="E2554" s="1">
        <v>154281.29</v>
      </c>
      <c r="F2554" s="1">
        <v>5226.45</v>
      </c>
      <c r="G2554" s="1">
        <v>5417</v>
      </c>
      <c r="H2554" s="1">
        <v>28.480947019999999</v>
      </c>
    </row>
    <row r="2555" spans="1:8" ht="15.75" thickBot="1" x14ac:dyDescent="0.3">
      <c r="A2555" s="1">
        <v>2015</v>
      </c>
      <c r="B2555" s="1" t="s">
        <v>14</v>
      </c>
      <c r="C2555" s="1" t="s">
        <v>26</v>
      </c>
      <c r="D2555" s="1" t="s">
        <v>10</v>
      </c>
      <c r="E2555" s="1">
        <v>3131642.57</v>
      </c>
      <c r="F2555" s="1">
        <v>116869.24</v>
      </c>
      <c r="G2555" s="1">
        <v>60964</v>
      </c>
      <c r="H2555" s="1">
        <v>51.368718749999999</v>
      </c>
    </row>
    <row r="2556" spans="1:8" ht="15.75" thickBot="1" x14ac:dyDescent="0.3">
      <c r="A2556" s="1">
        <v>2017</v>
      </c>
      <c r="B2556" s="1" t="s">
        <v>11</v>
      </c>
      <c r="C2556" s="1" t="s">
        <v>9</v>
      </c>
      <c r="D2556" s="1" t="s">
        <v>24</v>
      </c>
      <c r="E2556" s="1">
        <v>1476051.12</v>
      </c>
      <c r="F2556" s="1">
        <v>52259.199999999997</v>
      </c>
      <c r="G2556" s="1">
        <v>5919</v>
      </c>
      <c r="H2556" s="1">
        <v>249.37508360000001</v>
      </c>
    </row>
    <row r="2557" spans="1:8" ht="15.75" thickBot="1" x14ac:dyDescent="0.3">
      <c r="A2557" s="1">
        <v>2016</v>
      </c>
      <c r="B2557" s="1" t="s">
        <v>14</v>
      </c>
      <c r="C2557" s="1" t="s">
        <v>26</v>
      </c>
      <c r="D2557" s="1" t="s">
        <v>31</v>
      </c>
      <c r="E2557" s="1">
        <v>962302.31</v>
      </c>
      <c r="F2557" s="1">
        <v>37875.839999999997</v>
      </c>
      <c r="G2557" s="1">
        <v>23982</v>
      </c>
      <c r="H2557" s="1">
        <v>40.126024100000002</v>
      </c>
    </row>
    <row r="2558" spans="1:8" ht="15.75" thickBot="1" x14ac:dyDescent="0.3">
      <c r="A2558" s="1">
        <v>2014</v>
      </c>
      <c r="B2558" s="1" t="s">
        <v>35</v>
      </c>
      <c r="C2558" s="1" t="s">
        <v>9</v>
      </c>
      <c r="D2558" s="1" t="s">
        <v>29</v>
      </c>
      <c r="E2558" s="1">
        <v>8733.1299999999992</v>
      </c>
      <c r="F2558" s="1">
        <v>25.6</v>
      </c>
      <c r="G2558" s="1">
        <v>44</v>
      </c>
      <c r="H2558" s="1">
        <v>198.4802273</v>
      </c>
    </row>
    <row r="2559" spans="1:8" ht="15.75" thickBot="1" x14ac:dyDescent="0.3">
      <c r="A2559" s="1">
        <v>2014</v>
      </c>
      <c r="B2559" s="1" t="s">
        <v>20</v>
      </c>
      <c r="C2559" s="1" t="s">
        <v>23</v>
      </c>
      <c r="D2559" s="1" t="s">
        <v>22</v>
      </c>
      <c r="E2559" s="1">
        <v>288.14</v>
      </c>
      <c r="F2559" s="1">
        <v>15.94</v>
      </c>
      <c r="G2559" s="1">
        <v>316</v>
      </c>
      <c r="H2559" s="1">
        <v>0.91183544299999997</v>
      </c>
    </row>
    <row r="2560" spans="1:8" ht="15.75" thickBot="1" x14ac:dyDescent="0.3">
      <c r="A2560" s="1">
        <v>2015</v>
      </c>
      <c r="B2560" s="1" t="s">
        <v>14</v>
      </c>
      <c r="C2560" s="1" t="s">
        <v>25</v>
      </c>
      <c r="D2560" s="1" t="s">
        <v>19</v>
      </c>
      <c r="E2560" s="1">
        <v>48014561.880000003</v>
      </c>
      <c r="F2560" s="1">
        <v>1686975.09</v>
      </c>
      <c r="G2560" s="1">
        <v>461789</v>
      </c>
      <c r="H2560" s="1">
        <v>103.9751096</v>
      </c>
    </row>
    <row r="2561" spans="1:8" ht="15.75" thickBot="1" x14ac:dyDescent="0.3">
      <c r="A2561" s="1">
        <v>2016</v>
      </c>
      <c r="B2561" s="1" t="s">
        <v>12</v>
      </c>
      <c r="C2561" s="1" t="s">
        <v>9</v>
      </c>
      <c r="D2561" s="1" t="s">
        <v>13</v>
      </c>
      <c r="E2561" s="1">
        <v>326.22000000000003</v>
      </c>
      <c r="F2561" s="1">
        <v>9.0299999999999994</v>
      </c>
      <c r="G2561" s="1">
        <v>39</v>
      </c>
      <c r="H2561" s="1">
        <v>8.3646153850000005</v>
      </c>
    </row>
    <row r="2562" spans="1:8" ht="15.75" thickBot="1" x14ac:dyDescent="0.3">
      <c r="A2562" s="1">
        <v>2016</v>
      </c>
      <c r="B2562" s="1" t="s">
        <v>35</v>
      </c>
      <c r="C2562" s="1" t="s">
        <v>21</v>
      </c>
      <c r="D2562" s="1" t="s">
        <v>19</v>
      </c>
      <c r="E2562" s="1">
        <v>18720.46</v>
      </c>
      <c r="F2562" s="1">
        <v>602.64</v>
      </c>
      <c r="G2562" s="1">
        <v>652</v>
      </c>
      <c r="H2562" s="1">
        <v>28.712361959999999</v>
      </c>
    </row>
    <row r="2563" spans="1:8" ht="15.75" thickBot="1" x14ac:dyDescent="0.3">
      <c r="A2563" s="1">
        <v>2015</v>
      </c>
      <c r="B2563" s="1" t="s">
        <v>35</v>
      </c>
      <c r="C2563" s="1" t="s">
        <v>23</v>
      </c>
      <c r="D2563" s="1" t="s">
        <v>31</v>
      </c>
      <c r="E2563" s="1">
        <v>-120</v>
      </c>
      <c r="F2563" s="1">
        <v>0</v>
      </c>
      <c r="G2563" s="1">
        <v>1</v>
      </c>
      <c r="H2563" s="1">
        <v>-120</v>
      </c>
    </row>
    <row r="2564" spans="1:8" ht="15.75" thickBot="1" x14ac:dyDescent="0.3">
      <c r="A2564" s="1">
        <v>2016</v>
      </c>
      <c r="B2564" s="1" t="s">
        <v>16</v>
      </c>
      <c r="C2564" s="1" t="s">
        <v>23</v>
      </c>
      <c r="D2564" s="1" t="s">
        <v>13</v>
      </c>
      <c r="E2564" s="1">
        <v>2262703.7999999998</v>
      </c>
      <c r="F2564" s="1">
        <v>71163.710000000006</v>
      </c>
      <c r="G2564" s="1">
        <v>51182</v>
      </c>
      <c r="H2564" s="1">
        <v>44.208975809999998</v>
      </c>
    </row>
    <row r="2565" spans="1:8" ht="15.75" thickBot="1" x14ac:dyDescent="0.3">
      <c r="A2565" s="1">
        <v>2015</v>
      </c>
      <c r="B2565" s="1" t="s">
        <v>14</v>
      </c>
      <c r="C2565" s="1" t="s">
        <v>28</v>
      </c>
      <c r="D2565" s="1" t="s">
        <v>13</v>
      </c>
      <c r="E2565" s="1">
        <v>553102.68999999994</v>
      </c>
      <c r="F2565" s="1">
        <v>17904.740000000002</v>
      </c>
      <c r="G2565" s="1">
        <v>6171</v>
      </c>
      <c r="H2565" s="1">
        <v>89.629345319999999</v>
      </c>
    </row>
    <row r="2566" spans="1:8" ht="15.75" thickBot="1" x14ac:dyDescent="0.3">
      <c r="A2566" s="1">
        <v>2017</v>
      </c>
      <c r="B2566" s="1" t="s">
        <v>35</v>
      </c>
      <c r="C2566" s="1" t="s">
        <v>23</v>
      </c>
      <c r="D2566" s="1" t="s">
        <v>29</v>
      </c>
      <c r="E2566" s="1">
        <v>0</v>
      </c>
      <c r="F2566" s="1">
        <v>0</v>
      </c>
      <c r="G2566" s="1">
        <v>4</v>
      </c>
      <c r="H2566" s="1">
        <v>0</v>
      </c>
    </row>
    <row r="2567" spans="1:8" ht="15.75" thickBot="1" x14ac:dyDescent="0.3">
      <c r="A2567" s="1">
        <v>2016</v>
      </c>
      <c r="B2567" s="1" t="s">
        <v>8</v>
      </c>
      <c r="C2567" s="1" t="s">
        <v>25</v>
      </c>
      <c r="D2567" s="1" t="s">
        <v>13</v>
      </c>
      <c r="E2567" s="1">
        <v>289.39</v>
      </c>
      <c r="F2567" s="1">
        <v>9.6</v>
      </c>
      <c r="G2567" s="1">
        <v>4</v>
      </c>
      <c r="H2567" s="1">
        <v>72.347499999999997</v>
      </c>
    </row>
    <row r="2568" spans="1:8" ht="15.75" thickBot="1" x14ac:dyDescent="0.3">
      <c r="A2568" s="1">
        <v>2016</v>
      </c>
      <c r="B2568" s="1" t="s">
        <v>35</v>
      </c>
      <c r="C2568" s="1" t="s">
        <v>26</v>
      </c>
      <c r="D2568" s="1" t="s">
        <v>31</v>
      </c>
      <c r="E2568" s="1">
        <v>37.65</v>
      </c>
      <c r="F2568" s="1">
        <v>1.39</v>
      </c>
      <c r="G2568" s="1">
        <v>13</v>
      </c>
      <c r="H2568" s="1">
        <v>2.8961538459999998</v>
      </c>
    </row>
    <row r="2569" spans="1:8" ht="15.75" thickBot="1" x14ac:dyDescent="0.3">
      <c r="A2569" s="1">
        <v>2016</v>
      </c>
      <c r="B2569" s="1" t="s">
        <v>16</v>
      </c>
      <c r="C2569" s="1" t="s">
        <v>18</v>
      </c>
      <c r="D2569" s="1" t="s">
        <v>13</v>
      </c>
      <c r="E2569" s="1">
        <v>124278.72</v>
      </c>
      <c r="F2569" s="1">
        <v>4062.89</v>
      </c>
      <c r="G2569" s="1">
        <v>2554</v>
      </c>
      <c r="H2569" s="1">
        <v>48.660422869999998</v>
      </c>
    </row>
    <row r="2570" spans="1:8" ht="15.75" thickBot="1" x14ac:dyDescent="0.3">
      <c r="A2570" s="1">
        <v>2014</v>
      </c>
      <c r="B2570" s="1" t="s">
        <v>14</v>
      </c>
      <c r="C2570" s="1" t="s">
        <v>28</v>
      </c>
      <c r="D2570" s="1" t="s">
        <v>31</v>
      </c>
      <c r="E2570" s="1">
        <v>525702.99</v>
      </c>
      <c r="F2570" s="1">
        <v>19886.82</v>
      </c>
      <c r="G2570" s="1">
        <v>58208</v>
      </c>
      <c r="H2570" s="1">
        <v>9.0314559849999991</v>
      </c>
    </row>
    <row r="2571" spans="1:8" ht="15.75" thickBot="1" x14ac:dyDescent="0.3">
      <c r="A2571" s="1">
        <v>2014</v>
      </c>
      <c r="B2571" s="1" t="s">
        <v>14</v>
      </c>
      <c r="C2571" s="1" t="s">
        <v>18</v>
      </c>
      <c r="D2571" s="1" t="s">
        <v>31</v>
      </c>
      <c r="E2571" s="1">
        <v>109502.75</v>
      </c>
      <c r="F2571" s="1">
        <v>4218.47</v>
      </c>
      <c r="G2571" s="1">
        <v>2560</v>
      </c>
      <c r="H2571" s="1">
        <v>42.77451172</v>
      </c>
    </row>
    <row r="2572" spans="1:8" ht="15.75" thickBot="1" x14ac:dyDescent="0.3">
      <c r="A2572" s="1">
        <v>2017</v>
      </c>
      <c r="B2572" s="1" t="s">
        <v>40</v>
      </c>
      <c r="C2572" s="1" t="s">
        <v>25</v>
      </c>
      <c r="D2572" s="1" t="s">
        <v>19</v>
      </c>
      <c r="E2572" s="1">
        <v>57123.74</v>
      </c>
      <c r="F2572" s="1">
        <v>777.92</v>
      </c>
      <c r="G2572" s="1">
        <v>486</v>
      </c>
      <c r="H2572" s="1">
        <v>117.53855969999999</v>
      </c>
    </row>
    <row r="2573" spans="1:8" ht="15.75" thickBot="1" x14ac:dyDescent="0.3">
      <c r="A2573" s="1">
        <v>2015</v>
      </c>
      <c r="B2573" s="1" t="s">
        <v>11</v>
      </c>
      <c r="C2573" s="1" t="s">
        <v>18</v>
      </c>
      <c r="D2573" s="1" t="s">
        <v>22</v>
      </c>
      <c r="E2573" s="1">
        <v>901689.87</v>
      </c>
      <c r="F2573" s="1">
        <v>28719.53</v>
      </c>
      <c r="G2573" s="1">
        <v>63980</v>
      </c>
      <c r="H2573" s="1">
        <v>14.09330838</v>
      </c>
    </row>
    <row r="2574" spans="1:8" ht="15.75" thickBot="1" x14ac:dyDescent="0.3">
      <c r="A2574" s="1">
        <v>2014</v>
      </c>
      <c r="B2574" s="1" t="s">
        <v>35</v>
      </c>
      <c r="C2574" s="1" t="s">
        <v>9</v>
      </c>
      <c r="D2574" s="1" t="s">
        <v>19</v>
      </c>
      <c r="E2574" s="1">
        <v>3265.16</v>
      </c>
      <c r="F2574" s="1">
        <v>321.36</v>
      </c>
      <c r="G2574" s="1">
        <v>375</v>
      </c>
      <c r="H2574" s="1">
        <v>8.7070933329999995</v>
      </c>
    </row>
    <row r="2575" spans="1:8" ht="15.75" thickBot="1" x14ac:dyDescent="0.3">
      <c r="A2575" s="1">
        <v>2015</v>
      </c>
      <c r="B2575" s="1" t="s">
        <v>16</v>
      </c>
      <c r="C2575" s="1" t="s">
        <v>23</v>
      </c>
      <c r="D2575" s="1" t="s">
        <v>19</v>
      </c>
      <c r="E2575" s="1">
        <v>48748337.869999997</v>
      </c>
      <c r="F2575" s="1">
        <v>1788608.58</v>
      </c>
      <c r="G2575" s="1">
        <v>383207</v>
      </c>
      <c r="H2575" s="1">
        <v>127.2115015</v>
      </c>
    </row>
    <row r="2576" spans="1:8" ht="15.75" thickBot="1" x14ac:dyDescent="0.3">
      <c r="A2576" s="1">
        <v>2016</v>
      </c>
      <c r="B2576" s="1" t="s">
        <v>30</v>
      </c>
      <c r="C2576" s="1" t="s">
        <v>26</v>
      </c>
      <c r="D2576" s="1" t="s">
        <v>29</v>
      </c>
      <c r="E2576" s="1">
        <v>10569716.25</v>
      </c>
      <c r="F2576" s="1">
        <v>363774.3</v>
      </c>
      <c r="G2576" s="1">
        <v>66996</v>
      </c>
      <c r="H2576" s="1">
        <v>157.76637779999999</v>
      </c>
    </row>
    <row r="2577" spans="1:8" ht="15.75" thickBot="1" x14ac:dyDescent="0.3">
      <c r="A2577" s="1">
        <v>2017</v>
      </c>
      <c r="B2577" s="1" t="s">
        <v>40</v>
      </c>
      <c r="C2577" s="1" t="s">
        <v>33</v>
      </c>
      <c r="D2577" s="1" t="s">
        <v>31</v>
      </c>
      <c r="E2577" s="1">
        <v>1827</v>
      </c>
      <c r="F2577" s="1">
        <v>68.31</v>
      </c>
      <c r="G2577" s="1">
        <v>42</v>
      </c>
      <c r="H2577" s="1">
        <v>43.5</v>
      </c>
    </row>
    <row r="2578" spans="1:8" ht="15.75" thickBot="1" x14ac:dyDescent="0.3">
      <c r="A2578" s="1">
        <v>2016</v>
      </c>
      <c r="B2578" s="1" t="s">
        <v>12</v>
      </c>
      <c r="C2578" s="1" t="s">
        <v>21</v>
      </c>
      <c r="D2578" s="1" t="s">
        <v>32</v>
      </c>
      <c r="E2578" s="1">
        <v>13563150.689999999</v>
      </c>
      <c r="F2578" s="1">
        <v>488298.59</v>
      </c>
      <c r="G2578" s="1">
        <v>245829</v>
      </c>
      <c r="H2578" s="1">
        <v>55.173110940000001</v>
      </c>
    </row>
    <row r="2579" spans="1:8" ht="15.75" thickBot="1" x14ac:dyDescent="0.3">
      <c r="A2579" s="1">
        <v>2016</v>
      </c>
      <c r="B2579" s="1" t="s">
        <v>14</v>
      </c>
      <c r="C2579" s="1" t="s">
        <v>9</v>
      </c>
      <c r="D2579" s="1" t="s">
        <v>24</v>
      </c>
      <c r="E2579" s="1">
        <v>138620.66</v>
      </c>
      <c r="F2579" s="1">
        <v>2170.6999999999998</v>
      </c>
      <c r="G2579" s="1">
        <v>1291</v>
      </c>
      <c r="H2579" s="1">
        <v>107.3746398</v>
      </c>
    </row>
    <row r="2580" spans="1:8" ht="15.75" thickBot="1" x14ac:dyDescent="0.3">
      <c r="A2580" s="1">
        <v>2015</v>
      </c>
      <c r="B2580" s="1" t="s">
        <v>35</v>
      </c>
      <c r="C2580" s="1" t="s">
        <v>25</v>
      </c>
      <c r="D2580" s="1" t="s">
        <v>31</v>
      </c>
      <c r="E2580" s="1">
        <v>0</v>
      </c>
      <c r="F2580" s="1">
        <v>0</v>
      </c>
      <c r="G2580" s="1">
        <v>45</v>
      </c>
      <c r="H2580" s="1">
        <v>0</v>
      </c>
    </row>
    <row r="2581" spans="1:8" ht="15.75" thickBot="1" x14ac:dyDescent="0.3">
      <c r="A2581" s="1">
        <v>2015</v>
      </c>
      <c r="B2581" s="1" t="s">
        <v>20</v>
      </c>
      <c r="C2581" s="1" t="s">
        <v>9</v>
      </c>
      <c r="D2581" s="1" t="s">
        <v>22</v>
      </c>
      <c r="E2581" s="1">
        <v>0</v>
      </c>
      <c r="F2581" s="1">
        <v>0</v>
      </c>
      <c r="G2581" s="1">
        <v>142</v>
      </c>
      <c r="H2581" s="1">
        <v>0</v>
      </c>
    </row>
    <row r="2582" spans="1:8" ht="15.75" thickBot="1" x14ac:dyDescent="0.3">
      <c r="A2582" s="1">
        <v>2014</v>
      </c>
      <c r="B2582" s="1" t="s">
        <v>12</v>
      </c>
      <c r="C2582" s="1" t="s">
        <v>23</v>
      </c>
      <c r="D2582" s="1" t="s">
        <v>29</v>
      </c>
      <c r="E2582" s="1">
        <v>312117.02</v>
      </c>
      <c r="F2582" s="1">
        <v>10640.77</v>
      </c>
      <c r="G2582" s="1">
        <v>1916</v>
      </c>
      <c r="H2582" s="1">
        <v>162.90032360000001</v>
      </c>
    </row>
    <row r="2583" spans="1:8" ht="15.75" thickBot="1" x14ac:dyDescent="0.3">
      <c r="A2583" s="1">
        <v>2016</v>
      </c>
      <c r="B2583" s="1" t="s">
        <v>11</v>
      </c>
      <c r="C2583" s="1" t="s">
        <v>12</v>
      </c>
      <c r="D2583" s="1" t="s">
        <v>10</v>
      </c>
      <c r="E2583" s="1">
        <v>140072025.09999999</v>
      </c>
      <c r="F2583" s="1">
        <v>3239364.32</v>
      </c>
      <c r="G2583" s="1">
        <v>2209539</v>
      </c>
      <c r="H2583" s="1">
        <v>63.39423068</v>
      </c>
    </row>
    <row r="2584" spans="1:8" ht="15.75" thickBot="1" x14ac:dyDescent="0.3">
      <c r="A2584" s="1">
        <v>2017</v>
      </c>
      <c r="B2584" s="1" t="s">
        <v>35</v>
      </c>
      <c r="C2584" s="1" t="s">
        <v>15</v>
      </c>
      <c r="D2584" s="1" t="s">
        <v>27</v>
      </c>
      <c r="E2584" s="1">
        <v>9417.91</v>
      </c>
      <c r="F2584" s="1">
        <v>497.83</v>
      </c>
      <c r="G2584" s="1">
        <v>279</v>
      </c>
      <c r="H2584" s="1">
        <v>33.755949819999998</v>
      </c>
    </row>
    <row r="2585" spans="1:8" ht="15.75" thickBot="1" x14ac:dyDescent="0.3">
      <c r="A2585" s="1">
        <v>2014</v>
      </c>
      <c r="B2585" s="1" t="s">
        <v>16</v>
      </c>
      <c r="C2585" s="1" t="s">
        <v>9</v>
      </c>
      <c r="D2585" s="1" t="s">
        <v>29</v>
      </c>
      <c r="E2585" s="1">
        <v>79499.44</v>
      </c>
      <c r="F2585" s="1">
        <v>1082.6600000000001</v>
      </c>
      <c r="G2585" s="1">
        <v>660</v>
      </c>
      <c r="H2585" s="1">
        <v>120.45369700000001</v>
      </c>
    </row>
    <row r="2586" spans="1:8" ht="15.75" thickBot="1" x14ac:dyDescent="0.3">
      <c r="A2586" s="1">
        <v>2014</v>
      </c>
      <c r="B2586" s="1" t="s">
        <v>16</v>
      </c>
      <c r="C2586" s="1" t="s">
        <v>9</v>
      </c>
      <c r="D2586" s="1" t="s">
        <v>32</v>
      </c>
      <c r="E2586" s="1">
        <v>338433.5</v>
      </c>
      <c r="F2586" s="1">
        <v>12515.34</v>
      </c>
      <c r="G2586" s="1">
        <v>41297</v>
      </c>
      <c r="H2586" s="1">
        <v>8.1951110249999992</v>
      </c>
    </row>
    <row r="2587" spans="1:8" ht="15.75" thickBot="1" x14ac:dyDescent="0.3">
      <c r="A2587" s="1">
        <v>2016</v>
      </c>
      <c r="B2587" s="1" t="s">
        <v>8</v>
      </c>
      <c r="C2587" s="1" t="s">
        <v>21</v>
      </c>
      <c r="D2587" s="1" t="s">
        <v>24</v>
      </c>
      <c r="E2587" s="1">
        <v>470</v>
      </c>
      <c r="F2587" s="1">
        <v>13.93</v>
      </c>
      <c r="G2587" s="1">
        <v>1</v>
      </c>
      <c r="H2587" s="1">
        <v>470</v>
      </c>
    </row>
    <row r="2588" spans="1:8" ht="15.75" thickBot="1" x14ac:dyDescent="0.3">
      <c r="A2588" s="1">
        <v>2015</v>
      </c>
      <c r="B2588" s="1" t="s">
        <v>8</v>
      </c>
      <c r="C2588" s="1" t="s">
        <v>9</v>
      </c>
      <c r="D2588" s="1" t="s">
        <v>27</v>
      </c>
      <c r="E2588" s="1">
        <v>2922.58</v>
      </c>
      <c r="F2588" s="1">
        <v>98.35</v>
      </c>
      <c r="G2588" s="1">
        <v>17</v>
      </c>
      <c r="H2588" s="1">
        <v>171.9164706</v>
      </c>
    </row>
    <row r="2589" spans="1:8" ht="15.75" thickBot="1" x14ac:dyDescent="0.3">
      <c r="A2589" s="1">
        <v>2017</v>
      </c>
      <c r="B2589" s="1" t="s">
        <v>12</v>
      </c>
      <c r="C2589" s="1" t="s">
        <v>28</v>
      </c>
      <c r="D2589" s="1" t="s">
        <v>32</v>
      </c>
      <c r="E2589" s="1">
        <v>24069721.289999999</v>
      </c>
      <c r="F2589" s="1">
        <v>317913.15000000002</v>
      </c>
      <c r="G2589" s="1">
        <v>149623</v>
      </c>
      <c r="H2589" s="1">
        <v>160.8691263</v>
      </c>
    </row>
    <row r="2590" spans="1:8" ht="15.75" thickBot="1" x14ac:dyDescent="0.3">
      <c r="A2590" s="1">
        <v>2014</v>
      </c>
      <c r="B2590" s="1" t="s">
        <v>11</v>
      </c>
      <c r="C2590" s="1" t="s">
        <v>28</v>
      </c>
      <c r="D2590" s="1" t="s">
        <v>31</v>
      </c>
      <c r="E2590" s="1">
        <v>8839643.0399999991</v>
      </c>
      <c r="F2590" s="1">
        <v>223988.06</v>
      </c>
      <c r="G2590" s="1">
        <v>114357</v>
      </c>
      <c r="H2590" s="1">
        <v>77.298661559999999</v>
      </c>
    </row>
    <row r="2591" spans="1:8" ht="15.75" thickBot="1" x14ac:dyDescent="0.3">
      <c r="A2591" s="1">
        <v>2014</v>
      </c>
      <c r="B2591" s="1" t="s">
        <v>30</v>
      </c>
      <c r="C2591" s="1" t="s">
        <v>21</v>
      </c>
      <c r="D2591" s="1" t="s">
        <v>29</v>
      </c>
      <c r="E2591" s="1">
        <v>7769655.5</v>
      </c>
      <c r="F2591" s="1">
        <v>245333.83</v>
      </c>
      <c r="G2591" s="1">
        <v>42398</v>
      </c>
      <c r="H2591" s="1">
        <v>183.25523609999999</v>
      </c>
    </row>
    <row r="2592" spans="1:8" ht="15.75" thickBot="1" x14ac:dyDescent="0.3">
      <c r="A2592" s="1">
        <v>2014</v>
      </c>
      <c r="B2592" s="1" t="s">
        <v>35</v>
      </c>
      <c r="C2592" s="1" t="s">
        <v>18</v>
      </c>
      <c r="D2592" s="1" t="s">
        <v>31</v>
      </c>
      <c r="E2592" s="1">
        <v>0</v>
      </c>
      <c r="F2592" s="1">
        <v>0</v>
      </c>
      <c r="G2592" s="1">
        <v>2</v>
      </c>
      <c r="H2592" s="1">
        <v>0</v>
      </c>
    </row>
    <row r="2593" spans="1:8" ht="15.75" thickBot="1" x14ac:dyDescent="0.3">
      <c r="A2593" s="1">
        <v>2016</v>
      </c>
      <c r="B2593" s="1" t="s">
        <v>20</v>
      </c>
      <c r="C2593" s="1" t="s">
        <v>15</v>
      </c>
      <c r="D2593" s="1" t="s">
        <v>32</v>
      </c>
      <c r="E2593" s="1">
        <v>5783182.9400000004</v>
      </c>
      <c r="F2593" s="1">
        <v>220435.6</v>
      </c>
      <c r="G2593" s="1">
        <v>168819</v>
      </c>
      <c r="H2593" s="1">
        <v>34.256706530000002</v>
      </c>
    </row>
    <row r="2594" spans="1:8" ht="15.75" thickBot="1" x14ac:dyDescent="0.3">
      <c r="A2594" s="1">
        <v>2016</v>
      </c>
      <c r="B2594" s="1" t="s">
        <v>16</v>
      </c>
      <c r="C2594" s="1" t="s">
        <v>28</v>
      </c>
      <c r="D2594" s="1" t="s">
        <v>13</v>
      </c>
      <c r="E2594" s="1">
        <v>3793027.8</v>
      </c>
      <c r="F2594" s="1">
        <v>64927.63</v>
      </c>
      <c r="G2594" s="1">
        <v>31924</v>
      </c>
      <c r="H2594" s="1">
        <v>118.8143027</v>
      </c>
    </row>
    <row r="2595" spans="1:8" ht="15.75" thickBot="1" x14ac:dyDescent="0.3">
      <c r="A2595" s="1">
        <v>2017</v>
      </c>
      <c r="B2595" s="1" t="s">
        <v>35</v>
      </c>
      <c r="C2595" s="1" t="s">
        <v>9</v>
      </c>
      <c r="D2595" s="1" t="s">
        <v>32</v>
      </c>
      <c r="E2595" s="1">
        <v>24042.97</v>
      </c>
      <c r="F2595" s="1">
        <v>851.76</v>
      </c>
      <c r="G2595" s="1">
        <v>1149</v>
      </c>
      <c r="H2595" s="1">
        <v>20.925126200000001</v>
      </c>
    </row>
    <row r="2596" spans="1:8" ht="15.75" thickBot="1" x14ac:dyDescent="0.3">
      <c r="A2596" s="1">
        <v>2016</v>
      </c>
      <c r="B2596" s="1" t="s">
        <v>12</v>
      </c>
      <c r="C2596" s="1" t="s">
        <v>33</v>
      </c>
      <c r="D2596" s="1" t="s">
        <v>29</v>
      </c>
      <c r="E2596" s="1">
        <v>4392585.6100000003</v>
      </c>
      <c r="F2596" s="1">
        <v>133939.26999999999</v>
      </c>
      <c r="G2596" s="1">
        <v>11113</v>
      </c>
      <c r="H2596" s="1">
        <v>395.26550980000002</v>
      </c>
    </row>
    <row r="2597" spans="1:8" ht="15.75" thickBot="1" x14ac:dyDescent="0.3">
      <c r="A2597" s="1">
        <v>2015</v>
      </c>
      <c r="B2597" s="1" t="s">
        <v>30</v>
      </c>
      <c r="C2597" s="1" t="s">
        <v>12</v>
      </c>
      <c r="D2597" s="1" t="s">
        <v>24</v>
      </c>
      <c r="E2597" s="1">
        <v>24634948.289999999</v>
      </c>
      <c r="F2597" s="1">
        <v>802412.54</v>
      </c>
      <c r="G2597" s="1">
        <v>130487</v>
      </c>
      <c r="H2597" s="1">
        <v>188.79235700000001</v>
      </c>
    </row>
    <row r="2598" spans="1:8" ht="15.75" thickBot="1" x14ac:dyDescent="0.3">
      <c r="A2598" s="1">
        <v>2015</v>
      </c>
      <c r="B2598" s="1" t="s">
        <v>35</v>
      </c>
      <c r="C2598" s="1" t="s">
        <v>25</v>
      </c>
      <c r="D2598" s="1" t="s">
        <v>29</v>
      </c>
      <c r="E2598" s="1">
        <v>-1938.58</v>
      </c>
      <c r="F2598" s="1">
        <v>8.7100000000000009</v>
      </c>
      <c r="G2598" s="1">
        <v>8</v>
      </c>
      <c r="H2598" s="1">
        <v>-242.32249999999999</v>
      </c>
    </row>
    <row r="2599" spans="1:8" ht="15.75" thickBot="1" x14ac:dyDescent="0.3">
      <c r="A2599" s="1">
        <v>2015</v>
      </c>
      <c r="B2599" s="1" t="s">
        <v>30</v>
      </c>
      <c r="C2599" s="1" t="s">
        <v>9</v>
      </c>
      <c r="D2599" s="1" t="s">
        <v>19</v>
      </c>
      <c r="E2599" s="1">
        <v>579832.25</v>
      </c>
      <c r="F2599" s="1">
        <v>24136.2</v>
      </c>
      <c r="G2599" s="1">
        <v>38715</v>
      </c>
      <c r="H2599" s="1">
        <v>14.97694046</v>
      </c>
    </row>
    <row r="2600" spans="1:8" ht="15.75" thickBot="1" x14ac:dyDescent="0.3">
      <c r="A2600" s="1">
        <v>2017</v>
      </c>
      <c r="B2600" s="1" t="s">
        <v>14</v>
      </c>
      <c r="C2600" s="1" t="s">
        <v>23</v>
      </c>
      <c r="D2600" s="1" t="s">
        <v>24</v>
      </c>
      <c r="E2600" s="1">
        <v>11372324.060000001</v>
      </c>
      <c r="F2600" s="1">
        <v>438338.16</v>
      </c>
      <c r="G2600" s="1">
        <v>136894</v>
      </c>
      <c r="H2600" s="1">
        <v>83.073940859999993</v>
      </c>
    </row>
    <row r="2601" spans="1:8" ht="15.75" thickBot="1" x14ac:dyDescent="0.3">
      <c r="A2601" s="1">
        <v>2017</v>
      </c>
      <c r="B2601" s="1" t="s">
        <v>35</v>
      </c>
      <c r="C2601" s="1" t="s">
        <v>9</v>
      </c>
      <c r="D2601" s="1" t="s">
        <v>19</v>
      </c>
      <c r="E2601" s="1">
        <v>0</v>
      </c>
      <c r="F2601" s="1">
        <v>0</v>
      </c>
      <c r="G2601" s="1">
        <v>382</v>
      </c>
      <c r="H2601" s="1">
        <v>0</v>
      </c>
    </row>
    <row r="2602" spans="1:8" ht="15.75" thickBot="1" x14ac:dyDescent="0.3">
      <c r="A2602" s="1">
        <v>2014</v>
      </c>
      <c r="B2602" s="1" t="s">
        <v>14</v>
      </c>
      <c r="C2602" s="1" t="s">
        <v>9</v>
      </c>
      <c r="D2602" s="1" t="s">
        <v>31</v>
      </c>
      <c r="E2602" s="1">
        <v>3670.61</v>
      </c>
      <c r="F2602" s="1">
        <v>120.09</v>
      </c>
      <c r="G2602" s="1">
        <v>282</v>
      </c>
      <c r="H2602" s="1">
        <v>13.01634752</v>
      </c>
    </row>
    <row r="2603" spans="1:8" ht="15.75" thickBot="1" x14ac:dyDescent="0.3">
      <c r="A2603" s="1">
        <v>2015</v>
      </c>
      <c r="B2603" s="1" t="s">
        <v>16</v>
      </c>
      <c r="C2603" s="1" t="s">
        <v>12</v>
      </c>
      <c r="D2603" s="1" t="s">
        <v>27</v>
      </c>
      <c r="E2603" s="1">
        <v>303025774.5</v>
      </c>
      <c r="F2603" s="1">
        <v>12586072.91</v>
      </c>
      <c r="G2603" s="1">
        <v>6079429</v>
      </c>
      <c r="H2603" s="1">
        <v>49.844446650000002</v>
      </c>
    </row>
    <row r="2604" spans="1:8" ht="15.75" thickBot="1" x14ac:dyDescent="0.3">
      <c r="A2604" s="1">
        <v>2016</v>
      </c>
      <c r="B2604" s="1" t="s">
        <v>40</v>
      </c>
      <c r="C2604" s="1" t="s">
        <v>33</v>
      </c>
      <c r="D2604" s="1" t="s">
        <v>19</v>
      </c>
      <c r="E2604" s="1">
        <v>96734.7</v>
      </c>
      <c r="F2604" s="1">
        <v>1374.39</v>
      </c>
      <c r="G2604" s="1">
        <v>670</v>
      </c>
      <c r="H2604" s="1">
        <v>144.3801493</v>
      </c>
    </row>
    <row r="2605" spans="1:8" ht="15.75" thickBot="1" x14ac:dyDescent="0.3">
      <c r="A2605" s="1">
        <v>2016</v>
      </c>
      <c r="B2605" s="1" t="s">
        <v>40</v>
      </c>
      <c r="C2605" s="1" t="s">
        <v>25</v>
      </c>
      <c r="D2605" s="1" t="s">
        <v>32</v>
      </c>
      <c r="E2605" s="1">
        <v>1908.98</v>
      </c>
      <c r="F2605" s="1">
        <v>139.99</v>
      </c>
      <c r="G2605" s="1">
        <v>100</v>
      </c>
      <c r="H2605" s="1">
        <v>19.0898</v>
      </c>
    </row>
    <row r="2606" spans="1:8" ht="15.75" thickBot="1" x14ac:dyDescent="0.3">
      <c r="A2606" s="1">
        <v>2017</v>
      </c>
      <c r="B2606" s="1" t="s">
        <v>30</v>
      </c>
      <c r="C2606" s="1" t="s">
        <v>33</v>
      </c>
      <c r="D2606" s="1" t="s">
        <v>19</v>
      </c>
      <c r="E2606" s="1">
        <v>391514293.5</v>
      </c>
      <c r="F2606" s="1">
        <v>8160141.1299999999</v>
      </c>
      <c r="G2606" s="1">
        <v>2356144</v>
      </c>
      <c r="H2606" s="1">
        <v>166.16738770000001</v>
      </c>
    </row>
    <row r="2607" spans="1:8" ht="15.75" thickBot="1" x14ac:dyDescent="0.3">
      <c r="A2607" s="1">
        <v>2014</v>
      </c>
      <c r="B2607" s="1" t="s">
        <v>14</v>
      </c>
      <c r="C2607" s="1" t="s">
        <v>21</v>
      </c>
      <c r="D2607" s="1" t="s">
        <v>13</v>
      </c>
      <c r="E2607" s="1">
        <v>62610.67</v>
      </c>
      <c r="F2607" s="1">
        <v>2159.58</v>
      </c>
      <c r="G2607" s="1">
        <v>1137</v>
      </c>
      <c r="H2607" s="1">
        <v>55.06655233</v>
      </c>
    </row>
    <row r="2608" spans="1:8" ht="15.75" thickBot="1" x14ac:dyDescent="0.3">
      <c r="A2608" s="1">
        <v>2016</v>
      </c>
      <c r="B2608" s="1" t="s">
        <v>40</v>
      </c>
      <c r="C2608" s="1" t="s">
        <v>23</v>
      </c>
      <c r="D2608" s="1" t="s">
        <v>32</v>
      </c>
      <c r="E2608" s="1">
        <v>-287.20999999999998</v>
      </c>
      <c r="F2608" s="1">
        <v>26.37</v>
      </c>
      <c r="G2608" s="1">
        <v>29</v>
      </c>
      <c r="H2608" s="1">
        <v>-9.9037931029999999</v>
      </c>
    </row>
    <row r="2609" spans="1:8" ht="15.75" thickBot="1" x14ac:dyDescent="0.3">
      <c r="A2609" s="1">
        <v>2017</v>
      </c>
      <c r="B2609" s="1" t="s">
        <v>35</v>
      </c>
      <c r="C2609" s="1" t="s">
        <v>25</v>
      </c>
      <c r="D2609" s="1" t="s">
        <v>10</v>
      </c>
      <c r="E2609" s="1">
        <v>-87.74</v>
      </c>
      <c r="F2609" s="1">
        <v>93.46</v>
      </c>
      <c r="G2609" s="1">
        <v>278</v>
      </c>
      <c r="H2609" s="1">
        <v>-0.31561151079999999</v>
      </c>
    </row>
    <row r="2610" spans="1:8" ht="15.75" thickBot="1" x14ac:dyDescent="0.3">
      <c r="A2610" s="1">
        <v>2014</v>
      </c>
      <c r="B2610" s="1" t="s">
        <v>20</v>
      </c>
      <c r="C2610" s="1" t="s">
        <v>18</v>
      </c>
      <c r="D2610" s="1" t="s">
        <v>31</v>
      </c>
      <c r="E2610" s="1">
        <v>4843.34</v>
      </c>
      <c r="F2610" s="1">
        <v>195.28</v>
      </c>
      <c r="G2610" s="1">
        <v>180</v>
      </c>
      <c r="H2610" s="1">
        <v>26.907444439999999</v>
      </c>
    </row>
    <row r="2611" spans="1:8" ht="15.75" thickBot="1" x14ac:dyDescent="0.3">
      <c r="A2611" s="1">
        <v>2014</v>
      </c>
      <c r="B2611" s="1" t="s">
        <v>14</v>
      </c>
      <c r="C2611" s="1" t="s">
        <v>28</v>
      </c>
      <c r="D2611" s="1" t="s">
        <v>29</v>
      </c>
      <c r="E2611" s="1">
        <v>19845449.190000001</v>
      </c>
      <c r="F2611" s="1">
        <v>630877.02</v>
      </c>
      <c r="G2611" s="1">
        <v>89302</v>
      </c>
      <c r="H2611" s="1">
        <v>222.22849650000001</v>
      </c>
    </row>
    <row r="2612" spans="1:8" ht="15.75" thickBot="1" x14ac:dyDescent="0.3">
      <c r="A2612" s="1">
        <v>2015</v>
      </c>
      <c r="B2612" s="1" t="s">
        <v>30</v>
      </c>
      <c r="C2612" s="1" t="s">
        <v>18</v>
      </c>
      <c r="D2612" s="1" t="s">
        <v>32</v>
      </c>
      <c r="E2612" s="1">
        <v>5395915.2699999996</v>
      </c>
      <c r="F2612" s="1">
        <v>195740.96</v>
      </c>
      <c r="G2612" s="1">
        <v>97242</v>
      </c>
      <c r="H2612" s="1">
        <v>55.48955462</v>
      </c>
    </row>
    <row r="2613" spans="1:8" ht="15.75" thickBot="1" x14ac:dyDescent="0.3">
      <c r="A2613" s="1">
        <v>2017</v>
      </c>
      <c r="B2613" s="1" t="s">
        <v>12</v>
      </c>
      <c r="C2613" s="1" t="s">
        <v>25</v>
      </c>
      <c r="D2613" s="1" t="s">
        <v>10</v>
      </c>
      <c r="E2613" s="1">
        <v>8992335.75</v>
      </c>
      <c r="F2613" s="1">
        <v>261364.73</v>
      </c>
      <c r="G2613" s="1">
        <v>233632</v>
      </c>
      <c r="H2613" s="1">
        <v>38.48931546</v>
      </c>
    </row>
    <row r="2614" spans="1:8" ht="15.75" thickBot="1" x14ac:dyDescent="0.3">
      <c r="A2614" s="1">
        <v>2017</v>
      </c>
      <c r="B2614" s="1" t="s">
        <v>30</v>
      </c>
      <c r="C2614" s="1" t="s">
        <v>18</v>
      </c>
      <c r="D2614" s="1" t="s">
        <v>32</v>
      </c>
      <c r="E2614" s="1">
        <v>10721944.189999999</v>
      </c>
      <c r="F2614" s="1">
        <v>382704.1</v>
      </c>
      <c r="G2614" s="1">
        <v>182457</v>
      </c>
      <c r="H2614" s="1">
        <v>58.764224939999998</v>
      </c>
    </row>
    <row r="2615" spans="1:8" ht="15.75" thickBot="1" x14ac:dyDescent="0.3">
      <c r="A2615" s="1">
        <v>2017</v>
      </c>
      <c r="B2615" s="1" t="s">
        <v>14</v>
      </c>
      <c r="C2615" s="1" t="s">
        <v>9</v>
      </c>
      <c r="D2615" s="1" t="s">
        <v>19</v>
      </c>
      <c r="E2615" s="1">
        <v>247496.77</v>
      </c>
      <c r="F2615" s="1">
        <v>4115.3100000000004</v>
      </c>
      <c r="G2615" s="1">
        <v>6634</v>
      </c>
      <c r="H2615" s="1">
        <v>37.307321369999997</v>
      </c>
    </row>
    <row r="2616" spans="1:8" ht="15.75" thickBot="1" x14ac:dyDescent="0.3">
      <c r="A2616" s="1">
        <v>2014</v>
      </c>
      <c r="B2616" s="1" t="s">
        <v>35</v>
      </c>
      <c r="C2616" s="1" t="s">
        <v>18</v>
      </c>
      <c r="D2616" s="1" t="s">
        <v>10</v>
      </c>
      <c r="E2616" s="1">
        <v>10</v>
      </c>
      <c r="F2616" s="1">
        <v>0.59</v>
      </c>
      <c r="G2616" s="1">
        <v>17</v>
      </c>
      <c r="H2616" s="1">
        <v>0.58823529409999997</v>
      </c>
    </row>
    <row r="2617" spans="1:8" ht="15.75" thickBot="1" x14ac:dyDescent="0.3">
      <c r="A2617" s="1">
        <v>2015</v>
      </c>
      <c r="B2617" s="1" t="s">
        <v>20</v>
      </c>
      <c r="C2617" s="1" t="s">
        <v>33</v>
      </c>
      <c r="D2617" s="1" t="s">
        <v>22</v>
      </c>
      <c r="E2617" s="1">
        <v>1246.1099999999999</v>
      </c>
      <c r="F2617" s="1">
        <v>35.65</v>
      </c>
      <c r="G2617" s="1">
        <v>96</v>
      </c>
      <c r="H2617" s="1">
        <v>12.9803125</v>
      </c>
    </row>
    <row r="2618" spans="1:8" ht="15.75" thickBot="1" x14ac:dyDescent="0.3">
      <c r="A2618" s="1">
        <v>2016</v>
      </c>
      <c r="B2618" s="1" t="s">
        <v>11</v>
      </c>
      <c r="C2618" s="1" t="s">
        <v>23</v>
      </c>
      <c r="D2618" s="1" t="s">
        <v>29</v>
      </c>
      <c r="E2618" s="1">
        <v>1747652.88</v>
      </c>
      <c r="F2618" s="1">
        <v>48846.1</v>
      </c>
      <c r="G2618" s="1">
        <v>4270</v>
      </c>
      <c r="H2618" s="1">
        <v>409.2863888</v>
      </c>
    </row>
    <row r="2619" spans="1:8" ht="15.75" thickBot="1" x14ac:dyDescent="0.3">
      <c r="A2619" s="1">
        <v>2016</v>
      </c>
      <c r="B2619" s="1" t="s">
        <v>14</v>
      </c>
      <c r="C2619" s="1" t="s">
        <v>33</v>
      </c>
      <c r="D2619" s="1" t="s">
        <v>13</v>
      </c>
      <c r="E2619" s="1">
        <v>1347521.58</v>
      </c>
      <c r="F2619" s="1">
        <v>47070.91</v>
      </c>
      <c r="G2619" s="1">
        <v>42813</v>
      </c>
      <c r="H2619" s="1">
        <v>31.474589030000001</v>
      </c>
    </row>
    <row r="2620" spans="1:8" ht="15.75" thickBot="1" x14ac:dyDescent="0.3">
      <c r="A2620" s="1">
        <v>2016</v>
      </c>
      <c r="B2620" s="1" t="s">
        <v>8</v>
      </c>
      <c r="C2620" s="1" t="s">
        <v>9</v>
      </c>
      <c r="D2620" s="1" t="s">
        <v>32</v>
      </c>
      <c r="E2620" s="1">
        <v>441.96</v>
      </c>
      <c r="F2620" s="1">
        <v>18.53</v>
      </c>
      <c r="G2620" s="1">
        <v>11</v>
      </c>
      <c r="H2620" s="1">
        <v>40.178181819999999</v>
      </c>
    </row>
    <row r="2621" spans="1:8" ht="15.75" thickBot="1" x14ac:dyDescent="0.3">
      <c r="A2621" s="1">
        <v>2014</v>
      </c>
      <c r="B2621" s="1" t="s">
        <v>17</v>
      </c>
      <c r="C2621" s="1" t="s">
        <v>33</v>
      </c>
      <c r="D2621" s="1" t="s">
        <v>19</v>
      </c>
      <c r="E2621" s="1">
        <v>30915677.010000002</v>
      </c>
      <c r="F2621" s="1">
        <v>1039876.07</v>
      </c>
      <c r="G2621" s="1">
        <v>179759</v>
      </c>
      <c r="H2621" s="1">
        <v>171.98402870000001</v>
      </c>
    </row>
    <row r="2622" spans="1:8" ht="15.75" thickBot="1" x14ac:dyDescent="0.3">
      <c r="A2622" s="1">
        <v>2015</v>
      </c>
      <c r="B2622" s="1" t="s">
        <v>8</v>
      </c>
      <c r="C2622" s="1" t="s">
        <v>26</v>
      </c>
      <c r="D2622" s="1" t="s">
        <v>24</v>
      </c>
      <c r="E2622" s="1">
        <v>9700</v>
      </c>
      <c r="F2622" s="1">
        <v>281.60000000000002</v>
      </c>
      <c r="G2622" s="1">
        <v>1</v>
      </c>
      <c r="H2622" s="1">
        <v>9700</v>
      </c>
    </row>
    <row r="2623" spans="1:8" ht="15.75" thickBot="1" x14ac:dyDescent="0.3">
      <c r="A2623" s="1">
        <v>2014</v>
      </c>
      <c r="B2623" s="1" t="s">
        <v>20</v>
      </c>
      <c r="C2623" s="1" t="s">
        <v>33</v>
      </c>
      <c r="D2623" s="1" t="s">
        <v>27</v>
      </c>
      <c r="E2623" s="1">
        <v>9288331.6999999993</v>
      </c>
      <c r="F2623" s="1">
        <v>350881.78</v>
      </c>
      <c r="G2623" s="1">
        <v>222007</v>
      </c>
      <c r="H2623" s="1">
        <v>41.838012769999999</v>
      </c>
    </row>
    <row r="2624" spans="1:8" ht="15.75" thickBot="1" x14ac:dyDescent="0.3">
      <c r="A2624" s="1">
        <v>2017</v>
      </c>
      <c r="B2624" s="1" t="s">
        <v>14</v>
      </c>
      <c r="C2624" s="1" t="s">
        <v>18</v>
      </c>
      <c r="D2624" s="1" t="s">
        <v>22</v>
      </c>
      <c r="E2624" s="1">
        <v>593.20000000000005</v>
      </c>
      <c r="F2624" s="1">
        <v>17.7</v>
      </c>
      <c r="G2624" s="1">
        <v>36</v>
      </c>
      <c r="H2624" s="1">
        <v>16.47777778</v>
      </c>
    </row>
    <row r="2625" spans="1:8" ht="15.75" thickBot="1" x14ac:dyDescent="0.3">
      <c r="A2625" s="1">
        <v>2016</v>
      </c>
      <c r="B2625" s="1" t="s">
        <v>12</v>
      </c>
      <c r="C2625" s="1" t="s">
        <v>21</v>
      </c>
      <c r="D2625" s="1" t="s">
        <v>13</v>
      </c>
      <c r="E2625" s="1">
        <v>142242.10999999999</v>
      </c>
      <c r="F2625" s="1">
        <v>5157.47</v>
      </c>
      <c r="G2625" s="1">
        <v>4446</v>
      </c>
      <c r="H2625" s="1">
        <v>31.9932771</v>
      </c>
    </row>
    <row r="2626" spans="1:8" ht="15.75" thickBot="1" x14ac:dyDescent="0.3">
      <c r="A2626" s="1">
        <v>2017</v>
      </c>
      <c r="B2626" s="1" t="s">
        <v>20</v>
      </c>
      <c r="C2626" s="1" t="s">
        <v>15</v>
      </c>
      <c r="D2626" s="1" t="s">
        <v>19</v>
      </c>
      <c r="E2626" s="1">
        <v>3839007.01</v>
      </c>
      <c r="F2626" s="1">
        <v>102004.07</v>
      </c>
      <c r="G2626" s="1">
        <v>43843</v>
      </c>
      <c r="H2626" s="1">
        <v>87.562598589999993</v>
      </c>
    </row>
    <row r="2627" spans="1:8" ht="15.75" thickBot="1" x14ac:dyDescent="0.3">
      <c r="A2627" s="1">
        <v>2014</v>
      </c>
      <c r="B2627" s="1" t="s">
        <v>20</v>
      </c>
      <c r="C2627" s="1" t="s">
        <v>26</v>
      </c>
      <c r="D2627" s="1" t="s">
        <v>10</v>
      </c>
      <c r="E2627" s="1">
        <v>78806.009999999995</v>
      </c>
      <c r="F2627" s="1">
        <v>3099.63</v>
      </c>
      <c r="G2627" s="1">
        <v>2278</v>
      </c>
      <c r="H2627" s="1">
        <v>34.594385430000003</v>
      </c>
    </row>
    <row r="2628" spans="1:8" ht="15.75" thickBot="1" x14ac:dyDescent="0.3">
      <c r="A2628" s="1">
        <v>2015</v>
      </c>
      <c r="B2628" s="1" t="s">
        <v>17</v>
      </c>
      <c r="C2628" s="1" t="s">
        <v>33</v>
      </c>
      <c r="D2628" s="1" t="s">
        <v>32</v>
      </c>
      <c r="E2628" s="1">
        <v>186084799.80000001</v>
      </c>
      <c r="F2628" s="1">
        <v>6734529.75</v>
      </c>
      <c r="G2628" s="1">
        <v>3353513</v>
      </c>
      <c r="H2628" s="1">
        <v>55.489511989999997</v>
      </c>
    </row>
    <row r="2629" spans="1:8" ht="15.75" thickBot="1" x14ac:dyDescent="0.3">
      <c r="A2629" s="1">
        <v>2017</v>
      </c>
      <c r="B2629" s="1" t="s">
        <v>30</v>
      </c>
      <c r="C2629" s="1" t="s">
        <v>28</v>
      </c>
      <c r="D2629" s="1" t="s">
        <v>27</v>
      </c>
      <c r="E2629" s="1">
        <v>695576515.70000005</v>
      </c>
      <c r="F2629" s="1">
        <v>23474170.77</v>
      </c>
      <c r="G2629" s="1">
        <v>8414691</v>
      </c>
      <c r="H2629" s="1">
        <v>82.66215785</v>
      </c>
    </row>
    <row r="2630" spans="1:8" ht="15.75" thickBot="1" x14ac:dyDescent="0.3">
      <c r="A2630" s="1">
        <v>2017</v>
      </c>
      <c r="B2630" s="1" t="s">
        <v>20</v>
      </c>
      <c r="C2630" s="1" t="s">
        <v>26</v>
      </c>
      <c r="D2630" s="1" t="s">
        <v>24</v>
      </c>
      <c r="E2630" s="1">
        <v>757890.37</v>
      </c>
      <c r="F2630" s="1">
        <v>27779.4</v>
      </c>
      <c r="G2630" s="1">
        <v>9932</v>
      </c>
      <c r="H2630" s="1">
        <v>76.307930929999998</v>
      </c>
    </row>
    <row r="2631" spans="1:8" ht="15.75" thickBot="1" x14ac:dyDescent="0.3">
      <c r="A2631" s="1">
        <v>2016</v>
      </c>
      <c r="B2631" s="1" t="s">
        <v>17</v>
      </c>
      <c r="C2631" s="1" t="s">
        <v>26</v>
      </c>
      <c r="D2631" s="1" t="s">
        <v>32</v>
      </c>
      <c r="E2631" s="1">
        <v>103261109.2</v>
      </c>
      <c r="F2631" s="1">
        <v>3865963.34</v>
      </c>
      <c r="G2631" s="1">
        <v>2140187</v>
      </c>
      <c r="H2631" s="1">
        <v>48.248638620000001</v>
      </c>
    </row>
    <row r="2632" spans="1:8" ht="15.75" thickBot="1" x14ac:dyDescent="0.3">
      <c r="A2632" s="1">
        <v>2017</v>
      </c>
      <c r="B2632" s="1" t="s">
        <v>20</v>
      </c>
      <c r="C2632" s="1" t="s">
        <v>33</v>
      </c>
      <c r="D2632" s="1" t="s">
        <v>32</v>
      </c>
      <c r="E2632" s="1">
        <v>9781054.3599999994</v>
      </c>
      <c r="F2632" s="1">
        <v>377407.22</v>
      </c>
      <c r="G2632" s="1">
        <v>301797</v>
      </c>
      <c r="H2632" s="1">
        <v>32.40938233</v>
      </c>
    </row>
    <row r="2633" spans="1:8" ht="15.75" thickBot="1" x14ac:dyDescent="0.3">
      <c r="A2633" s="1">
        <v>2015</v>
      </c>
      <c r="B2633" s="1" t="s">
        <v>35</v>
      </c>
      <c r="C2633" s="1" t="s">
        <v>15</v>
      </c>
      <c r="D2633" s="1" t="s">
        <v>24</v>
      </c>
      <c r="E2633" s="1">
        <v>3887.34</v>
      </c>
      <c r="F2633" s="1">
        <v>189.66</v>
      </c>
      <c r="G2633" s="1">
        <v>54</v>
      </c>
      <c r="H2633" s="1">
        <v>71.987777780000002</v>
      </c>
    </row>
    <row r="2634" spans="1:8" ht="15.75" thickBot="1" x14ac:dyDescent="0.3">
      <c r="A2634" s="1">
        <v>2014</v>
      </c>
      <c r="B2634" s="1" t="s">
        <v>12</v>
      </c>
      <c r="C2634" s="1" t="s">
        <v>21</v>
      </c>
      <c r="D2634" s="1" t="s">
        <v>27</v>
      </c>
      <c r="E2634" s="1">
        <v>26157825.739999998</v>
      </c>
      <c r="F2634" s="1">
        <v>1004210.57</v>
      </c>
      <c r="G2634" s="1">
        <v>534099</v>
      </c>
      <c r="H2634" s="1">
        <v>48.975612650000002</v>
      </c>
    </row>
    <row r="2635" spans="1:8" ht="15.75" thickBot="1" x14ac:dyDescent="0.3">
      <c r="A2635" s="1">
        <v>2017</v>
      </c>
      <c r="B2635" s="1" t="s">
        <v>30</v>
      </c>
      <c r="C2635" s="1" t="s">
        <v>28</v>
      </c>
      <c r="D2635" s="1" t="s">
        <v>13</v>
      </c>
      <c r="E2635" s="1">
        <v>20737662.300000001</v>
      </c>
      <c r="F2635" s="1">
        <v>323237.07</v>
      </c>
      <c r="G2635" s="1">
        <v>197025</v>
      </c>
      <c r="H2635" s="1">
        <v>105.2539642</v>
      </c>
    </row>
    <row r="2636" spans="1:8" ht="15.75" thickBot="1" x14ac:dyDescent="0.3">
      <c r="A2636" s="1">
        <v>2015</v>
      </c>
      <c r="B2636" s="1" t="s">
        <v>14</v>
      </c>
      <c r="C2636" s="1" t="s">
        <v>12</v>
      </c>
      <c r="D2636" s="1" t="s">
        <v>22</v>
      </c>
      <c r="E2636" s="1">
        <v>8846.57</v>
      </c>
      <c r="F2636" s="1">
        <v>232.44</v>
      </c>
      <c r="G2636" s="1">
        <v>432</v>
      </c>
      <c r="H2636" s="1">
        <v>20.4781713</v>
      </c>
    </row>
    <row r="2637" spans="1:8" ht="15.75" thickBot="1" x14ac:dyDescent="0.3">
      <c r="A2637" s="1">
        <v>2014</v>
      </c>
      <c r="B2637" s="1" t="s">
        <v>8</v>
      </c>
      <c r="C2637" s="1" t="s">
        <v>33</v>
      </c>
      <c r="D2637" s="1" t="s">
        <v>19</v>
      </c>
      <c r="E2637" s="1">
        <v>12268.08</v>
      </c>
      <c r="F2637" s="1">
        <v>230.55</v>
      </c>
      <c r="G2637" s="1">
        <v>87</v>
      </c>
      <c r="H2637" s="1">
        <v>141.01241379999999</v>
      </c>
    </row>
    <row r="2638" spans="1:8" ht="15.75" thickBot="1" x14ac:dyDescent="0.3">
      <c r="A2638" s="1">
        <v>2017</v>
      </c>
      <c r="B2638" s="1" t="s">
        <v>35</v>
      </c>
      <c r="C2638" s="1" t="s">
        <v>9</v>
      </c>
      <c r="D2638" s="1" t="s">
        <v>10</v>
      </c>
      <c r="E2638" s="1">
        <v>207.34</v>
      </c>
      <c r="F2638" s="1">
        <v>71.84</v>
      </c>
      <c r="G2638" s="1">
        <v>333</v>
      </c>
      <c r="H2638" s="1">
        <v>0.62264264260000002</v>
      </c>
    </row>
    <row r="2639" spans="1:8" ht="15.75" thickBot="1" x14ac:dyDescent="0.3">
      <c r="A2639" s="1">
        <v>2015</v>
      </c>
      <c r="B2639" s="1" t="s">
        <v>12</v>
      </c>
      <c r="C2639" s="1" t="s">
        <v>25</v>
      </c>
      <c r="D2639" s="1" t="s">
        <v>22</v>
      </c>
      <c r="E2639" s="1">
        <v>1277.1500000000001</v>
      </c>
      <c r="F2639" s="1">
        <v>31.6</v>
      </c>
      <c r="G2639" s="1">
        <v>104</v>
      </c>
      <c r="H2639" s="1">
        <v>12.28028846</v>
      </c>
    </row>
    <row r="2640" spans="1:8" ht="15.75" thickBot="1" x14ac:dyDescent="0.3">
      <c r="A2640" s="1">
        <v>2016</v>
      </c>
      <c r="B2640" s="1" t="s">
        <v>16</v>
      </c>
      <c r="C2640" s="1" t="s">
        <v>12</v>
      </c>
      <c r="D2640" s="1" t="s">
        <v>24</v>
      </c>
      <c r="E2640" s="1">
        <v>21792522.239999998</v>
      </c>
      <c r="F2640" s="1">
        <v>755602.37</v>
      </c>
      <c r="G2640" s="1">
        <v>92462</v>
      </c>
      <c r="H2640" s="1">
        <v>235.6916597</v>
      </c>
    </row>
    <row r="2641" spans="1:8" ht="15.75" thickBot="1" x14ac:dyDescent="0.3">
      <c r="A2641" s="1">
        <v>2015</v>
      </c>
      <c r="B2641" s="1" t="s">
        <v>11</v>
      </c>
      <c r="C2641" s="1" t="s">
        <v>12</v>
      </c>
      <c r="D2641" s="1" t="s">
        <v>31</v>
      </c>
      <c r="E2641" s="1">
        <v>13236472.76</v>
      </c>
      <c r="F2641" s="1">
        <v>408735.7</v>
      </c>
      <c r="G2641" s="1">
        <v>294319</v>
      </c>
      <c r="H2641" s="1">
        <v>44.973218719999998</v>
      </c>
    </row>
    <row r="2642" spans="1:8" ht="15.75" thickBot="1" x14ac:dyDescent="0.3">
      <c r="A2642" s="1">
        <v>2014</v>
      </c>
      <c r="B2642" s="1" t="s">
        <v>12</v>
      </c>
      <c r="C2642" s="1" t="s">
        <v>9</v>
      </c>
      <c r="D2642" s="1" t="s">
        <v>31</v>
      </c>
      <c r="E2642" s="1">
        <v>90382328.409999996</v>
      </c>
      <c r="F2642" s="1">
        <v>2362147.33</v>
      </c>
      <c r="G2642" s="1">
        <v>781373</v>
      </c>
      <c r="H2642" s="1">
        <v>115.6711691</v>
      </c>
    </row>
    <row r="2643" spans="1:8" ht="15.75" thickBot="1" x14ac:dyDescent="0.3">
      <c r="A2643" s="1">
        <v>2014</v>
      </c>
      <c r="B2643" s="1" t="s">
        <v>16</v>
      </c>
      <c r="C2643" s="1" t="s">
        <v>9</v>
      </c>
      <c r="D2643" s="1" t="s">
        <v>19</v>
      </c>
      <c r="E2643" s="1">
        <v>559.38</v>
      </c>
      <c r="F2643" s="1">
        <v>19.89</v>
      </c>
      <c r="G2643" s="1">
        <v>2725</v>
      </c>
      <c r="H2643" s="1">
        <v>0.2052770642</v>
      </c>
    </row>
    <row r="2644" spans="1:8" ht="15.75" thickBot="1" x14ac:dyDescent="0.3">
      <c r="A2644" s="1">
        <v>2017</v>
      </c>
      <c r="B2644" s="1" t="s">
        <v>35</v>
      </c>
      <c r="C2644" s="1" t="s">
        <v>28</v>
      </c>
      <c r="D2644" s="1" t="s">
        <v>32</v>
      </c>
      <c r="E2644" s="1">
        <v>28130.77</v>
      </c>
      <c r="F2644" s="1">
        <v>607.28</v>
      </c>
      <c r="G2644" s="1">
        <v>1585</v>
      </c>
      <c r="H2644" s="1">
        <v>17.74811987</v>
      </c>
    </row>
    <row r="2645" spans="1:8" ht="15.75" thickBot="1" x14ac:dyDescent="0.3">
      <c r="A2645" s="1">
        <v>2015</v>
      </c>
      <c r="B2645" s="1" t="s">
        <v>35</v>
      </c>
      <c r="C2645" s="1" t="s">
        <v>21</v>
      </c>
      <c r="D2645" s="1" t="s">
        <v>22</v>
      </c>
      <c r="E2645" s="1">
        <v>0</v>
      </c>
      <c r="F2645" s="1">
        <v>0</v>
      </c>
      <c r="G2645" s="1">
        <v>101</v>
      </c>
      <c r="H2645" s="1">
        <v>0</v>
      </c>
    </row>
    <row r="2646" spans="1:8" ht="15.75" thickBot="1" x14ac:dyDescent="0.3">
      <c r="A2646" s="1">
        <v>2017</v>
      </c>
      <c r="B2646" s="1" t="s">
        <v>17</v>
      </c>
      <c r="C2646" s="1" t="s">
        <v>26</v>
      </c>
      <c r="D2646" s="1" t="s">
        <v>13</v>
      </c>
      <c r="E2646" s="1">
        <v>11544703.41</v>
      </c>
      <c r="F2646" s="1">
        <v>391519.69</v>
      </c>
      <c r="G2646" s="1">
        <v>279539</v>
      </c>
      <c r="H2646" s="1">
        <v>41.299079589999998</v>
      </c>
    </row>
    <row r="2647" spans="1:8" ht="15.75" thickBot="1" x14ac:dyDescent="0.3">
      <c r="A2647" s="1">
        <v>2015</v>
      </c>
      <c r="B2647" s="1" t="s">
        <v>11</v>
      </c>
      <c r="C2647" s="1" t="s">
        <v>18</v>
      </c>
      <c r="D2647" s="1" t="s">
        <v>31</v>
      </c>
      <c r="E2647" s="1">
        <v>3079919.16</v>
      </c>
      <c r="F2647" s="1">
        <v>82990.820000000007</v>
      </c>
      <c r="G2647" s="1">
        <v>47688</v>
      </c>
      <c r="H2647" s="1">
        <v>64.584783590000001</v>
      </c>
    </row>
    <row r="2648" spans="1:8" ht="15.75" thickBot="1" x14ac:dyDescent="0.3">
      <c r="A2648" s="1">
        <v>2016</v>
      </c>
      <c r="B2648" s="1" t="s">
        <v>12</v>
      </c>
      <c r="C2648" s="1" t="s">
        <v>23</v>
      </c>
      <c r="D2648" s="1" t="s">
        <v>29</v>
      </c>
      <c r="E2648" s="1">
        <v>539746.74</v>
      </c>
      <c r="F2648" s="1">
        <v>17662.05</v>
      </c>
      <c r="G2648" s="1">
        <v>2649</v>
      </c>
      <c r="H2648" s="1">
        <v>203.7549037</v>
      </c>
    </row>
    <row r="2649" spans="1:8" ht="15.75" thickBot="1" x14ac:dyDescent="0.3">
      <c r="A2649" s="1">
        <v>2015</v>
      </c>
      <c r="B2649" s="1" t="s">
        <v>35</v>
      </c>
      <c r="C2649" s="1" t="s">
        <v>21</v>
      </c>
      <c r="D2649" s="1" t="s">
        <v>24</v>
      </c>
      <c r="E2649" s="1">
        <v>5455.8</v>
      </c>
      <c r="F2649" s="1">
        <v>151.59</v>
      </c>
      <c r="G2649" s="1">
        <v>47</v>
      </c>
      <c r="H2649" s="1">
        <v>116.0808511</v>
      </c>
    </row>
    <row r="2650" spans="1:8" ht="15.75" thickBot="1" x14ac:dyDescent="0.3">
      <c r="A2650" s="1">
        <v>2017</v>
      </c>
      <c r="B2650" s="1" t="s">
        <v>12</v>
      </c>
      <c r="C2650" s="1" t="s">
        <v>28</v>
      </c>
      <c r="D2650" s="1" t="s">
        <v>13</v>
      </c>
      <c r="E2650" s="1">
        <v>553417.30000000005</v>
      </c>
      <c r="F2650" s="1">
        <v>10262.969999999999</v>
      </c>
      <c r="G2650" s="1">
        <v>5173</v>
      </c>
      <c r="H2650" s="1">
        <v>106.9818867</v>
      </c>
    </row>
    <row r="2651" spans="1:8" ht="15.75" thickBot="1" x14ac:dyDescent="0.3">
      <c r="A2651" s="1">
        <v>2014</v>
      </c>
      <c r="B2651" s="1" t="s">
        <v>40</v>
      </c>
      <c r="C2651" s="1" t="s">
        <v>33</v>
      </c>
      <c r="D2651" s="1" t="s">
        <v>32</v>
      </c>
      <c r="E2651" s="1">
        <v>1791.82</v>
      </c>
      <c r="F2651" s="1">
        <v>175.89</v>
      </c>
      <c r="G2651" s="1">
        <v>115</v>
      </c>
      <c r="H2651" s="1">
        <v>15.58104348</v>
      </c>
    </row>
    <row r="2652" spans="1:8" ht="15.75" thickBot="1" x14ac:dyDescent="0.3">
      <c r="A2652" s="1">
        <v>2017</v>
      </c>
      <c r="B2652" s="1" t="s">
        <v>12</v>
      </c>
      <c r="C2652" s="1" t="s">
        <v>26</v>
      </c>
      <c r="D2652" s="1" t="s">
        <v>13</v>
      </c>
      <c r="E2652" s="1">
        <v>438906.39</v>
      </c>
      <c r="F2652" s="1">
        <v>16358.66</v>
      </c>
      <c r="G2652" s="1">
        <v>14719</v>
      </c>
      <c r="H2652" s="1">
        <v>29.819035939999999</v>
      </c>
    </row>
    <row r="2653" spans="1:8" ht="15.75" thickBot="1" x14ac:dyDescent="0.3">
      <c r="A2653" s="1">
        <v>2014</v>
      </c>
      <c r="B2653" s="1" t="s">
        <v>20</v>
      </c>
      <c r="C2653" s="1" t="s">
        <v>9</v>
      </c>
      <c r="D2653" s="1" t="s">
        <v>10</v>
      </c>
      <c r="E2653" s="1">
        <v>614112.61</v>
      </c>
      <c r="F2653" s="1">
        <v>22203.39</v>
      </c>
      <c r="G2653" s="1">
        <v>13993</v>
      </c>
      <c r="H2653" s="1">
        <v>43.887129989999998</v>
      </c>
    </row>
    <row r="2654" spans="1:8" ht="15.75" thickBot="1" x14ac:dyDescent="0.3">
      <c r="A2654" s="1">
        <v>2014</v>
      </c>
      <c r="B2654" s="1" t="s">
        <v>16</v>
      </c>
      <c r="C2654" s="1" t="s">
        <v>18</v>
      </c>
      <c r="D2654" s="1" t="s">
        <v>31</v>
      </c>
      <c r="E2654" s="1">
        <v>338739.89</v>
      </c>
      <c r="F2654" s="1">
        <v>12673.21</v>
      </c>
      <c r="G2654" s="1">
        <v>6473</v>
      </c>
      <c r="H2654" s="1">
        <v>52.331205009999998</v>
      </c>
    </row>
    <row r="2655" spans="1:8" ht="15.75" thickBot="1" x14ac:dyDescent="0.3">
      <c r="A2655" s="1">
        <v>2016</v>
      </c>
      <c r="B2655" s="1" t="s">
        <v>30</v>
      </c>
      <c r="C2655" s="1" t="s">
        <v>12</v>
      </c>
      <c r="D2655" s="1" t="s">
        <v>27</v>
      </c>
      <c r="E2655" s="1">
        <v>245275534.90000001</v>
      </c>
      <c r="F2655" s="1">
        <v>9094665.3499999996</v>
      </c>
      <c r="G2655" s="1">
        <v>4335586</v>
      </c>
      <c r="H2655" s="1">
        <v>56.572637440000001</v>
      </c>
    </row>
    <row r="2656" spans="1:8" ht="15.75" thickBot="1" x14ac:dyDescent="0.3">
      <c r="A2656" s="1">
        <v>2014</v>
      </c>
      <c r="B2656" s="1" t="s">
        <v>16</v>
      </c>
      <c r="C2656" s="1" t="s">
        <v>26</v>
      </c>
      <c r="D2656" s="1" t="s">
        <v>27</v>
      </c>
      <c r="E2656" s="1">
        <v>582770113</v>
      </c>
      <c r="F2656" s="1">
        <v>23206163.969999999</v>
      </c>
      <c r="G2656" s="1">
        <v>12425213</v>
      </c>
      <c r="H2656" s="1">
        <v>46.902223159999998</v>
      </c>
    </row>
    <row r="2657" spans="1:8" ht="15.75" thickBot="1" x14ac:dyDescent="0.3">
      <c r="A2657" s="1">
        <v>2015</v>
      </c>
      <c r="B2657" s="1" t="s">
        <v>12</v>
      </c>
      <c r="C2657" s="1" t="s">
        <v>23</v>
      </c>
      <c r="D2657" s="1" t="s">
        <v>22</v>
      </c>
      <c r="E2657" s="1">
        <v>288.64999999999998</v>
      </c>
      <c r="F2657" s="1">
        <v>7.76</v>
      </c>
      <c r="G2657" s="1">
        <v>28</v>
      </c>
      <c r="H2657" s="1">
        <v>10.308928570000001</v>
      </c>
    </row>
    <row r="2658" spans="1:8" ht="15.75" thickBot="1" x14ac:dyDescent="0.3">
      <c r="A2658" s="1">
        <v>2016</v>
      </c>
      <c r="B2658" s="1" t="s">
        <v>8</v>
      </c>
      <c r="C2658" s="1" t="s">
        <v>25</v>
      </c>
      <c r="D2658" s="1" t="s">
        <v>24</v>
      </c>
      <c r="E2658" s="1">
        <v>540</v>
      </c>
      <c r="F2658" s="1">
        <v>16.260000000000002</v>
      </c>
      <c r="G2658" s="1">
        <v>2</v>
      </c>
      <c r="H2658" s="1">
        <v>270</v>
      </c>
    </row>
    <row r="2659" spans="1:8" ht="15.75" thickBot="1" x14ac:dyDescent="0.3">
      <c r="A2659" s="1">
        <v>2014</v>
      </c>
      <c r="B2659" s="1" t="s">
        <v>16</v>
      </c>
      <c r="C2659" s="1" t="s">
        <v>9</v>
      </c>
      <c r="D2659" s="1" t="s">
        <v>10</v>
      </c>
      <c r="E2659" s="1">
        <v>5358400.1100000003</v>
      </c>
      <c r="F2659" s="1">
        <v>184314.2</v>
      </c>
      <c r="G2659" s="1">
        <v>77559</v>
      </c>
      <c r="H2659" s="1">
        <v>69.088050519999996</v>
      </c>
    </row>
    <row r="2660" spans="1:8" ht="15.75" thickBot="1" x14ac:dyDescent="0.3">
      <c r="A2660" s="1">
        <v>2014</v>
      </c>
      <c r="B2660" s="1" t="s">
        <v>20</v>
      </c>
      <c r="C2660" s="1" t="s">
        <v>18</v>
      </c>
      <c r="D2660" s="1" t="s">
        <v>29</v>
      </c>
      <c r="E2660" s="1">
        <v>336232.92</v>
      </c>
      <c r="F2660" s="1">
        <v>11026.29</v>
      </c>
      <c r="G2660" s="1">
        <v>2778</v>
      </c>
      <c r="H2660" s="1">
        <v>121.03416850000001</v>
      </c>
    </row>
    <row r="2661" spans="1:8" ht="15.75" thickBot="1" x14ac:dyDescent="0.3">
      <c r="A2661" s="1">
        <v>2014</v>
      </c>
      <c r="B2661" s="1" t="s">
        <v>11</v>
      </c>
      <c r="C2661" s="1" t="s">
        <v>28</v>
      </c>
      <c r="D2661" s="1" t="s">
        <v>22</v>
      </c>
      <c r="E2661" s="1">
        <v>40578621.979999997</v>
      </c>
      <c r="F2661" s="1">
        <v>1176472.9099999999</v>
      </c>
      <c r="G2661" s="1">
        <v>1703302</v>
      </c>
      <c r="H2661" s="1">
        <v>23.823503980000002</v>
      </c>
    </row>
    <row r="2662" spans="1:8" ht="15.75" thickBot="1" x14ac:dyDescent="0.3">
      <c r="A2662" s="1">
        <v>2016</v>
      </c>
      <c r="B2662" s="1" t="s">
        <v>17</v>
      </c>
      <c r="C2662" s="1" t="s">
        <v>12</v>
      </c>
      <c r="D2662" s="1" t="s">
        <v>22</v>
      </c>
      <c r="E2662" s="1">
        <v>142161.45000000001</v>
      </c>
      <c r="F2662" s="1">
        <v>5085.72</v>
      </c>
      <c r="G2662" s="1">
        <v>10242</v>
      </c>
      <c r="H2662" s="1">
        <v>13.880243119999999</v>
      </c>
    </row>
    <row r="2663" spans="1:8" ht="15.75" thickBot="1" x14ac:dyDescent="0.3">
      <c r="A2663" s="1">
        <v>2014</v>
      </c>
      <c r="B2663" s="1" t="s">
        <v>35</v>
      </c>
      <c r="C2663" s="1" t="s">
        <v>25</v>
      </c>
      <c r="D2663" s="1" t="s">
        <v>10</v>
      </c>
      <c r="E2663" s="1">
        <v>0</v>
      </c>
      <c r="F2663" s="1">
        <v>0</v>
      </c>
      <c r="G2663" s="1">
        <v>32</v>
      </c>
      <c r="H2663" s="1">
        <v>0</v>
      </c>
    </row>
    <row r="2664" spans="1:8" ht="15.75" thickBot="1" x14ac:dyDescent="0.3">
      <c r="A2664" s="1">
        <v>2017</v>
      </c>
      <c r="B2664" s="1" t="s">
        <v>17</v>
      </c>
      <c r="C2664" s="1" t="s">
        <v>33</v>
      </c>
      <c r="D2664" s="1" t="s">
        <v>19</v>
      </c>
      <c r="E2664" s="1">
        <v>36607894.119999997</v>
      </c>
      <c r="F2664" s="1">
        <v>1257223.74</v>
      </c>
      <c r="G2664" s="1">
        <v>170130</v>
      </c>
      <c r="H2664" s="1">
        <v>215.17600730000001</v>
      </c>
    </row>
    <row r="2665" spans="1:8" ht="15.75" thickBot="1" x14ac:dyDescent="0.3">
      <c r="A2665" s="1">
        <v>2015</v>
      </c>
      <c r="B2665" s="1" t="s">
        <v>16</v>
      </c>
      <c r="C2665" s="1" t="s">
        <v>21</v>
      </c>
      <c r="D2665" s="1" t="s">
        <v>13</v>
      </c>
      <c r="E2665" s="1">
        <v>540672.14</v>
      </c>
      <c r="F2665" s="1">
        <v>19206.77</v>
      </c>
      <c r="G2665" s="1">
        <v>10986</v>
      </c>
      <c r="H2665" s="1">
        <v>49.214649549999997</v>
      </c>
    </row>
    <row r="2666" spans="1:8" ht="15.75" thickBot="1" x14ac:dyDescent="0.3">
      <c r="A2666" s="1">
        <v>2017</v>
      </c>
      <c r="B2666" s="1" t="s">
        <v>35</v>
      </c>
      <c r="C2666" s="1" t="s">
        <v>21</v>
      </c>
      <c r="D2666" s="1" t="s">
        <v>19</v>
      </c>
      <c r="E2666" s="1">
        <v>14839.53</v>
      </c>
      <c r="F2666" s="1">
        <v>431.79</v>
      </c>
      <c r="G2666" s="1">
        <v>637</v>
      </c>
      <c r="H2666" s="1">
        <v>23.295965460000001</v>
      </c>
    </row>
    <row r="2667" spans="1:8" ht="15.75" thickBot="1" x14ac:dyDescent="0.3">
      <c r="A2667" s="1">
        <v>2016</v>
      </c>
      <c r="B2667" s="1" t="s">
        <v>35</v>
      </c>
      <c r="C2667" s="1" t="s">
        <v>9</v>
      </c>
      <c r="D2667" s="1" t="s">
        <v>19</v>
      </c>
      <c r="E2667" s="1">
        <v>0</v>
      </c>
      <c r="F2667" s="1">
        <v>0</v>
      </c>
      <c r="G2667" s="1">
        <v>257</v>
      </c>
      <c r="H2667" s="1">
        <v>0</v>
      </c>
    </row>
    <row r="2668" spans="1:8" ht="15.75" thickBot="1" x14ac:dyDescent="0.3">
      <c r="A2668" s="1">
        <v>2017</v>
      </c>
      <c r="B2668" s="1" t="s">
        <v>12</v>
      </c>
      <c r="C2668" s="1" t="s">
        <v>9</v>
      </c>
      <c r="D2668" s="1" t="s">
        <v>24</v>
      </c>
      <c r="E2668" s="1">
        <v>6484031.8099999996</v>
      </c>
      <c r="F2668" s="1">
        <v>202385.14</v>
      </c>
      <c r="G2668" s="1">
        <v>19642</v>
      </c>
      <c r="H2668" s="1">
        <v>330.11056969999999</v>
      </c>
    </row>
    <row r="2669" spans="1:8" ht="15.75" thickBot="1" x14ac:dyDescent="0.3">
      <c r="A2669" s="1">
        <v>2014</v>
      </c>
      <c r="B2669" s="1" t="s">
        <v>17</v>
      </c>
      <c r="C2669" s="1" t="s">
        <v>28</v>
      </c>
      <c r="D2669" s="1" t="s">
        <v>19</v>
      </c>
      <c r="E2669" s="1">
        <v>285018052.19999999</v>
      </c>
      <c r="F2669" s="1">
        <v>7201845.3499999996</v>
      </c>
      <c r="G2669" s="1">
        <v>451071</v>
      </c>
      <c r="H2669" s="1">
        <v>631.86959960000002</v>
      </c>
    </row>
    <row r="2670" spans="1:8" ht="15.75" thickBot="1" x14ac:dyDescent="0.3">
      <c r="A2670" s="1">
        <v>2016</v>
      </c>
      <c r="B2670" s="1" t="s">
        <v>11</v>
      </c>
      <c r="C2670" s="1" t="s">
        <v>9</v>
      </c>
      <c r="D2670" s="1" t="s">
        <v>10</v>
      </c>
      <c r="E2670" s="1">
        <v>11683508.18</v>
      </c>
      <c r="F2670" s="1">
        <v>373318.43</v>
      </c>
      <c r="G2670" s="1">
        <v>324824</v>
      </c>
      <c r="H2670" s="1">
        <v>35.968734390000002</v>
      </c>
    </row>
    <row r="2671" spans="1:8" ht="15.75" thickBot="1" x14ac:dyDescent="0.3">
      <c r="A2671" s="1">
        <v>2017</v>
      </c>
      <c r="B2671" s="1" t="s">
        <v>14</v>
      </c>
      <c r="C2671" s="1" t="s">
        <v>9</v>
      </c>
      <c r="D2671" s="1" t="s">
        <v>13</v>
      </c>
      <c r="E2671" s="1">
        <v>9754.3700000000008</v>
      </c>
      <c r="F2671" s="1">
        <v>288.95</v>
      </c>
      <c r="G2671" s="1">
        <v>1301</v>
      </c>
      <c r="H2671" s="1">
        <v>7.4975941580000001</v>
      </c>
    </row>
    <row r="2672" spans="1:8" ht="15.75" thickBot="1" x14ac:dyDescent="0.3">
      <c r="A2672" s="1">
        <v>2015</v>
      </c>
      <c r="B2672" s="1" t="s">
        <v>16</v>
      </c>
      <c r="C2672" s="1" t="s">
        <v>26</v>
      </c>
      <c r="D2672" s="1" t="s">
        <v>24</v>
      </c>
      <c r="E2672" s="1">
        <v>30162189.93</v>
      </c>
      <c r="F2672" s="1">
        <v>1119361.97</v>
      </c>
      <c r="G2672" s="1">
        <v>176719</v>
      </c>
      <c r="H2672" s="1">
        <v>170.67881740000001</v>
      </c>
    </row>
    <row r="2673" spans="1:8" ht="15.75" thickBot="1" x14ac:dyDescent="0.3">
      <c r="A2673" s="1">
        <v>2016</v>
      </c>
      <c r="B2673" s="1" t="s">
        <v>16</v>
      </c>
      <c r="C2673" s="1" t="s">
        <v>15</v>
      </c>
      <c r="D2673" s="1" t="s">
        <v>19</v>
      </c>
      <c r="E2673" s="1">
        <v>43133706.340000004</v>
      </c>
      <c r="F2673" s="1">
        <v>1397046.08</v>
      </c>
      <c r="G2673" s="1">
        <v>186251</v>
      </c>
      <c r="H2673" s="1">
        <v>231.58912620000001</v>
      </c>
    </row>
    <row r="2674" spans="1:8" ht="15.75" thickBot="1" x14ac:dyDescent="0.3">
      <c r="A2674" s="1">
        <v>2016</v>
      </c>
      <c r="B2674" s="1" t="s">
        <v>16</v>
      </c>
      <c r="C2674" s="1" t="s">
        <v>25</v>
      </c>
      <c r="D2674" s="1" t="s">
        <v>13</v>
      </c>
      <c r="E2674" s="1">
        <v>3534108.9</v>
      </c>
      <c r="F2674" s="1">
        <v>123343.27</v>
      </c>
      <c r="G2674" s="1">
        <v>88817</v>
      </c>
      <c r="H2674" s="1">
        <v>39.790906020000001</v>
      </c>
    </row>
    <row r="2675" spans="1:8" ht="15.75" thickBot="1" x14ac:dyDescent="0.3">
      <c r="A2675" s="1">
        <v>2015</v>
      </c>
      <c r="B2675" s="1" t="s">
        <v>35</v>
      </c>
      <c r="C2675" s="1" t="s">
        <v>15</v>
      </c>
      <c r="D2675" s="1" t="s">
        <v>19</v>
      </c>
      <c r="E2675" s="1">
        <v>29403.18</v>
      </c>
      <c r="F2675" s="1">
        <v>748.19</v>
      </c>
      <c r="G2675" s="1">
        <v>621</v>
      </c>
      <c r="H2675" s="1">
        <v>47.34811594</v>
      </c>
    </row>
    <row r="2676" spans="1:8" ht="15.75" thickBot="1" x14ac:dyDescent="0.3">
      <c r="A2676" s="1">
        <v>2014</v>
      </c>
      <c r="B2676" s="1" t="s">
        <v>12</v>
      </c>
      <c r="C2676" s="1" t="s">
        <v>12</v>
      </c>
      <c r="D2676" s="1" t="s">
        <v>27</v>
      </c>
      <c r="E2676" s="1">
        <v>15638485.4</v>
      </c>
      <c r="F2676" s="1">
        <v>627200.88</v>
      </c>
      <c r="G2676" s="1">
        <v>354027</v>
      </c>
      <c r="H2676" s="1">
        <v>44.173143289999999</v>
      </c>
    </row>
    <row r="2677" spans="1:8" ht="15.75" thickBot="1" x14ac:dyDescent="0.3">
      <c r="A2677" s="1">
        <v>2015</v>
      </c>
      <c r="B2677" s="1" t="s">
        <v>35</v>
      </c>
      <c r="C2677" s="1" t="s">
        <v>9</v>
      </c>
      <c r="D2677" s="1" t="s">
        <v>19</v>
      </c>
      <c r="E2677" s="1">
        <v>15984.77</v>
      </c>
      <c r="F2677" s="1">
        <v>574.48</v>
      </c>
      <c r="G2677" s="1">
        <v>662</v>
      </c>
      <c r="H2677" s="1">
        <v>24.146178249999998</v>
      </c>
    </row>
    <row r="2678" spans="1:8" ht="15.75" thickBot="1" x14ac:dyDescent="0.3">
      <c r="A2678" s="1">
        <v>2015</v>
      </c>
      <c r="B2678" s="1" t="s">
        <v>35</v>
      </c>
      <c r="C2678" s="1" t="s">
        <v>18</v>
      </c>
      <c r="D2678" s="1" t="s">
        <v>13</v>
      </c>
      <c r="E2678" s="1">
        <v>0</v>
      </c>
      <c r="F2678" s="1">
        <v>0</v>
      </c>
      <c r="G2678" s="1">
        <v>1</v>
      </c>
      <c r="H2678" s="1">
        <v>0</v>
      </c>
    </row>
    <row r="2679" spans="1:8" ht="15.75" thickBot="1" x14ac:dyDescent="0.3">
      <c r="A2679" s="1">
        <v>2014</v>
      </c>
      <c r="B2679" s="1" t="s">
        <v>14</v>
      </c>
      <c r="C2679" s="1" t="s">
        <v>26</v>
      </c>
      <c r="D2679" s="1" t="s">
        <v>13</v>
      </c>
      <c r="E2679" s="1">
        <v>74557.440000000002</v>
      </c>
      <c r="F2679" s="1">
        <v>2560.2399999999998</v>
      </c>
      <c r="G2679" s="1">
        <v>1271</v>
      </c>
      <c r="H2679" s="1">
        <v>58.660456330000002</v>
      </c>
    </row>
    <row r="2680" spans="1:8" ht="15.75" thickBot="1" x14ac:dyDescent="0.3">
      <c r="A2680" s="1">
        <v>2016</v>
      </c>
      <c r="B2680" s="1" t="s">
        <v>8</v>
      </c>
      <c r="C2680" s="1" t="s">
        <v>25</v>
      </c>
      <c r="D2680" s="1" t="s">
        <v>27</v>
      </c>
      <c r="E2680" s="1">
        <v>21750.959999999999</v>
      </c>
      <c r="F2680" s="1">
        <v>1041.8499999999999</v>
      </c>
      <c r="G2680" s="1">
        <v>1171</v>
      </c>
      <c r="H2680" s="1">
        <v>18.574688299999998</v>
      </c>
    </row>
    <row r="2681" spans="1:8" ht="15.75" thickBot="1" x14ac:dyDescent="0.3">
      <c r="A2681" s="1">
        <v>2015</v>
      </c>
      <c r="B2681" s="1" t="s">
        <v>30</v>
      </c>
      <c r="C2681" s="1" t="s">
        <v>21</v>
      </c>
      <c r="D2681" s="1" t="s">
        <v>19</v>
      </c>
      <c r="E2681" s="1">
        <v>273978763.60000002</v>
      </c>
      <c r="F2681" s="1">
        <v>7338362.4100000001</v>
      </c>
      <c r="G2681" s="1">
        <v>1935761</v>
      </c>
      <c r="H2681" s="1">
        <v>141.53542899999999</v>
      </c>
    </row>
    <row r="2682" spans="1:8" ht="15.75" thickBot="1" x14ac:dyDescent="0.3">
      <c r="A2682" s="1">
        <v>2015</v>
      </c>
      <c r="B2682" s="1" t="s">
        <v>12</v>
      </c>
      <c r="C2682" s="1" t="s">
        <v>26</v>
      </c>
      <c r="D2682" s="1" t="s">
        <v>27</v>
      </c>
      <c r="E2682" s="1">
        <v>25553872.260000002</v>
      </c>
      <c r="F2682" s="1">
        <v>1041607.72</v>
      </c>
      <c r="G2682" s="1">
        <v>640987</v>
      </c>
      <c r="H2682" s="1">
        <v>39.866443869999998</v>
      </c>
    </row>
    <row r="2683" spans="1:8" ht="15.75" thickBot="1" x14ac:dyDescent="0.3">
      <c r="A2683" s="1">
        <v>2014</v>
      </c>
      <c r="B2683" s="1" t="s">
        <v>17</v>
      </c>
      <c r="C2683" s="1" t="s">
        <v>18</v>
      </c>
      <c r="D2683" s="1" t="s">
        <v>32</v>
      </c>
      <c r="E2683" s="1">
        <v>18236269.149999999</v>
      </c>
      <c r="F2683" s="1">
        <v>633782.38</v>
      </c>
      <c r="G2683" s="1">
        <v>292717</v>
      </c>
      <c r="H2683" s="1">
        <v>62.300000169999997</v>
      </c>
    </row>
    <row r="2684" spans="1:8" ht="15.75" thickBot="1" x14ac:dyDescent="0.3">
      <c r="A2684" s="1">
        <v>2015</v>
      </c>
      <c r="B2684" s="1" t="s">
        <v>35</v>
      </c>
      <c r="C2684" s="1" t="s">
        <v>12</v>
      </c>
      <c r="D2684" s="1" t="s">
        <v>10</v>
      </c>
      <c r="E2684" s="1">
        <v>-6.83</v>
      </c>
      <c r="F2684" s="1">
        <v>0.65</v>
      </c>
      <c r="G2684" s="1">
        <v>73</v>
      </c>
      <c r="H2684" s="1">
        <v>-9.356164384E-2</v>
      </c>
    </row>
    <row r="2685" spans="1:8" ht="15.75" thickBot="1" x14ac:dyDescent="0.3">
      <c r="A2685" s="1">
        <v>2015</v>
      </c>
      <c r="B2685" s="1" t="s">
        <v>35</v>
      </c>
      <c r="C2685" s="1" t="s">
        <v>12</v>
      </c>
      <c r="D2685" s="1" t="s">
        <v>31</v>
      </c>
      <c r="E2685" s="1">
        <v>10</v>
      </c>
      <c r="F2685" s="1">
        <v>0.59</v>
      </c>
      <c r="G2685" s="1">
        <v>50</v>
      </c>
      <c r="H2685" s="1">
        <v>0.2</v>
      </c>
    </row>
    <row r="2686" spans="1:8" ht="15.75" thickBot="1" x14ac:dyDescent="0.3">
      <c r="A2686" s="1">
        <v>2017</v>
      </c>
      <c r="B2686" s="1" t="s">
        <v>12</v>
      </c>
      <c r="C2686" s="1" t="s">
        <v>25</v>
      </c>
      <c r="D2686" s="1" t="s">
        <v>31</v>
      </c>
      <c r="E2686" s="1">
        <v>930936.06</v>
      </c>
      <c r="F2686" s="1">
        <v>26479.13</v>
      </c>
      <c r="G2686" s="1">
        <v>16800</v>
      </c>
      <c r="H2686" s="1">
        <v>55.412860709999997</v>
      </c>
    </row>
    <row r="2687" spans="1:8" ht="15.75" thickBot="1" x14ac:dyDescent="0.3">
      <c r="A2687" s="1">
        <v>2017</v>
      </c>
      <c r="B2687" s="1" t="s">
        <v>17</v>
      </c>
      <c r="C2687" s="1" t="s">
        <v>25</v>
      </c>
      <c r="D2687" s="1" t="s">
        <v>31</v>
      </c>
      <c r="E2687" s="1">
        <v>45448563.759999998</v>
      </c>
      <c r="F2687" s="1">
        <v>1473799.26</v>
      </c>
      <c r="G2687" s="1">
        <v>817557</v>
      </c>
      <c r="H2687" s="1">
        <v>55.59069736</v>
      </c>
    </row>
    <row r="2688" spans="1:8" ht="15.75" thickBot="1" x14ac:dyDescent="0.3">
      <c r="A2688" s="1">
        <v>2017</v>
      </c>
      <c r="B2688" s="1" t="s">
        <v>40</v>
      </c>
      <c r="C2688" s="1" t="s">
        <v>9</v>
      </c>
      <c r="D2688" s="1" t="s">
        <v>31</v>
      </c>
      <c r="E2688" s="1">
        <v>27.01</v>
      </c>
      <c r="F2688" s="1">
        <v>2.29</v>
      </c>
      <c r="G2688" s="1">
        <v>5</v>
      </c>
      <c r="H2688" s="1">
        <v>5.4020000000000001</v>
      </c>
    </row>
    <row r="2689" spans="1:8" ht="15.75" thickBot="1" x14ac:dyDescent="0.3">
      <c r="A2689" s="1">
        <v>2015</v>
      </c>
      <c r="B2689" s="1" t="s">
        <v>11</v>
      </c>
      <c r="C2689" s="1" t="s">
        <v>9</v>
      </c>
      <c r="D2689" s="1" t="s">
        <v>37</v>
      </c>
      <c r="E2689" s="1">
        <v>554406200</v>
      </c>
      <c r="F2689" s="1">
        <v>13923983.640000001</v>
      </c>
      <c r="G2689" s="1">
        <v>813776</v>
      </c>
      <c r="H2689" s="1">
        <v>681.27617429999998</v>
      </c>
    </row>
    <row r="2690" spans="1:8" ht="15.75" thickBot="1" x14ac:dyDescent="0.3">
      <c r="A2690" s="1">
        <v>2017</v>
      </c>
      <c r="B2690" s="1" t="s">
        <v>40</v>
      </c>
      <c r="C2690" s="1" t="s">
        <v>9</v>
      </c>
      <c r="D2690" s="1" t="s">
        <v>27</v>
      </c>
      <c r="E2690" s="1">
        <v>6263.82</v>
      </c>
      <c r="F2690" s="1">
        <v>231.66</v>
      </c>
      <c r="G2690" s="1">
        <v>111</v>
      </c>
      <c r="H2690" s="1">
        <v>56.430810809999997</v>
      </c>
    </row>
    <row r="2691" spans="1:8" ht="15.75" thickBot="1" x14ac:dyDescent="0.3">
      <c r="A2691" s="1">
        <v>2015</v>
      </c>
      <c r="B2691" s="1" t="s">
        <v>16</v>
      </c>
      <c r="C2691" s="1" t="s">
        <v>25</v>
      </c>
      <c r="D2691" s="1" t="s">
        <v>29</v>
      </c>
      <c r="E2691" s="1">
        <v>18954464.920000002</v>
      </c>
      <c r="F2691" s="1">
        <v>675014.24</v>
      </c>
      <c r="G2691" s="1">
        <v>90388</v>
      </c>
      <c r="H2691" s="1">
        <v>209.70112090000001</v>
      </c>
    </row>
    <row r="2692" spans="1:8" ht="15.75" thickBot="1" x14ac:dyDescent="0.3">
      <c r="A2692" s="1">
        <v>2017</v>
      </c>
      <c r="B2692" s="1" t="s">
        <v>11</v>
      </c>
      <c r="C2692" s="1" t="s">
        <v>28</v>
      </c>
      <c r="D2692" s="1" t="s">
        <v>34</v>
      </c>
      <c r="E2692" s="1">
        <v>543442.34</v>
      </c>
      <c r="F2692" s="1">
        <v>11593.04</v>
      </c>
      <c r="G2692" s="1">
        <v>9478</v>
      </c>
      <c r="H2692" s="1">
        <v>57.337237809999998</v>
      </c>
    </row>
    <row r="2693" spans="1:8" ht="15.75" thickBot="1" x14ac:dyDescent="0.3">
      <c r="A2693" s="1">
        <v>2017</v>
      </c>
      <c r="B2693" s="1" t="s">
        <v>35</v>
      </c>
      <c r="C2693" s="1" t="s">
        <v>9</v>
      </c>
      <c r="D2693" s="1" t="s">
        <v>29</v>
      </c>
      <c r="E2693" s="1">
        <v>10218.799999999999</v>
      </c>
      <c r="F2693" s="1">
        <v>88.36</v>
      </c>
      <c r="G2693" s="1">
        <v>37</v>
      </c>
      <c r="H2693" s="1">
        <v>276.18378380000001</v>
      </c>
    </row>
    <row r="2694" spans="1:8" ht="15.75" thickBot="1" x14ac:dyDescent="0.3">
      <c r="A2694" s="1">
        <v>2014</v>
      </c>
      <c r="B2694" s="1" t="s">
        <v>12</v>
      </c>
      <c r="C2694" s="1" t="s">
        <v>28</v>
      </c>
      <c r="D2694" s="1" t="s">
        <v>36</v>
      </c>
      <c r="E2694" s="1">
        <v>4552704.82</v>
      </c>
      <c r="F2694" s="1">
        <v>8803.6</v>
      </c>
      <c r="G2694" s="1">
        <v>34872</v>
      </c>
      <c r="H2694" s="1">
        <v>130.55473789999999</v>
      </c>
    </row>
    <row r="2695" spans="1:8" ht="15.75" thickBot="1" x14ac:dyDescent="0.3">
      <c r="A2695" s="1">
        <v>2017</v>
      </c>
      <c r="B2695" s="1" t="s">
        <v>16</v>
      </c>
      <c r="C2695" s="1" t="s">
        <v>9</v>
      </c>
      <c r="D2695" s="1" t="s">
        <v>19</v>
      </c>
      <c r="E2695" s="1">
        <v>143489.93</v>
      </c>
      <c r="F2695" s="1">
        <v>4841.28</v>
      </c>
      <c r="G2695" s="1">
        <v>11601</v>
      </c>
      <c r="H2695" s="1">
        <v>12.36875528</v>
      </c>
    </row>
    <row r="2696" spans="1:8" ht="15.75" thickBot="1" x14ac:dyDescent="0.3">
      <c r="A2696" s="1">
        <v>2017</v>
      </c>
      <c r="B2696" s="1" t="s">
        <v>30</v>
      </c>
      <c r="C2696" s="1" t="s">
        <v>23</v>
      </c>
      <c r="D2696" s="1" t="s">
        <v>31</v>
      </c>
      <c r="E2696" s="1">
        <v>28.45</v>
      </c>
      <c r="F2696" s="1">
        <v>1.1299999999999999</v>
      </c>
      <c r="G2696" s="1">
        <v>1</v>
      </c>
      <c r="H2696" s="1">
        <v>28.45</v>
      </c>
    </row>
    <row r="2697" spans="1:8" ht="15.75" thickBot="1" x14ac:dyDescent="0.3">
      <c r="A2697" s="1">
        <v>2017</v>
      </c>
      <c r="B2697" s="1" t="s">
        <v>11</v>
      </c>
      <c r="C2697" s="1" t="s">
        <v>21</v>
      </c>
      <c r="D2697" s="1" t="s">
        <v>29</v>
      </c>
      <c r="E2697" s="1">
        <v>5814570.96</v>
      </c>
      <c r="F2697" s="1">
        <v>176212.44</v>
      </c>
      <c r="G2697" s="1">
        <v>14117</v>
      </c>
      <c r="H2697" s="1">
        <v>411.884321</v>
      </c>
    </row>
    <row r="2698" spans="1:8" ht="15.75" thickBot="1" x14ac:dyDescent="0.3">
      <c r="A2698" s="1">
        <v>2015</v>
      </c>
      <c r="B2698" s="1" t="s">
        <v>12</v>
      </c>
      <c r="C2698" s="1" t="s">
        <v>12</v>
      </c>
      <c r="D2698" s="1" t="s">
        <v>13</v>
      </c>
      <c r="E2698" s="1">
        <v>21422.19</v>
      </c>
      <c r="F2698" s="1">
        <v>656.8</v>
      </c>
      <c r="G2698" s="1">
        <v>510</v>
      </c>
      <c r="H2698" s="1">
        <v>42.004294119999997</v>
      </c>
    </row>
    <row r="2699" spans="1:8" ht="15.75" thickBot="1" x14ac:dyDescent="0.3">
      <c r="A2699" s="1">
        <v>2017</v>
      </c>
      <c r="B2699" s="1" t="s">
        <v>35</v>
      </c>
      <c r="C2699" s="1" t="s">
        <v>9</v>
      </c>
      <c r="D2699" s="1" t="s">
        <v>37</v>
      </c>
      <c r="E2699" s="1">
        <v>22376.86</v>
      </c>
      <c r="F2699" s="1">
        <v>647.80999999999995</v>
      </c>
      <c r="G2699" s="1">
        <v>260</v>
      </c>
      <c r="H2699" s="1">
        <v>86.064846149999994</v>
      </c>
    </row>
    <row r="2700" spans="1:8" ht="15.75" thickBot="1" x14ac:dyDescent="0.3">
      <c r="A2700" s="1">
        <v>2016</v>
      </c>
      <c r="B2700" s="1" t="s">
        <v>35</v>
      </c>
      <c r="C2700" s="1" t="s">
        <v>9</v>
      </c>
      <c r="D2700" s="1" t="s">
        <v>31</v>
      </c>
      <c r="E2700" s="1">
        <v>0</v>
      </c>
      <c r="F2700" s="1">
        <v>0</v>
      </c>
      <c r="G2700" s="1">
        <v>32407</v>
      </c>
      <c r="H2700" s="1">
        <v>0</v>
      </c>
    </row>
    <row r="2701" spans="1:8" ht="15.75" thickBot="1" x14ac:dyDescent="0.3">
      <c r="A2701" s="1">
        <v>2015</v>
      </c>
      <c r="B2701" s="1" t="s">
        <v>40</v>
      </c>
      <c r="C2701" s="1" t="s">
        <v>15</v>
      </c>
      <c r="D2701" s="1" t="s">
        <v>13</v>
      </c>
      <c r="E2701" s="1">
        <v>888.32</v>
      </c>
      <c r="F2701" s="1">
        <v>9.01</v>
      </c>
      <c r="G2701" s="1">
        <v>16</v>
      </c>
      <c r="H2701" s="1">
        <v>55.52</v>
      </c>
    </row>
    <row r="2702" spans="1:8" ht="15.75" thickBot="1" x14ac:dyDescent="0.3">
      <c r="A2702" s="1">
        <v>2015</v>
      </c>
      <c r="B2702" s="1" t="s">
        <v>35</v>
      </c>
      <c r="C2702" s="1" t="s">
        <v>21</v>
      </c>
      <c r="D2702" s="1" t="s">
        <v>27</v>
      </c>
      <c r="E2702" s="1">
        <v>26481.16</v>
      </c>
      <c r="F2702" s="1">
        <v>1407.09</v>
      </c>
      <c r="G2702" s="1">
        <v>636</v>
      </c>
      <c r="H2702" s="1">
        <v>41.637044029999998</v>
      </c>
    </row>
    <row r="2703" spans="1:8" ht="15.75" thickBot="1" x14ac:dyDescent="0.3">
      <c r="A2703" s="1">
        <v>2017</v>
      </c>
      <c r="B2703" s="1" t="s">
        <v>11</v>
      </c>
      <c r="C2703" s="1" t="s">
        <v>23</v>
      </c>
      <c r="D2703" s="1" t="s">
        <v>19</v>
      </c>
      <c r="E2703" s="1">
        <v>5630270.9500000002</v>
      </c>
      <c r="F2703" s="1">
        <v>191783.02</v>
      </c>
      <c r="G2703" s="1">
        <v>58212</v>
      </c>
      <c r="H2703" s="1">
        <v>96.720108400000001</v>
      </c>
    </row>
    <row r="2704" spans="1:8" ht="15.75" thickBot="1" x14ac:dyDescent="0.3">
      <c r="A2704" s="1">
        <v>2016</v>
      </c>
      <c r="B2704" s="1" t="s">
        <v>14</v>
      </c>
      <c r="C2704" s="1" t="s">
        <v>28</v>
      </c>
      <c r="D2704" s="1" t="s">
        <v>27</v>
      </c>
      <c r="E2704" s="1">
        <v>214180423.69999999</v>
      </c>
      <c r="F2704" s="1">
        <v>8456613.1500000004</v>
      </c>
      <c r="G2704" s="1">
        <v>5947305</v>
      </c>
      <c r="H2704" s="1">
        <v>36.013021649999999</v>
      </c>
    </row>
    <row r="2705" spans="1:8" ht="15.75" thickBot="1" x14ac:dyDescent="0.3">
      <c r="A2705" s="1">
        <v>2017</v>
      </c>
      <c r="B2705" s="1" t="s">
        <v>35</v>
      </c>
      <c r="C2705" s="1" t="s">
        <v>15</v>
      </c>
      <c r="D2705" s="1" t="s">
        <v>24</v>
      </c>
      <c r="E2705" s="1">
        <v>8601.8700000000008</v>
      </c>
      <c r="F2705" s="1">
        <v>64.48</v>
      </c>
      <c r="G2705" s="1">
        <v>47</v>
      </c>
      <c r="H2705" s="1">
        <v>183.01851060000001</v>
      </c>
    </row>
    <row r="2706" spans="1:8" ht="15.75" thickBot="1" x14ac:dyDescent="0.3">
      <c r="A2706" s="1">
        <v>2014</v>
      </c>
      <c r="B2706" s="1" t="s">
        <v>17</v>
      </c>
      <c r="C2706" s="1" t="s">
        <v>12</v>
      </c>
      <c r="D2706" s="1" t="s">
        <v>13</v>
      </c>
      <c r="E2706" s="1">
        <v>21274.97</v>
      </c>
      <c r="F2706" s="1">
        <v>731.52</v>
      </c>
      <c r="G2706" s="1">
        <v>542</v>
      </c>
      <c r="H2706" s="1">
        <v>39.252712180000003</v>
      </c>
    </row>
    <row r="2707" spans="1:8" ht="15.75" thickBot="1" x14ac:dyDescent="0.3">
      <c r="A2707" s="1">
        <v>2014</v>
      </c>
      <c r="B2707" s="1" t="s">
        <v>14</v>
      </c>
      <c r="C2707" s="1" t="s">
        <v>9</v>
      </c>
      <c r="D2707" s="1" t="s">
        <v>29</v>
      </c>
      <c r="E2707" s="1">
        <v>55452.02</v>
      </c>
      <c r="F2707" s="1">
        <v>911.26</v>
      </c>
      <c r="G2707" s="1">
        <v>892</v>
      </c>
      <c r="H2707" s="1">
        <v>62.165941699999998</v>
      </c>
    </row>
    <row r="2708" spans="1:8" ht="15.75" thickBot="1" x14ac:dyDescent="0.3">
      <c r="A2708" s="1">
        <v>2015</v>
      </c>
      <c r="B2708" s="1" t="s">
        <v>17</v>
      </c>
      <c r="C2708" s="1" t="s">
        <v>18</v>
      </c>
      <c r="D2708" s="1" t="s">
        <v>29</v>
      </c>
      <c r="E2708" s="1">
        <v>3266790.35</v>
      </c>
      <c r="F2708" s="1">
        <v>102440.49</v>
      </c>
      <c r="G2708" s="1">
        <v>8191</v>
      </c>
      <c r="H2708" s="1">
        <v>398.82680379999999</v>
      </c>
    </row>
    <row r="2709" spans="1:8" ht="15.75" thickBot="1" x14ac:dyDescent="0.3">
      <c r="A2709" s="1">
        <v>2015</v>
      </c>
      <c r="B2709" s="1" t="s">
        <v>35</v>
      </c>
      <c r="C2709" s="1" t="s">
        <v>21</v>
      </c>
      <c r="D2709" s="1" t="s">
        <v>31</v>
      </c>
      <c r="E2709" s="1">
        <v>28.94</v>
      </c>
      <c r="F2709" s="1">
        <v>9.4</v>
      </c>
      <c r="G2709" s="1">
        <v>38</v>
      </c>
      <c r="H2709" s="1">
        <v>0.76157894739999998</v>
      </c>
    </row>
    <row r="2710" spans="1:8" ht="15.75" thickBot="1" x14ac:dyDescent="0.3">
      <c r="A2710" s="1">
        <v>2014</v>
      </c>
      <c r="B2710" s="1" t="s">
        <v>11</v>
      </c>
      <c r="C2710" s="1" t="s">
        <v>18</v>
      </c>
      <c r="D2710" s="1" t="s">
        <v>27</v>
      </c>
      <c r="E2710" s="1">
        <v>37327007.979999997</v>
      </c>
      <c r="F2710" s="1">
        <v>996539.75</v>
      </c>
      <c r="G2710" s="1">
        <v>358735</v>
      </c>
      <c r="H2710" s="1">
        <v>104.0517596</v>
      </c>
    </row>
    <row r="2711" spans="1:8" ht="15.75" thickBot="1" x14ac:dyDescent="0.3">
      <c r="A2711" s="1">
        <v>2017</v>
      </c>
      <c r="B2711" s="1" t="s">
        <v>35</v>
      </c>
      <c r="C2711" s="1" t="s">
        <v>28</v>
      </c>
      <c r="D2711" s="1" t="s">
        <v>29</v>
      </c>
      <c r="E2711" s="1">
        <v>9904.66</v>
      </c>
      <c r="F2711" s="1">
        <v>286.85000000000002</v>
      </c>
      <c r="G2711" s="1">
        <v>48</v>
      </c>
      <c r="H2711" s="1">
        <v>206.34708330000001</v>
      </c>
    </row>
    <row r="2712" spans="1:8" ht="15.75" thickBot="1" x14ac:dyDescent="0.3">
      <c r="A2712" s="1">
        <v>2014</v>
      </c>
      <c r="B2712" s="1" t="s">
        <v>11</v>
      </c>
      <c r="C2712" s="1" t="s">
        <v>9</v>
      </c>
      <c r="D2712" s="1" t="s">
        <v>37</v>
      </c>
      <c r="E2712" s="1">
        <v>301517581.89999998</v>
      </c>
      <c r="F2712" s="1">
        <v>7166373.9400000004</v>
      </c>
      <c r="G2712" s="1">
        <v>472506</v>
      </c>
      <c r="H2712" s="1">
        <v>638.12434540000004</v>
      </c>
    </row>
    <row r="2713" spans="1:8" ht="15.75" thickBot="1" x14ac:dyDescent="0.3">
      <c r="A2713" s="1">
        <v>2017</v>
      </c>
      <c r="B2713" s="1" t="s">
        <v>11</v>
      </c>
      <c r="C2713" s="1" t="s">
        <v>12</v>
      </c>
      <c r="D2713" s="1" t="s">
        <v>24</v>
      </c>
      <c r="E2713" s="1">
        <v>3835909.7</v>
      </c>
      <c r="F2713" s="1">
        <v>135324.82</v>
      </c>
      <c r="G2713" s="1">
        <v>14178</v>
      </c>
      <c r="H2713" s="1">
        <v>270.5536535</v>
      </c>
    </row>
    <row r="2714" spans="1:8" ht="15.75" thickBot="1" x14ac:dyDescent="0.3">
      <c r="A2714" s="1">
        <v>2017</v>
      </c>
      <c r="B2714" s="1" t="s">
        <v>30</v>
      </c>
      <c r="C2714" s="1" t="s">
        <v>21</v>
      </c>
      <c r="D2714" s="1" t="s">
        <v>27</v>
      </c>
      <c r="E2714" s="1">
        <v>564116818.20000005</v>
      </c>
      <c r="F2714" s="1">
        <v>20711930.050000001</v>
      </c>
      <c r="G2714" s="1">
        <v>8788768</v>
      </c>
      <c r="H2714" s="1">
        <v>64.186108700000005</v>
      </c>
    </row>
    <row r="2715" spans="1:8" ht="15.75" thickBot="1" x14ac:dyDescent="0.3">
      <c r="A2715" s="1">
        <v>2014</v>
      </c>
      <c r="B2715" s="1" t="s">
        <v>11</v>
      </c>
      <c r="C2715" s="1" t="s">
        <v>21</v>
      </c>
      <c r="D2715" s="1" t="s">
        <v>31</v>
      </c>
      <c r="E2715" s="1">
        <v>13626207.060000001</v>
      </c>
      <c r="F2715" s="1">
        <v>435587.33</v>
      </c>
      <c r="G2715" s="1">
        <v>378694</v>
      </c>
      <c r="H2715" s="1">
        <v>35.982104440000001</v>
      </c>
    </row>
    <row r="2716" spans="1:8" ht="15.75" thickBot="1" x14ac:dyDescent="0.3">
      <c r="A2716" s="1">
        <v>2017</v>
      </c>
      <c r="B2716" s="1" t="s">
        <v>17</v>
      </c>
      <c r="C2716" s="1" t="s">
        <v>23</v>
      </c>
      <c r="D2716" s="1" t="s">
        <v>10</v>
      </c>
      <c r="E2716" s="1">
        <v>41706144.759999998</v>
      </c>
      <c r="F2716" s="1">
        <v>1399244.26</v>
      </c>
      <c r="G2716" s="1">
        <v>893018</v>
      </c>
      <c r="H2716" s="1">
        <v>46.702468209999999</v>
      </c>
    </row>
    <row r="2717" spans="1:8" ht="15.75" thickBot="1" x14ac:dyDescent="0.3">
      <c r="A2717" s="1">
        <v>2014</v>
      </c>
      <c r="B2717" s="1" t="s">
        <v>11</v>
      </c>
      <c r="C2717" s="1" t="s">
        <v>25</v>
      </c>
      <c r="D2717" s="1" t="s">
        <v>19</v>
      </c>
      <c r="E2717" s="1">
        <v>6582843.2800000003</v>
      </c>
      <c r="F2717" s="1">
        <v>200977.71</v>
      </c>
      <c r="G2717" s="1">
        <v>35684</v>
      </c>
      <c r="H2717" s="1">
        <v>184.47604749999999</v>
      </c>
    </row>
    <row r="2718" spans="1:8" ht="15.75" thickBot="1" x14ac:dyDescent="0.3">
      <c r="A2718" s="1">
        <v>2016</v>
      </c>
      <c r="B2718" s="1" t="s">
        <v>16</v>
      </c>
      <c r="C2718" s="1" t="s">
        <v>9</v>
      </c>
      <c r="D2718" s="1" t="s">
        <v>29</v>
      </c>
      <c r="E2718" s="1">
        <v>118100.53</v>
      </c>
      <c r="F2718" s="1">
        <v>1903.2</v>
      </c>
      <c r="G2718" s="1">
        <v>760</v>
      </c>
      <c r="H2718" s="1">
        <v>155.39543420000001</v>
      </c>
    </row>
    <row r="2719" spans="1:8" ht="15.75" thickBot="1" x14ac:dyDescent="0.3">
      <c r="A2719" s="1">
        <v>2017</v>
      </c>
      <c r="B2719" s="1" t="s">
        <v>16</v>
      </c>
      <c r="C2719" s="1" t="s">
        <v>15</v>
      </c>
      <c r="D2719" s="1" t="s">
        <v>24</v>
      </c>
      <c r="E2719" s="1">
        <v>36412555.039999999</v>
      </c>
      <c r="F2719" s="1">
        <v>1251808.18</v>
      </c>
      <c r="G2719" s="1">
        <v>112409</v>
      </c>
      <c r="H2719" s="1">
        <v>323.9291786</v>
      </c>
    </row>
    <row r="2720" spans="1:8" ht="15.75" thickBot="1" x14ac:dyDescent="0.3">
      <c r="A2720" s="1">
        <v>2014</v>
      </c>
      <c r="B2720" s="1" t="s">
        <v>17</v>
      </c>
      <c r="C2720" s="1" t="s">
        <v>21</v>
      </c>
      <c r="D2720" s="1" t="s">
        <v>27</v>
      </c>
      <c r="E2720" s="1">
        <v>697897438.79999995</v>
      </c>
      <c r="F2720" s="1">
        <v>23358704.109999999</v>
      </c>
      <c r="G2720" s="1">
        <v>10181455</v>
      </c>
      <c r="H2720" s="1">
        <v>68.545943460000004</v>
      </c>
    </row>
    <row r="2721" spans="1:8" ht="15.75" thickBot="1" x14ac:dyDescent="0.3">
      <c r="A2721" s="1">
        <v>2014</v>
      </c>
      <c r="B2721" s="1" t="s">
        <v>16</v>
      </c>
      <c r="C2721" s="1" t="s">
        <v>15</v>
      </c>
      <c r="D2721" s="1" t="s">
        <v>27</v>
      </c>
      <c r="E2721" s="1">
        <v>234383255.69999999</v>
      </c>
      <c r="F2721" s="1">
        <v>8698233.3200000003</v>
      </c>
      <c r="G2721" s="1">
        <v>3647470</v>
      </c>
      <c r="H2721" s="1">
        <v>64.259131850000003</v>
      </c>
    </row>
    <row r="2722" spans="1:8" ht="15.75" thickBot="1" x14ac:dyDescent="0.3">
      <c r="A2722" s="1">
        <v>2014</v>
      </c>
      <c r="B2722" s="1" t="s">
        <v>14</v>
      </c>
      <c r="C2722" s="1" t="s">
        <v>15</v>
      </c>
      <c r="D2722" s="1" t="s">
        <v>31</v>
      </c>
      <c r="E2722" s="1">
        <v>447921.91999999998</v>
      </c>
      <c r="F2722" s="1">
        <v>17627.68</v>
      </c>
      <c r="G2722" s="1">
        <v>11103</v>
      </c>
      <c r="H2722" s="1">
        <v>40.342422769999999</v>
      </c>
    </row>
    <row r="2723" spans="1:8" ht="15.75" thickBot="1" x14ac:dyDescent="0.3">
      <c r="A2723" s="1">
        <v>2014</v>
      </c>
      <c r="B2723" s="1" t="s">
        <v>12</v>
      </c>
      <c r="C2723" s="1" t="s">
        <v>15</v>
      </c>
      <c r="D2723" s="1" t="s">
        <v>13</v>
      </c>
      <c r="E2723" s="1">
        <v>4849.6000000000004</v>
      </c>
      <c r="F2723" s="1">
        <v>92.29</v>
      </c>
      <c r="G2723" s="1">
        <v>48</v>
      </c>
      <c r="H2723" s="1">
        <v>101.0333333</v>
      </c>
    </row>
    <row r="2724" spans="1:8" ht="15.75" thickBot="1" x14ac:dyDescent="0.3">
      <c r="A2724" s="1">
        <v>2015</v>
      </c>
      <c r="B2724" s="1" t="s">
        <v>12</v>
      </c>
      <c r="C2724" s="1" t="s">
        <v>15</v>
      </c>
      <c r="D2724" s="1" t="s">
        <v>13</v>
      </c>
      <c r="E2724" s="1">
        <v>11717.73</v>
      </c>
      <c r="F2724" s="1">
        <v>360.11</v>
      </c>
      <c r="G2724" s="1">
        <v>216</v>
      </c>
      <c r="H2724" s="1">
        <v>54.248750000000001</v>
      </c>
    </row>
    <row r="2725" spans="1:8" ht="15.75" thickBot="1" x14ac:dyDescent="0.3">
      <c r="A2725" s="1">
        <v>2015</v>
      </c>
      <c r="B2725" s="1" t="s">
        <v>16</v>
      </c>
      <c r="C2725" s="1" t="s">
        <v>9</v>
      </c>
      <c r="D2725" s="1" t="s">
        <v>24</v>
      </c>
      <c r="E2725" s="1">
        <v>23151901.48</v>
      </c>
      <c r="F2725" s="1">
        <v>755717.83</v>
      </c>
      <c r="G2725" s="1">
        <v>73044</v>
      </c>
      <c r="H2725" s="1">
        <v>316.95829199999997</v>
      </c>
    </row>
    <row r="2726" spans="1:8" ht="15.75" thickBot="1" x14ac:dyDescent="0.3">
      <c r="A2726" s="1">
        <v>2014</v>
      </c>
      <c r="B2726" s="1" t="s">
        <v>12</v>
      </c>
      <c r="C2726" s="1" t="s">
        <v>25</v>
      </c>
      <c r="D2726" s="1" t="s">
        <v>24</v>
      </c>
      <c r="E2726" s="1">
        <v>1592377.91</v>
      </c>
      <c r="F2726" s="1">
        <v>52815.74</v>
      </c>
      <c r="G2726" s="1">
        <v>7303</v>
      </c>
      <c r="H2726" s="1">
        <v>218.044353</v>
      </c>
    </row>
    <row r="2727" spans="1:8" ht="15.75" thickBot="1" x14ac:dyDescent="0.3">
      <c r="A2727" s="1">
        <v>2014</v>
      </c>
      <c r="B2727" s="1" t="s">
        <v>14</v>
      </c>
      <c r="C2727" s="1" t="s">
        <v>15</v>
      </c>
      <c r="D2727" s="1" t="s">
        <v>29</v>
      </c>
      <c r="E2727" s="1">
        <v>9790537.7799999993</v>
      </c>
      <c r="F2727" s="1">
        <v>309740.38</v>
      </c>
      <c r="G2727" s="1">
        <v>38573</v>
      </c>
      <c r="H2727" s="1">
        <v>253.81841650000001</v>
      </c>
    </row>
    <row r="2728" spans="1:8" ht="15.75" thickBot="1" x14ac:dyDescent="0.3">
      <c r="A2728" s="1">
        <v>2015</v>
      </c>
      <c r="B2728" s="1" t="s">
        <v>16</v>
      </c>
      <c r="C2728" s="1" t="s">
        <v>15</v>
      </c>
      <c r="D2728" s="1" t="s">
        <v>27</v>
      </c>
      <c r="E2728" s="1">
        <v>238319148.19999999</v>
      </c>
      <c r="F2728" s="1">
        <v>8947092.3100000005</v>
      </c>
      <c r="G2728" s="1">
        <v>3723283</v>
      </c>
      <c r="H2728" s="1">
        <v>64.007798539999996</v>
      </c>
    </row>
    <row r="2729" spans="1:8" ht="15.75" thickBot="1" x14ac:dyDescent="0.3">
      <c r="A2729" s="1">
        <v>2014</v>
      </c>
      <c r="B2729" s="1" t="s">
        <v>35</v>
      </c>
      <c r="C2729" s="1" t="s">
        <v>9</v>
      </c>
      <c r="D2729" s="1" t="s">
        <v>24</v>
      </c>
      <c r="E2729" s="1">
        <v>5517.25</v>
      </c>
      <c r="F2729" s="1">
        <v>54.05</v>
      </c>
      <c r="G2729" s="1">
        <v>86</v>
      </c>
      <c r="H2729" s="1">
        <v>64.154069770000007</v>
      </c>
    </row>
    <row r="2730" spans="1:8" ht="15.75" thickBot="1" x14ac:dyDescent="0.3">
      <c r="A2730" s="1">
        <v>2017</v>
      </c>
      <c r="B2730" s="1" t="s">
        <v>14</v>
      </c>
      <c r="C2730" s="1" t="s">
        <v>33</v>
      </c>
      <c r="D2730" s="1" t="s">
        <v>13</v>
      </c>
      <c r="E2730" s="1">
        <v>4979132.3499999996</v>
      </c>
      <c r="F2730" s="1">
        <v>169001.93</v>
      </c>
      <c r="G2730" s="1">
        <v>153716</v>
      </c>
      <c r="H2730" s="1">
        <v>32.391763709999999</v>
      </c>
    </row>
    <row r="2731" spans="1:8" ht="15.75" thickBot="1" x14ac:dyDescent="0.3">
      <c r="A2731" s="1">
        <v>2016</v>
      </c>
      <c r="B2731" s="1" t="s">
        <v>14</v>
      </c>
      <c r="C2731" s="1" t="s">
        <v>12</v>
      </c>
      <c r="D2731" s="1" t="s">
        <v>32</v>
      </c>
      <c r="E2731" s="1">
        <v>71275781.859999999</v>
      </c>
      <c r="F2731" s="1">
        <v>2653777.14</v>
      </c>
      <c r="G2731" s="1">
        <v>1355157</v>
      </c>
      <c r="H2731" s="1">
        <v>52.595958889999999</v>
      </c>
    </row>
    <row r="2732" spans="1:8" ht="15.75" thickBot="1" x14ac:dyDescent="0.3">
      <c r="A2732" s="1">
        <v>2017</v>
      </c>
      <c r="B2732" s="1" t="s">
        <v>17</v>
      </c>
      <c r="C2732" s="1" t="s">
        <v>12</v>
      </c>
      <c r="D2732" s="1" t="s">
        <v>22</v>
      </c>
      <c r="E2732" s="1">
        <v>139835.07</v>
      </c>
      <c r="F2732" s="1">
        <v>6290.7</v>
      </c>
      <c r="G2732" s="1">
        <v>11178</v>
      </c>
      <c r="H2732" s="1">
        <v>12.50984702</v>
      </c>
    </row>
    <row r="2733" spans="1:8" ht="15.75" thickBot="1" x14ac:dyDescent="0.3">
      <c r="A2733" s="1">
        <v>2017</v>
      </c>
      <c r="B2733" s="1" t="s">
        <v>14</v>
      </c>
      <c r="C2733" s="1" t="s">
        <v>15</v>
      </c>
      <c r="D2733" s="1" t="s">
        <v>24</v>
      </c>
      <c r="E2733" s="1">
        <v>26451048.530000001</v>
      </c>
      <c r="F2733" s="1">
        <v>876195.9</v>
      </c>
      <c r="G2733" s="1">
        <v>100205</v>
      </c>
      <c r="H2733" s="1">
        <v>263.96934809999999</v>
      </c>
    </row>
    <row r="2734" spans="1:8" ht="15.75" thickBot="1" x14ac:dyDescent="0.3">
      <c r="A2734" s="1">
        <v>2014</v>
      </c>
      <c r="B2734" s="1" t="s">
        <v>30</v>
      </c>
      <c r="C2734" s="1" t="s">
        <v>23</v>
      </c>
      <c r="D2734" s="1" t="s">
        <v>19</v>
      </c>
      <c r="E2734" s="1">
        <v>71453974.640000001</v>
      </c>
      <c r="F2734" s="1">
        <v>2284991.83</v>
      </c>
      <c r="G2734" s="1">
        <v>823711</v>
      </c>
      <c r="H2734" s="1">
        <v>86.746413050000001</v>
      </c>
    </row>
    <row r="2735" spans="1:8" ht="15.75" thickBot="1" x14ac:dyDescent="0.3">
      <c r="A2735" s="1">
        <v>2016</v>
      </c>
      <c r="B2735" s="1" t="s">
        <v>30</v>
      </c>
      <c r="C2735" s="1" t="s">
        <v>9</v>
      </c>
      <c r="D2735" s="1" t="s">
        <v>19</v>
      </c>
      <c r="E2735" s="1">
        <v>24565.38</v>
      </c>
      <c r="F2735" s="1">
        <v>840.82</v>
      </c>
      <c r="G2735" s="1">
        <v>8913</v>
      </c>
      <c r="H2735" s="1">
        <v>2.7561292489999998</v>
      </c>
    </row>
    <row r="2736" spans="1:8" ht="15.75" thickBot="1" x14ac:dyDescent="0.3">
      <c r="A2736" s="1">
        <v>2016</v>
      </c>
      <c r="B2736" s="1" t="s">
        <v>16</v>
      </c>
      <c r="C2736" s="1" t="s">
        <v>33</v>
      </c>
      <c r="D2736" s="1" t="s">
        <v>31</v>
      </c>
      <c r="E2736" s="1">
        <v>9061886.1300000008</v>
      </c>
      <c r="F2736" s="1">
        <v>334473.84000000003</v>
      </c>
      <c r="G2736" s="1">
        <v>181199</v>
      </c>
      <c r="H2736" s="1">
        <v>50.010685100000003</v>
      </c>
    </row>
    <row r="2737" spans="1:8" ht="15.75" thickBot="1" x14ac:dyDescent="0.3">
      <c r="A2737" s="1">
        <v>2015</v>
      </c>
      <c r="B2737" s="1" t="s">
        <v>35</v>
      </c>
      <c r="C2737" s="1" t="s">
        <v>33</v>
      </c>
      <c r="D2737" s="1" t="s">
        <v>19</v>
      </c>
      <c r="E2737" s="1">
        <v>26788.16</v>
      </c>
      <c r="F2737" s="1">
        <v>839.59</v>
      </c>
      <c r="G2737" s="1">
        <v>728</v>
      </c>
      <c r="H2737" s="1">
        <v>36.796923079999999</v>
      </c>
    </row>
    <row r="2738" spans="1:8" ht="15.75" thickBot="1" x14ac:dyDescent="0.3">
      <c r="A2738" s="1">
        <v>2017</v>
      </c>
      <c r="B2738" s="1" t="s">
        <v>35</v>
      </c>
      <c r="C2738" s="1" t="s">
        <v>18</v>
      </c>
      <c r="D2738" s="1" t="s">
        <v>24</v>
      </c>
      <c r="E2738" s="1">
        <v>3838.25</v>
      </c>
      <c r="F2738" s="1">
        <v>73.540000000000006</v>
      </c>
      <c r="G2738" s="1">
        <v>26</v>
      </c>
      <c r="H2738" s="1">
        <v>147.625</v>
      </c>
    </row>
    <row r="2739" spans="1:8" ht="15.75" thickBot="1" x14ac:dyDescent="0.3">
      <c r="A2739" s="1">
        <v>2015</v>
      </c>
      <c r="B2739" s="1" t="s">
        <v>17</v>
      </c>
      <c r="C2739" s="1" t="s">
        <v>21</v>
      </c>
      <c r="D2739" s="1" t="s">
        <v>27</v>
      </c>
      <c r="E2739" s="1">
        <v>757249115.29999995</v>
      </c>
      <c r="F2739" s="1">
        <v>26227431.829999998</v>
      </c>
      <c r="G2739" s="1">
        <v>11176303</v>
      </c>
      <c r="H2739" s="1">
        <v>67.754884180000005</v>
      </c>
    </row>
    <row r="2740" spans="1:8" ht="15.75" thickBot="1" x14ac:dyDescent="0.3">
      <c r="A2740" s="1">
        <v>2016</v>
      </c>
      <c r="B2740" s="1" t="s">
        <v>11</v>
      </c>
      <c r="C2740" s="1" t="s">
        <v>9</v>
      </c>
      <c r="D2740" s="1" t="s">
        <v>31</v>
      </c>
      <c r="E2740" s="1">
        <v>3116908206</v>
      </c>
      <c r="F2740" s="1">
        <v>77549652.930000007</v>
      </c>
      <c r="G2740" s="1">
        <v>26687723</v>
      </c>
      <c r="H2740" s="1">
        <v>116.79183740000001</v>
      </c>
    </row>
    <row r="2741" spans="1:8" ht="15.75" thickBot="1" x14ac:dyDescent="0.3">
      <c r="A2741" s="1">
        <v>2014</v>
      </c>
      <c r="B2741" s="1" t="s">
        <v>17</v>
      </c>
      <c r="C2741" s="1" t="s">
        <v>18</v>
      </c>
      <c r="D2741" s="1" t="s">
        <v>13</v>
      </c>
      <c r="E2741" s="1">
        <v>1876.32</v>
      </c>
      <c r="F2741" s="1">
        <v>56.71</v>
      </c>
      <c r="G2741" s="1">
        <v>37</v>
      </c>
      <c r="H2741" s="1">
        <v>50.711351350000001</v>
      </c>
    </row>
    <row r="2742" spans="1:8" ht="15.75" thickBot="1" x14ac:dyDescent="0.3">
      <c r="A2742" s="1">
        <v>2017</v>
      </c>
      <c r="B2742" s="1" t="s">
        <v>16</v>
      </c>
      <c r="C2742" s="1" t="s">
        <v>21</v>
      </c>
      <c r="D2742" s="1" t="s">
        <v>32</v>
      </c>
      <c r="E2742" s="1">
        <v>228165135.30000001</v>
      </c>
      <c r="F2742" s="1">
        <v>8454635.0399999991</v>
      </c>
      <c r="G2742" s="1">
        <v>3958045</v>
      </c>
      <c r="H2742" s="1">
        <v>57.645917449999999</v>
      </c>
    </row>
    <row r="2743" spans="1:8" ht="15.75" thickBot="1" x14ac:dyDescent="0.3">
      <c r="A2743" s="1">
        <v>2016</v>
      </c>
      <c r="B2743" s="1" t="s">
        <v>12</v>
      </c>
      <c r="C2743" s="1" t="s">
        <v>28</v>
      </c>
      <c r="D2743" s="1" t="s">
        <v>13</v>
      </c>
      <c r="E2743" s="1">
        <v>106330.5</v>
      </c>
      <c r="F2743" s="1">
        <v>2491.12</v>
      </c>
      <c r="G2743" s="1">
        <v>1303</v>
      </c>
      <c r="H2743" s="1">
        <v>81.604374519999993</v>
      </c>
    </row>
    <row r="2744" spans="1:8" ht="15.75" thickBot="1" x14ac:dyDescent="0.3">
      <c r="A2744" s="1">
        <v>2016</v>
      </c>
      <c r="B2744" s="1" t="s">
        <v>17</v>
      </c>
      <c r="C2744" s="1" t="s">
        <v>15</v>
      </c>
      <c r="D2744" s="1" t="s">
        <v>27</v>
      </c>
      <c r="E2744" s="1">
        <v>291682360.30000001</v>
      </c>
      <c r="F2744" s="1">
        <v>9788695.8399999999</v>
      </c>
      <c r="G2744" s="1">
        <v>3796802</v>
      </c>
      <c r="H2744" s="1">
        <v>76.823168620000004</v>
      </c>
    </row>
    <row r="2745" spans="1:8" ht="15.75" thickBot="1" x14ac:dyDescent="0.3">
      <c r="A2745" s="1">
        <v>2016</v>
      </c>
      <c r="B2745" s="1" t="s">
        <v>30</v>
      </c>
      <c r="C2745" s="1" t="s">
        <v>25</v>
      </c>
      <c r="D2745" s="1" t="s">
        <v>27</v>
      </c>
      <c r="E2745" s="1">
        <v>690358496.5</v>
      </c>
      <c r="F2745" s="1">
        <v>25548780.329999998</v>
      </c>
      <c r="G2745" s="1">
        <v>12023971</v>
      </c>
      <c r="H2745" s="1">
        <v>57.415183089999999</v>
      </c>
    </row>
    <row r="2746" spans="1:8" ht="15.75" thickBot="1" x14ac:dyDescent="0.3">
      <c r="A2746" s="1">
        <v>2014</v>
      </c>
      <c r="B2746" s="1" t="s">
        <v>11</v>
      </c>
      <c r="C2746" s="1" t="s">
        <v>28</v>
      </c>
      <c r="D2746" s="1" t="s">
        <v>10</v>
      </c>
      <c r="E2746" s="1">
        <v>106915199.7</v>
      </c>
      <c r="F2746" s="1">
        <v>2286226.94</v>
      </c>
      <c r="G2746" s="1">
        <v>968854</v>
      </c>
      <c r="H2746" s="1">
        <v>110.3522303</v>
      </c>
    </row>
    <row r="2747" spans="1:8" ht="15.75" thickBot="1" x14ac:dyDescent="0.3">
      <c r="A2747" s="1">
        <v>2014</v>
      </c>
      <c r="B2747" s="1" t="s">
        <v>11</v>
      </c>
      <c r="C2747" s="1" t="s">
        <v>9</v>
      </c>
      <c r="D2747" s="1" t="s">
        <v>10</v>
      </c>
      <c r="E2747" s="1">
        <v>2547782.2999999998</v>
      </c>
      <c r="F2747" s="1">
        <v>113308.65</v>
      </c>
      <c r="G2747" s="1">
        <v>158121</v>
      </c>
      <c r="H2747" s="1">
        <v>16.112864829999999</v>
      </c>
    </row>
    <row r="2748" spans="1:8" ht="15.75" thickBot="1" x14ac:dyDescent="0.3">
      <c r="A2748" s="1">
        <v>2014</v>
      </c>
      <c r="B2748" s="1" t="s">
        <v>8</v>
      </c>
      <c r="C2748" s="1" t="s">
        <v>28</v>
      </c>
      <c r="D2748" s="1" t="s">
        <v>27</v>
      </c>
      <c r="E2748" s="1">
        <v>10200.26</v>
      </c>
      <c r="F2748" s="1">
        <v>327.92</v>
      </c>
      <c r="G2748" s="1">
        <v>135</v>
      </c>
      <c r="H2748" s="1">
        <v>75.557481480000007</v>
      </c>
    </row>
    <row r="2749" spans="1:8" ht="15.75" thickBot="1" x14ac:dyDescent="0.3">
      <c r="A2749" s="1">
        <v>2017</v>
      </c>
      <c r="B2749" s="1" t="s">
        <v>20</v>
      </c>
      <c r="C2749" s="1" t="s">
        <v>26</v>
      </c>
      <c r="D2749" s="1" t="s">
        <v>22</v>
      </c>
      <c r="E2749" s="1">
        <v>199.9</v>
      </c>
      <c r="F2749" s="1">
        <v>5.65</v>
      </c>
      <c r="G2749" s="1">
        <v>16</v>
      </c>
      <c r="H2749" s="1">
        <v>12.49375</v>
      </c>
    </row>
    <row r="2750" spans="1:8" ht="15.75" thickBot="1" x14ac:dyDescent="0.3">
      <c r="A2750" s="1">
        <v>2015</v>
      </c>
      <c r="B2750" s="1" t="s">
        <v>17</v>
      </c>
      <c r="C2750" s="1" t="s">
        <v>21</v>
      </c>
      <c r="D2750" s="1" t="s">
        <v>31</v>
      </c>
      <c r="E2750" s="1">
        <v>21896314.27</v>
      </c>
      <c r="F2750" s="1">
        <v>713618.17</v>
      </c>
      <c r="G2750" s="1">
        <v>377481</v>
      </c>
      <c r="H2750" s="1">
        <v>58.00640104</v>
      </c>
    </row>
    <row r="2751" spans="1:8" ht="15.75" thickBot="1" x14ac:dyDescent="0.3">
      <c r="A2751" s="1">
        <v>2017</v>
      </c>
      <c r="B2751" s="1" t="s">
        <v>12</v>
      </c>
      <c r="C2751" s="1" t="s">
        <v>23</v>
      </c>
      <c r="D2751" s="1" t="s">
        <v>27</v>
      </c>
      <c r="E2751" s="1">
        <v>14929916.859999999</v>
      </c>
      <c r="F2751" s="1">
        <v>633839.86</v>
      </c>
      <c r="G2751" s="1">
        <v>493193</v>
      </c>
      <c r="H2751" s="1">
        <v>30.27195613</v>
      </c>
    </row>
    <row r="2752" spans="1:8" ht="15.75" thickBot="1" x14ac:dyDescent="0.3">
      <c r="A2752" s="1">
        <v>2014</v>
      </c>
      <c r="B2752" s="1" t="s">
        <v>17</v>
      </c>
      <c r="C2752" s="1" t="s">
        <v>26</v>
      </c>
      <c r="D2752" s="1" t="s">
        <v>19</v>
      </c>
      <c r="E2752" s="1">
        <v>27138704.309999999</v>
      </c>
      <c r="F2752" s="1">
        <v>940362.85</v>
      </c>
      <c r="G2752" s="1">
        <v>154814</v>
      </c>
      <c r="H2752" s="1">
        <v>175.29877339999999</v>
      </c>
    </row>
    <row r="2753" spans="1:8" ht="15.75" thickBot="1" x14ac:dyDescent="0.3">
      <c r="A2753" s="1">
        <v>2014</v>
      </c>
      <c r="B2753" s="1" t="s">
        <v>30</v>
      </c>
      <c r="C2753" s="1" t="s">
        <v>28</v>
      </c>
      <c r="D2753" s="1" t="s">
        <v>27</v>
      </c>
      <c r="E2753" s="1">
        <v>625555700.29999995</v>
      </c>
      <c r="F2753" s="1">
        <v>21326804.149999999</v>
      </c>
      <c r="G2753" s="1">
        <v>7832037</v>
      </c>
      <c r="H2753" s="1">
        <v>79.871392369999995</v>
      </c>
    </row>
    <row r="2754" spans="1:8" ht="15.75" thickBot="1" x14ac:dyDescent="0.3">
      <c r="A2754" s="1">
        <v>2017</v>
      </c>
      <c r="B2754" s="1" t="s">
        <v>14</v>
      </c>
      <c r="C2754" s="1" t="s">
        <v>18</v>
      </c>
      <c r="D2754" s="1" t="s">
        <v>31</v>
      </c>
      <c r="E2754" s="1">
        <v>263081.28000000003</v>
      </c>
      <c r="F2754" s="1">
        <v>10357.27</v>
      </c>
      <c r="G2754" s="1">
        <v>5838</v>
      </c>
      <c r="H2754" s="1">
        <v>45.063597119999997</v>
      </c>
    </row>
    <row r="2755" spans="1:8" ht="15.75" thickBot="1" x14ac:dyDescent="0.3">
      <c r="A2755" s="1">
        <v>2016</v>
      </c>
      <c r="B2755" s="1" t="s">
        <v>14</v>
      </c>
      <c r="C2755" s="1" t="s">
        <v>28</v>
      </c>
      <c r="D2755" s="1" t="s">
        <v>13</v>
      </c>
      <c r="E2755" s="1">
        <v>1635533.98</v>
      </c>
      <c r="F2755" s="1">
        <v>31790.29</v>
      </c>
      <c r="G2755" s="1">
        <v>24055</v>
      </c>
      <c r="H2755" s="1">
        <v>67.991435460000005</v>
      </c>
    </row>
    <row r="2756" spans="1:8" ht="15.75" thickBot="1" x14ac:dyDescent="0.3">
      <c r="A2756" s="1">
        <v>2017</v>
      </c>
      <c r="B2756" s="1" t="s">
        <v>20</v>
      </c>
      <c r="C2756" s="1" t="s">
        <v>21</v>
      </c>
      <c r="D2756" s="1" t="s">
        <v>34</v>
      </c>
      <c r="E2756" s="1">
        <v>13928.82</v>
      </c>
      <c r="F2756" s="1">
        <v>545.83000000000004</v>
      </c>
      <c r="G2756" s="1">
        <v>477</v>
      </c>
      <c r="H2756" s="1">
        <v>29.2008805</v>
      </c>
    </row>
    <row r="2757" spans="1:8" ht="15.75" thickBot="1" x14ac:dyDescent="0.3">
      <c r="A2757" s="1">
        <v>2016</v>
      </c>
      <c r="B2757" s="1" t="s">
        <v>17</v>
      </c>
      <c r="C2757" s="1" t="s">
        <v>9</v>
      </c>
      <c r="D2757" s="1" t="s">
        <v>31</v>
      </c>
      <c r="E2757" s="1">
        <v>1293304774</v>
      </c>
      <c r="F2757" s="1">
        <v>35370754.75</v>
      </c>
      <c r="G2757" s="1">
        <v>14819598</v>
      </c>
      <c r="H2757" s="1">
        <v>87.269895869999999</v>
      </c>
    </row>
    <row r="2758" spans="1:8" ht="15.75" thickBot="1" x14ac:dyDescent="0.3">
      <c r="A2758" s="1">
        <v>2017</v>
      </c>
      <c r="B2758" s="1" t="s">
        <v>17</v>
      </c>
      <c r="C2758" s="1" t="s">
        <v>18</v>
      </c>
      <c r="D2758" s="1" t="s">
        <v>31</v>
      </c>
      <c r="E2758" s="1">
        <v>3618603.43</v>
      </c>
      <c r="F2758" s="1">
        <v>121380.47</v>
      </c>
      <c r="G2758" s="1">
        <v>56479</v>
      </c>
      <c r="H2758" s="1">
        <v>64.069891999999996</v>
      </c>
    </row>
    <row r="2759" spans="1:8" ht="15.75" thickBot="1" x14ac:dyDescent="0.3">
      <c r="A2759" s="1">
        <v>2015</v>
      </c>
      <c r="B2759" s="1" t="s">
        <v>35</v>
      </c>
      <c r="C2759" s="1" t="s">
        <v>12</v>
      </c>
      <c r="D2759" s="1" t="s">
        <v>29</v>
      </c>
      <c r="E2759" s="1">
        <v>4610.37</v>
      </c>
      <c r="F2759" s="1">
        <v>132.94</v>
      </c>
      <c r="G2759" s="1">
        <v>52</v>
      </c>
      <c r="H2759" s="1">
        <v>88.660961540000002</v>
      </c>
    </row>
    <row r="2760" spans="1:8" ht="15.75" thickBot="1" x14ac:dyDescent="0.3">
      <c r="A2760" s="1">
        <v>2014</v>
      </c>
      <c r="B2760" s="1" t="s">
        <v>17</v>
      </c>
      <c r="C2760" s="1" t="s">
        <v>28</v>
      </c>
      <c r="D2760" s="1" t="s">
        <v>22</v>
      </c>
      <c r="E2760" s="1">
        <v>1608360.57</v>
      </c>
      <c r="F2760" s="1">
        <v>54570.13</v>
      </c>
      <c r="G2760" s="1">
        <v>80369</v>
      </c>
      <c r="H2760" s="1">
        <v>20.012200849999999</v>
      </c>
    </row>
    <row r="2761" spans="1:8" ht="15.75" thickBot="1" x14ac:dyDescent="0.3">
      <c r="A2761" s="1">
        <v>2015</v>
      </c>
      <c r="B2761" s="1" t="s">
        <v>14</v>
      </c>
      <c r="C2761" s="1" t="s">
        <v>23</v>
      </c>
      <c r="D2761" s="1" t="s">
        <v>32</v>
      </c>
      <c r="E2761" s="1">
        <v>22314918.059999999</v>
      </c>
      <c r="F2761" s="1">
        <v>970125.46</v>
      </c>
      <c r="G2761" s="1">
        <v>735442</v>
      </c>
      <c r="H2761" s="1">
        <v>30.342186139999999</v>
      </c>
    </row>
    <row r="2762" spans="1:8" ht="15.75" thickBot="1" x14ac:dyDescent="0.3">
      <c r="A2762" s="1">
        <v>2014</v>
      </c>
      <c r="B2762" s="1" t="s">
        <v>16</v>
      </c>
      <c r="C2762" s="1" t="s">
        <v>9</v>
      </c>
      <c r="D2762" s="1" t="s">
        <v>22</v>
      </c>
      <c r="E2762" s="1">
        <v>91.36</v>
      </c>
      <c r="F2762" s="1">
        <v>7.26</v>
      </c>
      <c r="G2762" s="1">
        <v>351</v>
      </c>
      <c r="H2762" s="1">
        <v>0.26028490030000001</v>
      </c>
    </row>
    <row r="2763" spans="1:8" ht="15.75" thickBot="1" x14ac:dyDescent="0.3">
      <c r="A2763" s="1">
        <v>2015</v>
      </c>
      <c r="B2763" s="1" t="s">
        <v>30</v>
      </c>
      <c r="C2763" s="1" t="s">
        <v>33</v>
      </c>
      <c r="D2763" s="1" t="s">
        <v>13</v>
      </c>
      <c r="E2763" s="1">
        <v>1417211.96</v>
      </c>
      <c r="F2763" s="1">
        <v>37091.339999999997</v>
      </c>
      <c r="G2763" s="1">
        <v>16860</v>
      </c>
      <c r="H2763" s="1">
        <v>84.057648869999994</v>
      </c>
    </row>
    <row r="2764" spans="1:8" ht="15.75" thickBot="1" x14ac:dyDescent="0.3">
      <c r="A2764" s="1">
        <v>2017</v>
      </c>
      <c r="B2764" s="1" t="s">
        <v>35</v>
      </c>
      <c r="C2764" s="1" t="s">
        <v>23</v>
      </c>
      <c r="D2764" s="1" t="s">
        <v>19</v>
      </c>
      <c r="E2764" s="1">
        <v>13462.44</v>
      </c>
      <c r="F2764" s="1">
        <v>717.87</v>
      </c>
      <c r="G2764" s="1">
        <v>150</v>
      </c>
      <c r="H2764" s="1">
        <v>89.749600000000001</v>
      </c>
    </row>
    <row r="2765" spans="1:8" ht="15.75" thickBot="1" x14ac:dyDescent="0.3">
      <c r="A2765" s="1">
        <v>2015</v>
      </c>
      <c r="B2765" s="1" t="s">
        <v>8</v>
      </c>
      <c r="C2765" s="1" t="s">
        <v>12</v>
      </c>
      <c r="D2765" s="1" t="s">
        <v>29</v>
      </c>
      <c r="E2765" s="1">
        <v>757.45</v>
      </c>
      <c r="F2765" s="1">
        <v>22.27</v>
      </c>
      <c r="G2765" s="1">
        <v>1</v>
      </c>
      <c r="H2765" s="1">
        <v>757.45</v>
      </c>
    </row>
    <row r="2766" spans="1:8" ht="15.75" thickBot="1" x14ac:dyDescent="0.3">
      <c r="A2766" s="1">
        <v>2016</v>
      </c>
      <c r="B2766" s="1" t="s">
        <v>35</v>
      </c>
      <c r="C2766" s="1" t="s">
        <v>23</v>
      </c>
      <c r="D2766" s="1" t="s">
        <v>10</v>
      </c>
      <c r="E2766" s="1">
        <v>-16</v>
      </c>
      <c r="F2766" s="1">
        <v>0</v>
      </c>
      <c r="G2766" s="1">
        <v>24</v>
      </c>
      <c r="H2766" s="1">
        <v>-0.66666666669999997</v>
      </c>
    </row>
    <row r="2767" spans="1:8" ht="15.75" thickBot="1" x14ac:dyDescent="0.3">
      <c r="A2767" s="1">
        <v>2015</v>
      </c>
      <c r="B2767" s="1" t="s">
        <v>14</v>
      </c>
      <c r="C2767" s="1" t="s">
        <v>15</v>
      </c>
      <c r="D2767" s="1" t="s">
        <v>22</v>
      </c>
      <c r="E2767" s="1">
        <v>13152.42</v>
      </c>
      <c r="F2767" s="1">
        <v>364.12</v>
      </c>
      <c r="G2767" s="1">
        <v>607</v>
      </c>
      <c r="H2767" s="1">
        <v>21.66790774</v>
      </c>
    </row>
    <row r="2768" spans="1:8" ht="15.75" thickBot="1" x14ac:dyDescent="0.3">
      <c r="A2768" s="1">
        <v>2015</v>
      </c>
      <c r="B2768" s="1" t="s">
        <v>20</v>
      </c>
      <c r="C2768" s="1" t="s">
        <v>26</v>
      </c>
      <c r="D2768" s="1" t="s">
        <v>32</v>
      </c>
      <c r="E2768" s="1">
        <v>2081143.04</v>
      </c>
      <c r="F2768" s="1">
        <v>91139.94</v>
      </c>
      <c r="G2768" s="1">
        <v>86451</v>
      </c>
      <c r="H2768" s="1">
        <v>24.073093889999999</v>
      </c>
    </row>
    <row r="2769" spans="1:8" ht="15.75" thickBot="1" x14ac:dyDescent="0.3">
      <c r="A2769" s="1">
        <v>2017</v>
      </c>
      <c r="B2769" s="1" t="s">
        <v>11</v>
      </c>
      <c r="C2769" s="1" t="s">
        <v>18</v>
      </c>
      <c r="D2769" s="1" t="s">
        <v>32</v>
      </c>
      <c r="E2769" s="1">
        <v>15177115.02</v>
      </c>
      <c r="F2769" s="1">
        <v>480190.77</v>
      </c>
      <c r="G2769" s="1">
        <v>246813</v>
      </c>
      <c r="H2769" s="1">
        <v>61.49236475</v>
      </c>
    </row>
    <row r="2770" spans="1:8" ht="15.75" thickBot="1" x14ac:dyDescent="0.3">
      <c r="A2770" s="1">
        <v>2014</v>
      </c>
      <c r="B2770" s="1" t="s">
        <v>20</v>
      </c>
      <c r="C2770" s="1" t="s">
        <v>26</v>
      </c>
      <c r="D2770" s="1" t="s">
        <v>13</v>
      </c>
      <c r="E2770" s="1">
        <v>3615.65</v>
      </c>
      <c r="F2770" s="1">
        <v>159.03</v>
      </c>
      <c r="G2770" s="1">
        <v>309</v>
      </c>
      <c r="H2770" s="1">
        <v>11.70113269</v>
      </c>
    </row>
    <row r="2771" spans="1:8" ht="15.75" thickBot="1" x14ac:dyDescent="0.3">
      <c r="A2771" s="1">
        <v>2016</v>
      </c>
      <c r="B2771" s="1" t="s">
        <v>12</v>
      </c>
      <c r="C2771" s="1" t="s">
        <v>28</v>
      </c>
      <c r="D2771" s="1" t="s">
        <v>29</v>
      </c>
      <c r="E2771" s="1">
        <v>7083757.21</v>
      </c>
      <c r="F2771" s="1">
        <v>199619.87</v>
      </c>
      <c r="G2771" s="1">
        <v>10503</v>
      </c>
      <c r="H2771" s="1">
        <v>674.45084359999998</v>
      </c>
    </row>
    <row r="2772" spans="1:8" ht="15.75" thickBot="1" x14ac:dyDescent="0.3">
      <c r="A2772" s="1">
        <v>2015</v>
      </c>
      <c r="B2772" s="1" t="s">
        <v>14</v>
      </c>
      <c r="C2772" s="1" t="s">
        <v>12</v>
      </c>
      <c r="D2772" s="1" t="s">
        <v>13</v>
      </c>
      <c r="E2772" s="1">
        <v>170553.43</v>
      </c>
      <c r="F2772" s="1">
        <v>6868.21</v>
      </c>
      <c r="G2772" s="1">
        <v>6257</v>
      </c>
      <c r="H2772" s="1">
        <v>27.258019820000001</v>
      </c>
    </row>
    <row r="2773" spans="1:8" ht="15.75" thickBot="1" x14ac:dyDescent="0.3">
      <c r="A2773" s="1">
        <v>2017</v>
      </c>
      <c r="B2773" s="1" t="s">
        <v>17</v>
      </c>
      <c r="C2773" s="1" t="s">
        <v>18</v>
      </c>
      <c r="D2773" s="1" t="s">
        <v>13</v>
      </c>
      <c r="E2773" s="1">
        <v>433161.28</v>
      </c>
      <c r="F2773" s="1">
        <v>13147.45</v>
      </c>
      <c r="G2773" s="1">
        <v>8200</v>
      </c>
      <c r="H2773" s="1">
        <v>52.824546339999998</v>
      </c>
    </row>
    <row r="2774" spans="1:8" ht="15.75" thickBot="1" x14ac:dyDescent="0.3">
      <c r="A2774" s="1">
        <v>2017</v>
      </c>
      <c r="B2774" s="1" t="s">
        <v>11</v>
      </c>
      <c r="C2774" s="1" t="s">
        <v>18</v>
      </c>
      <c r="D2774" s="1" t="s">
        <v>24</v>
      </c>
      <c r="E2774" s="1">
        <v>1411466.96</v>
      </c>
      <c r="F2774" s="1">
        <v>44275.5</v>
      </c>
      <c r="G2774" s="1">
        <v>3014</v>
      </c>
      <c r="H2774" s="1">
        <v>468.30356999999998</v>
      </c>
    </row>
    <row r="2775" spans="1:8" ht="15.75" thickBot="1" x14ac:dyDescent="0.3">
      <c r="A2775" s="1">
        <v>2015</v>
      </c>
      <c r="B2775" s="1" t="s">
        <v>35</v>
      </c>
      <c r="C2775" s="1" t="s">
        <v>9</v>
      </c>
      <c r="D2775" s="1" t="s">
        <v>32</v>
      </c>
      <c r="E2775" s="1">
        <v>6466.69</v>
      </c>
      <c r="F2775" s="1">
        <v>289.61</v>
      </c>
      <c r="G2775" s="1">
        <v>913</v>
      </c>
      <c r="H2775" s="1">
        <v>7.0829025190000001</v>
      </c>
    </row>
    <row r="2776" spans="1:8" ht="15.75" thickBot="1" x14ac:dyDescent="0.3">
      <c r="A2776" s="1">
        <v>2017</v>
      </c>
      <c r="B2776" s="1" t="s">
        <v>12</v>
      </c>
      <c r="C2776" s="1" t="s">
        <v>25</v>
      </c>
      <c r="D2776" s="1" t="s">
        <v>27</v>
      </c>
      <c r="E2776" s="1">
        <v>18328426.5</v>
      </c>
      <c r="F2776" s="1">
        <v>731631.27</v>
      </c>
      <c r="G2776" s="1">
        <v>491107</v>
      </c>
      <c r="H2776" s="1">
        <v>37.320637869999999</v>
      </c>
    </row>
    <row r="2777" spans="1:8" ht="15.75" thickBot="1" x14ac:dyDescent="0.3">
      <c r="A2777" s="1">
        <v>2015</v>
      </c>
      <c r="B2777" s="1" t="s">
        <v>16</v>
      </c>
      <c r="C2777" s="1" t="s">
        <v>28</v>
      </c>
      <c r="D2777" s="1" t="s">
        <v>31</v>
      </c>
      <c r="E2777" s="1">
        <v>3292111.04</v>
      </c>
      <c r="F2777" s="1">
        <v>120162.66</v>
      </c>
      <c r="G2777" s="1">
        <v>54386</v>
      </c>
      <c r="H2777" s="1">
        <v>60.532325229999998</v>
      </c>
    </row>
    <row r="2778" spans="1:8" ht="15.75" thickBot="1" x14ac:dyDescent="0.3">
      <c r="A2778" s="1">
        <v>2017</v>
      </c>
      <c r="B2778" s="1" t="s">
        <v>40</v>
      </c>
      <c r="C2778" s="1" t="s">
        <v>25</v>
      </c>
      <c r="D2778" s="1" t="s">
        <v>31</v>
      </c>
      <c r="E2778" s="1">
        <v>441.42</v>
      </c>
      <c r="F2778" s="1">
        <v>23.38</v>
      </c>
      <c r="G2778" s="1">
        <v>24</v>
      </c>
      <c r="H2778" s="1">
        <v>18.392499999999998</v>
      </c>
    </row>
    <row r="2779" spans="1:8" ht="15.75" thickBot="1" x14ac:dyDescent="0.3">
      <c r="A2779" s="1">
        <v>2015</v>
      </c>
      <c r="B2779" s="1" t="s">
        <v>40</v>
      </c>
      <c r="C2779" s="1" t="s">
        <v>28</v>
      </c>
      <c r="D2779" s="1" t="s">
        <v>32</v>
      </c>
      <c r="E2779" s="1">
        <v>6960.84</v>
      </c>
      <c r="F2779" s="1">
        <v>212.94</v>
      </c>
      <c r="G2779" s="1">
        <v>120</v>
      </c>
      <c r="H2779" s="1">
        <v>58.006999999999998</v>
      </c>
    </row>
    <row r="2780" spans="1:8" ht="15.75" thickBot="1" x14ac:dyDescent="0.3">
      <c r="A2780" s="1">
        <v>2014</v>
      </c>
      <c r="B2780" s="1" t="s">
        <v>30</v>
      </c>
      <c r="C2780" s="1" t="s">
        <v>18</v>
      </c>
      <c r="D2780" s="1" t="s">
        <v>13</v>
      </c>
      <c r="E2780" s="1">
        <v>25539.71</v>
      </c>
      <c r="F2780" s="1">
        <v>608.58000000000004</v>
      </c>
      <c r="G2780" s="1">
        <v>410</v>
      </c>
      <c r="H2780" s="1">
        <v>62.291975610000001</v>
      </c>
    </row>
    <row r="2781" spans="1:8" ht="15.75" thickBot="1" x14ac:dyDescent="0.3">
      <c r="A2781" s="1">
        <v>2016</v>
      </c>
      <c r="B2781" s="1" t="s">
        <v>12</v>
      </c>
      <c r="C2781" s="1" t="s">
        <v>21</v>
      </c>
      <c r="D2781" s="1" t="s">
        <v>24</v>
      </c>
      <c r="E2781" s="1">
        <v>3464509.06</v>
      </c>
      <c r="F2781" s="1">
        <v>110331.14</v>
      </c>
      <c r="G2781" s="1">
        <v>10175</v>
      </c>
      <c r="H2781" s="1">
        <v>340.4922909</v>
      </c>
    </row>
    <row r="2782" spans="1:8" ht="15.75" thickBot="1" x14ac:dyDescent="0.3">
      <c r="A2782" s="1">
        <v>2014</v>
      </c>
      <c r="B2782" s="1" t="s">
        <v>16</v>
      </c>
      <c r="C2782" s="1" t="s">
        <v>9</v>
      </c>
      <c r="D2782" s="1" t="s">
        <v>32</v>
      </c>
      <c r="E2782" s="1">
        <v>380931608.89999998</v>
      </c>
      <c r="F2782" s="1">
        <v>12804965.529999999</v>
      </c>
      <c r="G2782" s="1">
        <v>4311068</v>
      </c>
      <c r="H2782" s="1">
        <v>88.361308350000002</v>
      </c>
    </row>
    <row r="2783" spans="1:8" ht="15.75" thickBot="1" x14ac:dyDescent="0.3">
      <c r="A2783" s="1">
        <v>2016</v>
      </c>
      <c r="B2783" s="1" t="s">
        <v>11</v>
      </c>
      <c r="C2783" s="1" t="s">
        <v>15</v>
      </c>
      <c r="D2783" s="1" t="s">
        <v>19</v>
      </c>
      <c r="E2783" s="1">
        <v>3207348.97</v>
      </c>
      <c r="F2783" s="1">
        <v>103371.92</v>
      </c>
      <c r="G2783" s="1">
        <v>22093</v>
      </c>
      <c r="H2783" s="1">
        <v>145.17489570000001</v>
      </c>
    </row>
    <row r="2784" spans="1:8" ht="15.75" thickBot="1" x14ac:dyDescent="0.3">
      <c r="A2784" s="1">
        <v>2014</v>
      </c>
      <c r="B2784" s="1" t="s">
        <v>12</v>
      </c>
      <c r="C2784" s="1" t="s">
        <v>9</v>
      </c>
      <c r="D2784" s="1" t="s">
        <v>24</v>
      </c>
      <c r="E2784" s="1">
        <v>4260079.08</v>
      </c>
      <c r="F2784" s="1">
        <v>133730.5</v>
      </c>
      <c r="G2784" s="1">
        <v>14981</v>
      </c>
      <c r="H2784" s="1">
        <v>284.36546829999997</v>
      </c>
    </row>
    <row r="2785" spans="1:8" ht="15.75" thickBot="1" x14ac:dyDescent="0.3">
      <c r="A2785" s="1">
        <v>2014</v>
      </c>
      <c r="B2785" s="1" t="s">
        <v>30</v>
      </c>
      <c r="C2785" s="1" t="s">
        <v>18</v>
      </c>
      <c r="D2785" s="1" t="s">
        <v>24</v>
      </c>
      <c r="E2785" s="1">
        <v>7894780.0499999998</v>
      </c>
      <c r="F2785" s="1">
        <v>246912.18</v>
      </c>
      <c r="G2785" s="1">
        <v>34202</v>
      </c>
      <c r="H2785" s="1">
        <v>230.82802319999999</v>
      </c>
    </row>
    <row r="2786" spans="1:8" ht="15.75" thickBot="1" x14ac:dyDescent="0.3">
      <c r="A2786" s="1">
        <v>2014</v>
      </c>
      <c r="B2786" s="1" t="s">
        <v>17</v>
      </c>
      <c r="C2786" s="1" t="s">
        <v>9</v>
      </c>
      <c r="D2786" s="1" t="s">
        <v>13</v>
      </c>
      <c r="E2786" s="1">
        <v>-29.18</v>
      </c>
      <c r="F2786" s="1">
        <v>0.87</v>
      </c>
      <c r="G2786" s="1">
        <v>9</v>
      </c>
      <c r="H2786" s="1">
        <v>-3.2422222220000001</v>
      </c>
    </row>
    <row r="2787" spans="1:8" ht="15.75" thickBot="1" x14ac:dyDescent="0.3">
      <c r="A2787" s="1">
        <v>2016</v>
      </c>
      <c r="B2787" s="1" t="s">
        <v>8</v>
      </c>
      <c r="C2787" s="1" t="s">
        <v>26</v>
      </c>
      <c r="D2787" s="1" t="s">
        <v>19</v>
      </c>
      <c r="E2787" s="1">
        <v>1129.8699999999999</v>
      </c>
      <c r="F2787" s="1">
        <v>25.23</v>
      </c>
      <c r="G2787" s="1">
        <v>19</v>
      </c>
      <c r="H2787" s="1">
        <v>59.466842110000002</v>
      </c>
    </row>
    <row r="2788" spans="1:8" ht="15.75" thickBot="1" x14ac:dyDescent="0.3">
      <c r="A2788" s="1">
        <v>2016</v>
      </c>
      <c r="B2788" s="1" t="s">
        <v>17</v>
      </c>
      <c r="C2788" s="1" t="s">
        <v>12</v>
      </c>
      <c r="D2788" s="1" t="s">
        <v>19</v>
      </c>
      <c r="E2788" s="1">
        <v>13350850.130000001</v>
      </c>
      <c r="F2788" s="1">
        <v>500823.17</v>
      </c>
      <c r="G2788" s="1">
        <v>87254</v>
      </c>
      <c r="H2788" s="1">
        <v>153.01132480000001</v>
      </c>
    </row>
    <row r="2789" spans="1:8" ht="15.75" thickBot="1" x14ac:dyDescent="0.3">
      <c r="A2789" s="1">
        <v>2015</v>
      </c>
      <c r="B2789" s="1" t="s">
        <v>16</v>
      </c>
      <c r="C2789" s="1" t="s">
        <v>21</v>
      </c>
      <c r="D2789" s="1" t="s">
        <v>29</v>
      </c>
      <c r="E2789" s="1">
        <v>21102844.559999999</v>
      </c>
      <c r="F2789" s="1">
        <v>730874.02</v>
      </c>
      <c r="G2789" s="1">
        <v>88310</v>
      </c>
      <c r="H2789" s="1">
        <v>238.96324949999999</v>
      </c>
    </row>
    <row r="2790" spans="1:8" ht="15.75" thickBot="1" x14ac:dyDescent="0.3">
      <c r="A2790" s="1">
        <v>2014</v>
      </c>
      <c r="B2790" s="1" t="s">
        <v>12</v>
      </c>
      <c r="C2790" s="1" t="s">
        <v>15</v>
      </c>
      <c r="D2790" s="1" t="s">
        <v>29</v>
      </c>
      <c r="E2790" s="1">
        <v>2140003.25</v>
      </c>
      <c r="F2790" s="1">
        <v>66054.37</v>
      </c>
      <c r="G2790" s="1">
        <v>5455</v>
      </c>
      <c r="H2790" s="1">
        <v>392.30123739999999</v>
      </c>
    </row>
    <row r="2791" spans="1:8" ht="15.75" thickBot="1" x14ac:dyDescent="0.3">
      <c r="A2791" s="1">
        <v>2017</v>
      </c>
      <c r="B2791" s="1" t="s">
        <v>20</v>
      </c>
      <c r="C2791" s="1" t="s">
        <v>18</v>
      </c>
      <c r="D2791" s="1" t="s">
        <v>34</v>
      </c>
      <c r="E2791" s="1">
        <v>266.41000000000003</v>
      </c>
      <c r="F2791" s="1">
        <v>9.9499999999999993</v>
      </c>
      <c r="G2791" s="1">
        <v>10</v>
      </c>
      <c r="H2791" s="1">
        <v>26.640999999999998</v>
      </c>
    </row>
    <row r="2792" spans="1:8" ht="15.75" thickBot="1" x14ac:dyDescent="0.3">
      <c r="A2792" s="1">
        <v>2017</v>
      </c>
      <c r="B2792" s="1" t="s">
        <v>11</v>
      </c>
      <c r="C2792" s="1" t="s">
        <v>21</v>
      </c>
      <c r="D2792" s="1" t="s">
        <v>19</v>
      </c>
      <c r="E2792" s="1">
        <v>8832671.0800000001</v>
      </c>
      <c r="F2792" s="1">
        <v>293723.05</v>
      </c>
      <c r="G2792" s="1">
        <v>58366</v>
      </c>
      <c r="H2792" s="1">
        <v>151.33247230000001</v>
      </c>
    </row>
    <row r="2793" spans="1:8" ht="15.75" thickBot="1" x14ac:dyDescent="0.3">
      <c r="A2793" s="1">
        <v>2016</v>
      </c>
      <c r="B2793" s="1" t="s">
        <v>17</v>
      </c>
      <c r="C2793" s="1" t="s">
        <v>18</v>
      </c>
      <c r="D2793" s="1" t="s">
        <v>13</v>
      </c>
      <c r="E2793" s="1">
        <v>114995.8</v>
      </c>
      <c r="F2793" s="1">
        <v>3340.48</v>
      </c>
      <c r="G2793" s="1">
        <v>2269</v>
      </c>
      <c r="H2793" s="1">
        <v>50.681269280000002</v>
      </c>
    </row>
    <row r="2794" spans="1:8" ht="15.75" thickBot="1" x14ac:dyDescent="0.3">
      <c r="A2794" s="1">
        <v>2017</v>
      </c>
      <c r="B2794" s="1" t="s">
        <v>8</v>
      </c>
      <c r="C2794" s="1" t="s">
        <v>15</v>
      </c>
      <c r="D2794" s="1" t="s">
        <v>10</v>
      </c>
      <c r="E2794" s="1">
        <v>201.5</v>
      </c>
      <c r="F2794" s="1">
        <v>8.42</v>
      </c>
      <c r="G2794" s="1">
        <v>2</v>
      </c>
      <c r="H2794" s="1">
        <v>100.75</v>
      </c>
    </row>
    <row r="2795" spans="1:8" ht="15.75" thickBot="1" x14ac:dyDescent="0.3">
      <c r="A2795" s="1">
        <v>2017</v>
      </c>
      <c r="B2795" s="1" t="s">
        <v>11</v>
      </c>
      <c r="C2795" s="1" t="s">
        <v>26</v>
      </c>
      <c r="D2795" s="1" t="s">
        <v>27</v>
      </c>
      <c r="E2795" s="1">
        <v>325669167.10000002</v>
      </c>
      <c r="F2795" s="1">
        <v>9374595.9000000004</v>
      </c>
      <c r="G2795" s="1">
        <v>6299525</v>
      </c>
      <c r="H2795" s="1">
        <v>51.697416410000002</v>
      </c>
    </row>
    <row r="2796" spans="1:8" ht="15.75" thickBot="1" x14ac:dyDescent="0.3">
      <c r="A2796" s="1">
        <v>2015</v>
      </c>
      <c r="B2796" s="1" t="s">
        <v>20</v>
      </c>
      <c r="C2796" s="1" t="s">
        <v>28</v>
      </c>
      <c r="D2796" s="1" t="s">
        <v>13</v>
      </c>
      <c r="E2796" s="1">
        <v>42403.48</v>
      </c>
      <c r="F2796" s="1">
        <v>1345.29</v>
      </c>
      <c r="G2796" s="1">
        <v>558</v>
      </c>
      <c r="H2796" s="1">
        <v>75.99189964</v>
      </c>
    </row>
    <row r="2797" spans="1:8" ht="15.75" thickBot="1" x14ac:dyDescent="0.3">
      <c r="A2797" s="1">
        <v>2016</v>
      </c>
      <c r="B2797" s="1" t="s">
        <v>30</v>
      </c>
      <c r="C2797" s="1" t="s">
        <v>18</v>
      </c>
      <c r="D2797" s="1" t="s">
        <v>13</v>
      </c>
      <c r="E2797" s="1">
        <v>373244.86</v>
      </c>
      <c r="F2797" s="1">
        <v>8905.94</v>
      </c>
      <c r="G2797" s="1">
        <v>4290</v>
      </c>
      <c r="H2797" s="1">
        <v>87.003463870000004</v>
      </c>
    </row>
    <row r="2798" spans="1:8" ht="15.75" thickBot="1" x14ac:dyDescent="0.3">
      <c r="A2798" s="1">
        <v>2016</v>
      </c>
      <c r="B2798" s="1" t="s">
        <v>11</v>
      </c>
      <c r="C2798" s="1" t="s">
        <v>26</v>
      </c>
      <c r="D2798" s="1" t="s">
        <v>10</v>
      </c>
      <c r="E2798" s="1">
        <v>332007441.60000002</v>
      </c>
      <c r="F2798" s="1">
        <v>7142547.9800000004</v>
      </c>
      <c r="G2798" s="1">
        <v>5091837</v>
      </c>
      <c r="H2798" s="1">
        <v>65.203862889999996</v>
      </c>
    </row>
    <row r="2799" spans="1:8" ht="15.75" thickBot="1" x14ac:dyDescent="0.3">
      <c r="A2799" s="1">
        <v>2014</v>
      </c>
      <c r="B2799" s="1" t="s">
        <v>12</v>
      </c>
      <c r="C2799" s="1" t="s">
        <v>26</v>
      </c>
      <c r="D2799" s="1" t="s">
        <v>24</v>
      </c>
      <c r="E2799" s="1">
        <v>1039771.24</v>
      </c>
      <c r="F2799" s="1">
        <v>34974.31</v>
      </c>
      <c r="G2799" s="1">
        <v>5289</v>
      </c>
      <c r="H2799" s="1">
        <v>196.5912725</v>
      </c>
    </row>
    <row r="2800" spans="1:8" ht="15.75" thickBot="1" x14ac:dyDescent="0.3">
      <c r="A2800" s="1">
        <v>2014</v>
      </c>
      <c r="B2800" s="1" t="s">
        <v>14</v>
      </c>
      <c r="C2800" s="1" t="s">
        <v>12</v>
      </c>
      <c r="D2800" s="1" t="s">
        <v>13</v>
      </c>
      <c r="E2800" s="1">
        <v>43723.26</v>
      </c>
      <c r="F2800" s="1">
        <v>1563.74</v>
      </c>
      <c r="G2800" s="1">
        <v>819</v>
      </c>
      <c r="H2800" s="1">
        <v>53.386153849999999</v>
      </c>
    </row>
    <row r="2801" spans="1:8" ht="15.75" thickBot="1" x14ac:dyDescent="0.3">
      <c r="A2801" s="1">
        <v>2015</v>
      </c>
      <c r="B2801" s="1" t="s">
        <v>16</v>
      </c>
      <c r="C2801" s="1" t="s">
        <v>25</v>
      </c>
      <c r="D2801" s="1" t="s">
        <v>22</v>
      </c>
      <c r="E2801" s="1">
        <v>187601.21</v>
      </c>
      <c r="F2801" s="1">
        <v>5803.07</v>
      </c>
      <c r="G2801" s="1">
        <v>10755</v>
      </c>
      <c r="H2801" s="1">
        <v>17.44316225</v>
      </c>
    </row>
    <row r="2802" spans="1:8" ht="15.75" thickBot="1" x14ac:dyDescent="0.3">
      <c r="A2802" s="1">
        <v>2016</v>
      </c>
      <c r="B2802" s="1" t="s">
        <v>14</v>
      </c>
      <c r="C2802" s="1" t="s">
        <v>9</v>
      </c>
      <c r="D2802" s="1" t="s">
        <v>13</v>
      </c>
      <c r="E2802" s="1">
        <v>2647.6</v>
      </c>
      <c r="F2802" s="1">
        <v>105.02</v>
      </c>
      <c r="G2802" s="1">
        <v>440</v>
      </c>
      <c r="H2802" s="1">
        <v>6.0172727269999999</v>
      </c>
    </row>
    <row r="2803" spans="1:8" ht="15.75" thickBot="1" x14ac:dyDescent="0.3">
      <c r="A2803" s="1">
        <v>2014</v>
      </c>
      <c r="B2803" s="1" t="s">
        <v>12</v>
      </c>
      <c r="C2803" s="1" t="s">
        <v>23</v>
      </c>
      <c r="D2803" s="1" t="s">
        <v>19</v>
      </c>
      <c r="E2803" s="1">
        <v>1770238.93</v>
      </c>
      <c r="F2803" s="1">
        <v>58545.36</v>
      </c>
      <c r="G2803" s="1">
        <v>29008</v>
      </c>
      <c r="H2803" s="1">
        <v>61.025886999999997</v>
      </c>
    </row>
    <row r="2804" spans="1:8" ht="15.75" thickBot="1" x14ac:dyDescent="0.3">
      <c r="A2804" s="1">
        <v>2017</v>
      </c>
      <c r="B2804" s="1" t="s">
        <v>11</v>
      </c>
      <c r="C2804" s="1" t="s">
        <v>15</v>
      </c>
      <c r="D2804" s="1" t="s">
        <v>13</v>
      </c>
      <c r="E2804" s="1">
        <v>2473813.35</v>
      </c>
      <c r="F2804" s="1">
        <v>80613.75</v>
      </c>
      <c r="G2804" s="1">
        <v>304921</v>
      </c>
      <c r="H2804" s="1">
        <v>8.1129648339999996</v>
      </c>
    </row>
    <row r="2805" spans="1:8" ht="15.75" thickBot="1" x14ac:dyDescent="0.3">
      <c r="A2805" s="1">
        <v>2014</v>
      </c>
      <c r="B2805" s="1" t="s">
        <v>12</v>
      </c>
      <c r="C2805" s="1" t="s">
        <v>23</v>
      </c>
      <c r="D2805" s="1" t="s">
        <v>31</v>
      </c>
      <c r="E2805" s="1">
        <v>78686.7</v>
      </c>
      <c r="F2805" s="1">
        <v>2820.24</v>
      </c>
      <c r="G2805" s="1">
        <v>1506</v>
      </c>
      <c r="H2805" s="1">
        <v>52.24880478</v>
      </c>
    </row>
    <row r="2806" spans="1:8" ht="15.75" thickBot="1" x14ac:dyDescent="0.3">
      <c r="A2806" s="1">
        <v>2016</v>
      </c>
      <c r="B2806" s="1" t="s">
        <v>35</v>
      </c>
      <c r="C2806" s="1" t="s">
        <v>15</v>
      </c>
      <c r="D2806" s="1" t="s">
        <v>31</v>
      </c>
      <c r="E2806" s="1">
        <v>-99.45</v>
      </c>
      <c r="F2806" s="1">
        <v>0.01</v>
      </c>
      <c r="G2806" s="1">
        <v>24</v>
      </c>
      <c r="H2806" s="1">
        <v>-4.1437499999999998</v>
      </c>
    </row>
    <row r="2807" spans="1:8" ht="15.75" thickBot="1" x14ac:dyDescent="0.3">
      <c r="A2807" s="1">
        <v>2014</v>
      </c>
      <c r="B2807" s="1" t="s">
        <v>35</v>
      </c>
      <c r="C2807" s="1" t="s">
        <v>26</v>
      </c>
      <c r="D2807" s="1" t="s">
        <v>29</v>
      </c>
      <c r="E2807" s="1">
        <v>2993.95</v>
      </c>
      <c r="F2807" s="1">
        <v>82.19</v>
      </c>
      <c r="G2807" s="1">
        <v>11</v>
      </c>
      <c r="H2807" s="1">
        <v>272.1772727</v>
      </c>
    </row>
    <row r="2808" spans="1:8" ht="15.75" thickBot="1" x14ac:dyDescent="0.3">
      <c r="A2808" s="1">
        <v>2014</v>
      </c>
      <c r="B2808" s="1" t="s">
        <v>16</v>
      </c>
      <c r="C2808" s="1" t="s">
        <v>15</v>
      </c>
      <c r="D2808" s="1" t="s">
        <v>10</v>
      </c>
      <c r="E2808" s="1">
        <v>6356529.6200000001</v>
      </c>
      <c r="F2808" s="1">
        <v>225791.94</v>
      </c>
      <c r="G2808" s="1">
        <v>108714</v>
      </c>
      <c r="H2808" s="1">
        <v>58.470202729999997</v>
      </c>
    </row>
    <row r="2809" spans="1:8" ht="15.75" thickBot="1" x14ac:dyDescent="0.3">
      <c r="A2809" s="1">
        <v>2017</v>
      </c>
      <c r="B2809" s="1" t="s">
        <v>40</v>
      </c>
      <c r="C2809" s="1" t="s">
        <v>23</v>
      </c>
      <c r="D2809" s="1" t="s">
        <v>32</v>
      </c>
      <c r="E2809" s="1">
        <v>186.33</v>
      </c>
      <c r="F2809" s="1">
        <v>25.51</v>
      </c>
      <c r="G2809" s="1">
        <v>31</v>
      </c>
      <c r="H2809" s="1">
        <v>6.0106451610000002</v>
      </c>
    </row>
    <row r="2810" spans="1:8" ht="15.75" thickBot="1" x14ac:dyDescent="0.3">
      <c r="A2810" s="1">
        <v>2015</v>
      </c>
      <c r="B2810" s="1" t="s">
        <v>40</v>
      </c>
      <c r="C2810" s="1" t="s">
        <v>33</v>
      </c>
      <c r="D2810" s="1" t="s">
        <v>19</v>
      </c>
      <c r="E2810" s="1">
        <v>89677.6</v>
      </c>
      <c r="F2810" s="1">
        <v>1129.29</v>
      </c>
      <c r="G2810" s="1">
        <v>466</v>
      </c>
      <c r="H2810" s="1">
        <v>192.44120169999999</v>
      </c>
    </row>
    <row r="2811" spans="1:8" ht="15.75" thickBot="1" x14ac:dyDescent="0.3">
      <c r="A2811" s="1">
        <v>2017</v>
      </c>
      <c r="B2811" s="1" t="s">
        <v>35</v>
      </c>
      <c r="C2811" s="1" t="s">
        <v>33</v>
      </c>
      <c r="D2811" s="1" t="s">
        <v>32</v>
      </c>
      <c r="E2811" s="1">
        <v>36362.089999999997</v>
      </c>
      <c r="F2811" s="1">
        <v>1428.41</v>
      </c>
      <c r="G2811" s="1">
        <v>1655</v>
      </c>
      <c r="H2811" s="1">
        <v>21.971051360000001</v>
      </c>
    </row>
    <row r="2812" spans="1:8" ht="15.75" thickBot="1" x14ac:dyDescent="0.3">
      <c r="A2812" s="1">
        <v>2017</v>
      </c>
      <c r="B2812" s="1" t="s">
        <v>30</v>
      </c>
      <c r="C2812" s="1" t="s">
        <v>33</v>
      </c>
      <c r="D2812" s="1" t="s">
        <v>13</v>
      </c>
      <c r="E2812" s="1">
        <v>22267288.25</v>
      </c>
      <c r="F2812" s="1">
        <v>539351.61</v>
      </c>
      <c r="G2812" s="1">
        <v>300123</v>
      </c>
      <c r="H2812" s="1">
        <v>74.193874679999993</v>
      </c>
    </row>
    <row r="2813" spans="1:8" ht="15.75" thickBot="1" x14ac:dyDescent="0.3">
      <c r="A2813" s="1">
        <v>2017</v>
      </c>
      <c r="B2813" s="1" t="s">
        <v>8</v>
      </c>
      <c r="C2813" s="1" t="s">
        <v>28</v>
      </c>
      <c r="D2813" s="1" t="s">
        <v>32</v>
      </c>
      <c r="E2813" s="1">
        <v>909.07</v>
      </c>
      <c r="F2813" s="1">
        <v>32.49</v>
      </c>
      <c r="G2813" s="1">
        <v>21</v>
      </c>
      <c r="H2813" s="1">
        <v>43.289047619999998</v>
      </c>
    </row>
    <row r="2814" spans="1:8" ht="15.75" thickBot="1" x14ac:dyDescent="0.3">
      <c r="A2814" s="1">
        <v>2015</v>
      </c>
      <c r="B2814" s="1" t="s">
        <v>12</v>
      </c>
      <c r="C2814" s="1" t="s">
        <v>23</v>
      </c>
      <c r="D2814" s="1" t="s">
        <v>19</v>
      </c>
      <c r="E2814" s="1">
        <v>1831933.62</v>
      </c>
      <c r="F2814" s="1">
        <v>60646.71</v>
      </c>
      <c r="G2814" s="1">
        <v>24264</v>
      </c>
      <c r="H2814" s="1">
        <v>75.500066770000004</v>
      </c>
    </row>
    <row r="2815" spans="1:8" ht="15.75" thickBot="1" x14ac:dyDescent="0.3">
      <c r="A2815" s="1">
        <v>2015</v>
      </c>
      <c r="B2815" s="1" t="s">
        <v>12</v>
      </c>
      <c r="C2815" s="1" t="s">
        <v>33</v>
      </c>
      <c r="D2815" s="1" t="s">
        <v>31</v>
      </c>
      <c r="E2815" s="1">
        <v>510123.43</v>
      </c>
      <c r="F2815" s="1">
        <v>17556.37</v>
      </c>
      <c r="G2815" s="1">
        <v>8333</v>
      </c>
      <c r="H2815" s="1">
        <v>61.217260289999999</v>
      </c>
    </row>
    <row r="2816" spans="1:8" ht="15.75" thickBot="1" x14ac:dyDescent="0.3">
      <c r="A2816" s="1">
        <v>2017</v>
      </c>
      <c r="B2816" s="1" t="s">
        <v>11</v>
      </c>
      <c r="C2816" s="1" t="s">
        <v>9</v>
      </c>
      <c r="D2816" s="1" t="s">
        <v>10</v>
      </c>
      <c r="E2816" s="1">
        <v>8400216.4600000009</v>
      </c>
      <c r="F2816" s="1">
        <v>262827.61</v>
      </c>
      <c r="G2816" s="1">
        <v>210287</v>
      </c>
      <c r="H2816" s="1">
        <v>39.946437299999999</v>
      </c>
    </row>
    <row r="2817" spans="1:8" ht="15.75" thickBot="1" x14ac:dyDescent="0.3">
      <c r="A2817" s="1">
        <v>2015</v>
      </c>
      <c r="B2817" s="1" t="s">
        <v>12</v>
      </c>
      <c r="C2817" s="1" t="s">
        <v>9</v>
      </c>
      <c r="D2817" s="1" t="s">
        <v>29</v>
      </c>
      <c r="E2817" s="1">
        <v>28482.27</v>
      </c>
      <c r="F2817" s="1">
        <v>453.98</v>
      </c>
      <c r="G2817" s="1">
        <v>201</v>
      </c>
      <c r="H2817" s="1">
        <v>141.7028358</v>
      </c>
    </row>
    <row r="2818" spans="1:8" ht="15.75" thickBot="1" x14ac:dyDescent="0.3">
      <c r="A2818" s="1">
        <v>2016</v>
      </c>
      <c r="B2818" s="1" t="s">
        <v>11</v>
      </c>
      <c r="C2818" s="1" t="s">
        <v>33</v>
      </c>
      <c r="D2818" s="1" t="s">
        <v>31</v>
      </c>
      <c r="E2818" s="1">
        <v>52948825.920000002</v>
      </c>
      <c r="F2818" s="1">
        <v>1509970.72</v>
      </c>
      <c r="G2818" s="1">
        <v>999609</v>
      </c>
      <c r="H2818" s="1">
        <v>52.969537010000003</v>
      </c>
    </row>
    <row r="2819" spans="1:8" ht="15.75" thickBot="1" x14ac:dyDescent="0.3">
      <c r="A2819" s="1">
        <v>2014</v>
      </c>
      <c r="B2819" s="1" t="s">
        <v>11</v>
      </c>
      <c r="C2819" s="1" t="s">
        <v>33</v>
      </c>
      <c r="D2819" s="1" t="s">
        <v>19</v>
      </c>
      <c r="E2819" s="1">
        <v>6415032.7000000002</v>
      </c>
      <c r="F2819" s="1">
        <v>196631.4</v>
      </c>
      <c r="G2819" s="1">
        <v>34452</v>
      </c>
      <c r="H2819" s="1">
        <v>186.20204050000001</v>
      </c>
    </row>
    <row r="2820" spans="1:8" ht="15.75" thickBot="1" x14ac:dyDescent="0.3">
      <c r="A2820" s="1">
        <v>2017</v>
      </c>
      <c r="B2820" s="1" t="s">
        <v>20</v>
      </c>
      <c r="C2820" s="1" t="s">
        <v>18</v>
      </c>
      <c r="D2820" s="1" t="s">
        <v>31</v>
      </c>
      <c r="E2820" s="1">
        <v>12029.09</v>
      </c>
      <c r="F2820" s="1">
        <v>490.35</v>
      </c>
      <c r="G2820" s="1">
        <v>444</v>
      </c>
      <c r="H2820" s="1">
        <v>27.092545049999998</v>
      </c>
    </row>
    <row r="2821" spans="1:8" ht="15.75" thickBot="1" x14ac:dyDescent="0.3">
      <c r="A2821" s="1">
        <v>2017</v>
      </c>
      <c r="B2821" s="1" t="s">
        <v>30</v>
      </c>
      <c r="C2821" s="1" t="s">
        <v>33</v>
      </c>
      <c r="D2821" s="1" t="s">
        <v>31</v>
      </c>
      <c r="E2821" s="1">
        <v>88.47</v>
      </c>
      <c r="F2821" s="1">
        <v>8.26</v>
      </c>
      <c r="G2821" s="1">
        <v>17</v>
      </c>
      <c r="H2821" s="1">
        <v>5.2041176470000003</v>
      </c>
    </row>
    <row r="2822" spans="1:8" ht="15.75" thickBot="1" x14ac:dyDescent="0.3">
      <c r="A2822" s="1">
        <v>2016</v>
      </c>
      <c r="B2822" s="1" t="s">
        <v>14</v>
      </c>
      <c r="C2822" s="1" t="s">
        <v>9</v>
      </c>
      <c r="D2822" s="1" t="s">
        <v>19</v>
      </c>
      <c r="E2822" s="1">
        <v>37006.51</v>
      </c>
      <c r="F2822" s="1">
        <v>1346.97</v>
      </c>
      <c r="G2822" s="1">
        <v>9601</v>
      </c>
      <c r="H2822" s="1">
        <v>3.8544432870000001</v>
      </c>
    </row>
    <row r="2823" spans="1:8" ht="15.75" thickBot="1" x14ac:dyDescent="0.3">
      <c r="A2823" s="1">
        <v>2016</v>
      </c>
      <c r="B2823" s="1" t="s">
        <v>14</v>
      </c>
      <c r="C2823" s="1" t="s">
        <v>18</v>
      </c>
      <c r="D2823" s="1" t="s">
        <v>27</v>
      </c>
      <c r="E2823" s="1">
        <v>20038813.09</v>
      </c>
      <c r="F2823" s="1">
        <v>777215.19</v>
      </c>
      <c r="G2823" s="1">
        <v>483848</v>
      </c>
      <c r="H2823" s="1">
        <v>41.415512909999997</v>
      </c>
    </row>
    <row r="2824" spans="1:8" ht="15.75" thickBot="1" x14ac:dyDescent="0.3">
      <c r="A2824" s="1">
        <v>2015</v>
      </c>
      <c r="B2824" s="1" t="s">
        <v>20</v>
      </c>
      <c r="C2824" s="1" t="s">
        <v>15</v>
      </c>
      <c r="D2824" s="1" t="s">
        <v>22</v>
      </c>
      <c r="E2824" s="1">
        <v>365.91</v>
      </c>
      <c r="F2824" s="1">
        <v>10.08</v>
      </c>
      <c r="G2824" s="1">
        <v>86</v>
      </c>
      <c r="H2824" s="1">
        <v>4.2547674420000003</v>
      </c>
    </row>
    <row r="2825" spans="1:8" ht="15.75" thickBot="1" x14ac:dyDescent="0.3">
      <c r="A2825" s="1">
        <v>2015</v>
      </c>
      <c r="B2825" s="1" t="s">
        <v>14</v>
      </c>
      <c r="C2825" s="1" t="s">
        <v>33</v>
      </c>
      <c r="D2825" s="1" t="s">
        <v>31</v>
      </c>
      <c r="E2825" s="1">
        <v>1484061.68</v>
      </c>
      <c r="F2825" s="1">
        <v>58763.28</v>
      </c>
      <c r="G2825" s="1">
        <v>37677</v>
      </c>
      <c r="H2825" s="1">
        <v>39.389061759999997</v>
      </c>
    </row>
    <row r="2826" spans="1:8" ht="15.75" thickBot="1" x14ac:dyDescent="0.3">
      <c r="A2826" s="1">
        <v>2016</v>
      </c>
      <c r="B2826" s="1" t="s">
        <v>16</v>
      </c>
      <c r="C2826" s="1" t="s">
        <v>28</v>
      </c>
      <c r="D2826" s="1" t="s">
        <v>19</v>
      </c>
      <c r="E2826" s="1">
        <v>429565497.39999998</v>
      </c>
      <c r="F2826" s="1">
        <v>10648873.529999999</v>
      </c>
      <c r="G2826" s="1">
        <v>1090261</v>
      </c>
      <c r="H2826" s="1">
        <v>394.00244290000001</v>
      </c>
    </row>
    <row r="2827" spans="1:8" ht="15.75" thickBot="1" x14ac:dyDescent="0.3">
      <c r="A2827" s="1">
        <v>2014</v>
      </c>
      <c r="B2827" s="1" t="s">
        <v>40</v>
      </c>
      <c r="C2827" s="1" t="s">
        <v>15</v>
      </c>
      <c r="D2827" s="1" t="s">
        <v>32</v>
      </c>
      <c r="E2827" s="1">
        <v>813.55</v>
      </c>
      <c r="F2827" s="1">
        <v>102.61</v>
      </c>
      <c r="G2827" s="1">
        <v>73</v>
      </c>
      <c r="H2827" s="1">
        <v>11.144520549999999</v>
      </c>
    </row>
    <row r="2828" spans="1:8" ht="15.75" thickBot="1" x14ac:dyDescent="0.3">
      <c r="A2828" s="1">
        <v>2017</v>
      </c>
      <c r="B2828" s="1" t="s">
        <v>17</v>
      </c>
      <c r="C2828" s="1" t="s">
        <v>9</v>
      </c>
      <c r="D2828" s="1" t="s">
        <v>19</v>
      </c>
      <c r="E2828" s="1">
        <v>109464.51</v>
      </c>
      <c r="F2828" s="1">
        <v>2556.4499999999998</v>
      </c>
      <c r="G2828" s="1">
        <v>3258</v>
      </c>
      <c r="H2828" s="1">
        <v>33.59868324</v>
      </c>
    </row>
    <row r="2829" spans="1:8" ht="15.75" thickBot="1" x14ac:dyDescent="0.3">
      <c r="A2829" s="1">
        <v>2017</v>
      </c>
      <c r="B2829" s="1" t="s">
        <v>30</v>
      </c>
      <c r="C2829" s="1" t="s">
        <v>9</v>
      </c>
      <c r="D2829" s="1" t="s">
        <v>24</v>
      </c>
      <c r="E2829" s="1">
        <v>39645668.649999999</v>
      </c>
      <c r="F2829" s="1">
        <v>1284333.28</v>
      </c>
      <c r="G2829" s="1">
        <v>174756</v>
      </c>
      <c r="H2829" s="1">
        <v>226.86298980000001</v>
      </c>
    </row>
    <row r="2830" spans="1:8" ht="15.75" thickBot="1" x14ac:dyDescent="0.3">
      <c r="A2830" s="1">
        <v>2014</v>
      </c>
      <c r="B2830" s="1" t="s">
        <v>14</v>
      </c>
      <c r="C2830" s="1" t="s">
        <v>12</v>
      </c>
      <c r="D2830" s="1" t="s">
        <v>29</v>
      </c>
      <c r="E2830" s="1">
        <v>11204257.42</v>
      </c>
      <c r="F2830" s="1">
        <v>367647.82</v>
      </c>
      <c r="G2830" s="1">
        <v>43544</v>
      </c>
      <c r="H2830" s="1">
        <v>257.30886959999998</v>
      </c>
    </row>
    <row r="2831" spans="1:8" ht="15.75" thickBot="1" x14ac:dyDescent="0.3">
      <c r="A2831" s="1">
        <v>2014</v>
      </c>
      <c r="B2831" s="1" t="s">
        <v>11</v>
      </c>
      <c r="C2831" s="1" t="s">
        <v>18</v>
      </c>
      <c r="D2831" s="1" t="s">
        <v>24</v>
      </c>
      <c r="E2831" s="1">
        <v>806169.02</v>
      </c>
      <c r="F2831" s="1">
        <v>21220.99</v>
      </c>
      <c r="G2831" s="1">
        <v>1755</v>
      </c>
      <c r="H2831" s="1">
        <v>459.35556700000001</v>
      </c>
    </row>
    <row r="2832" spans="1:8" ht="15.75" thickBot="1" x14ac:dyDescent="0.3">
      <c r="A2832" s="1">
        <v>2017</v>
      </c>
      <c r="B2832" s="1" t="s">
        <v>17</v>
      </c>
      <c r="C2832" s="1" t="s">
        <v>15</v>
      </c>
      <c r="D2832" s="1" t="s">
        <v>29</v>
      </c>
      <c r="E2832" s="1">
        <v>12592685.560000001</v>
      </c>
      <c r="F2832" s="1">
        <v>424632.45</v>
      </c>
      <c r="G2832" s="1">
        <v>31847</v>
      </c>
      <c r="H2832" s="1">
        <v>395.41198730000002</v>
      </c>
    </row>
    <row r="2833" spans="1:8" ht="15.75" thickBot="1" x14ac:dyDescent="0.3">
      <c r="A2833" s="1">
        <v>2014</v>
      </c>
      <c r="B2833" s="1" t="s">
        <v>12</v>
      </c>
      <c r="C2833" s="1" t="s">
        <v>25</v>
      </c>
      <c r="D2833" s="1" t="s">
        <v>10</v>
      </c>
      <c r="E2833" s="1">
        <v>4583650.55</v>
      </c>
      <c r="F2833" s="1">
        <v>97105.72</v>
      </c>
      <c r="G2833" s="1">
        <v>63483</v>
      </c>
      <c r="H2833" s="1">
        <v>72.202803110000005</v>
      </c>
    </row>
    <row r="2834" spans="1:8" ht="15.75" thickBot="1" x14ac:dyDescent="0.3">
      <c r="A2834" s="1">
        <v>2014</v>
      </c>
      <c r="B2834" s="1" t="s">
        <v>11</v>
      </c>
      <c r="C2834" s="1" t="s">
        <v>25</v>
      </c>
      <c r="D2834" s="1" t="s">
        <v>32</v>
      </c>
      <c r="E2834" s="1">
        <v>88194582.870000005</v>
      </c>
      <c r="F2834" s="1">
        <v>2886450.73</v>
      </c>
      <c r="G2834" s="1">
        <v>1735830</v>
      </c>
      <c r="H2834" s="1">
        <v>50.808306610000002</v>
      </c>
    </row>
    <row r="2835" spans="1:8" ht="15.75" thickBot="1" x14ac:dyDescent="0.3">
      <c r="A2835" s="1">
        <v>2015</v>
      </c>
      <c r="B2835" s="1" t="s">
        <v>35</v>
      </c>
      <c r="C2835" s="1" t="s">
        <v>15</v>
      </c>
      <c r="D2835" s="1" t="s">
        <v>29</v>
      </c>
      <c r="E2835" s="1">
        <v>836.31</v>
      </c>
      <c r="F2835" s="1">
        <v>28</v>
      </c>
      <c r="G2835" s="1">
        <v>23</v>
      </c>
      <c r="H2835" s="1">
        <v>36.361304349999997</v>
      </c>
    </row>
    <row r="2836" spans="1:8" ht="15.75" thickBot="1" x14ac:dyDescent="0.3">
      <c r="A2836" s="1">
        <v>2016</v>
      </c>
      <c r="B2836" s="1" t="s">
        <v>14</v>
      </c>
      <c r="C2836" s="1" t="s">
        <v>9</v>
      </c>
      <c r="D2836" s="1" t="s">
        <v>32</v>
      </c>
      <c r="E2836" s="1">
        <v>344005.83</v>
      </c>
      <c r="F2836" s="1">
        <v>9648.41</v>
      </c>
      <c r="G2836" s="1">
        <v>55652</v>
      </c>
      <c r="H2836" s="1">
        <v>6.1813740749999999</v>
      </c>
    </row>
    <row r="2837" spans="1:8" ht="15.75" thickBot="1" x14ac:dyDescent="0.3">
      <c r="A2837" s="1">
        <v>2015</v>
      </c>
      <c r="B2837" s="1" t="s">
        <v>8</v>
      </c>
      <c r="C2837" s="1" t="s">
        <v>12</v>
      </c>
      <c r="D2837" s="1" t="s">
        <v>19</v>
      </c>
      <c r="E2837" s="1">
        <v>2440.92</v>
      </c>
      <c r="F2837" s="1">
        <v>130.08000000000001</v>
      </c>
      <c r="G2837" s="1">
        <v>22</v>
      </c>
      <c r="H2837" s="1">
        <v>110.9509091</v>
      </c>
    </row>
    <row r="2838" spans="1:8" ht="15.75" thickBot="1" x14ac:dyDescent="0.3">
      <c r="A2838" s="1">
        <v>2017</v>
      </c>
      <c r="B2838" s="1" t="s">
        <v>35</v>
      </c>
      <c r="C2838" s="1" t="s">
        <v>15</v>
      </c>
      <c r="D2838" s="1" t="s">
        <v>32</v>
      </c>
      <c r="E2838" s="1">
        <v>25581.07</v>
      </c>
      <c r="F2838" s="1">
        <v>1059.67</v>
      </c>
      <c r="G2838" s="1">
        <v>1118</v>
      </c>
      <c r="H2838" s="1">
        <v>22.881100180000001</v>
      </c>
    </row>
    <row r="2839" spans="1:8" ht="15.75" thickBot="1" x14ac:dyDescent="0.3">
      <c r="A2839" s="1">
        <v>2015</v>
      </c>
      <c r="B2839" s="1" t="s">
        <v>40</v>
      </c>
      <c r="C2839" s="1" t="s">
        <v>21</v>
      </c>
      <c r="D2839" s="1" t="s">
        <v>19</v>
      </c>
      <c r="E2839" s="1">
        <v>65597.61</v>
      </c>
      <c r="F2839" s="1">
        <v>1253.83</v>
      </c>
      <c r="G2839" s="1">
        <v>433</v>
      </c>
      <c r="H2839" s="1">
        <v>151.49563509999999</v>
      </c>
    </row>
    <row r="2840" spans="1:8" ht="15.75" thickBot="1" x14ac:dyDescent="0.3">
      <c r="A2840" s="1">
        <v>2016</v>
      </c>
      <c r="B2840" s="1" t="s">
        <v>20</v>
      </c>
      <c r="C2840" s="1" t="s">
        <v>23</v>
      </c>
      <c r="D2840" s="1" t="s">
        <v>32</v>
      </c>
      <c r="E2840" s="1">
        <v>1572011.2</v>
      </c>
      <c r="F2840" s="1">
        <v>71075.47</v>
      </c>
      <c r="G2840" s="1">
        <v>108040</v>
      </c>
      <c r="H2840" s="1">
        <v>14.55027027</v>
      </c>
    </row>
    <row r="2841" spans="1:8" ht="15.75" thickBot="1" x14ac:dyDescent="0.3">
      <c r="A2841" s="1">
        <v>2017</v>
      </c>
      <c r="B2841" s="1" t="s">
        <v>14</v>
      </c>
      <c r="C2841" s="1" t="s">
        <v>9</v>
      </c>
      <c r="D2841" s="1" t="s">
        <v>13</v>
      </c>
      <c r="E2841" s="1">
        <v>9.8000000000000007</v>
      </c>
      <c r="F2841" s="1">
        <v>0.57999999999999996</v>
      </c>
      <c r="G2841" s="1">
        <v>1</v>
      </c>
      <c r="H2841" s="1">
        <v>9.8000000000000007</v>
      </c>
    </row>
    <row r="2842" spans="1:8" ht="15.75" thickBot="1" x14ac:dyDescent="0.3">
      <c r="A2842" s="1">
        <v>2014</v>
      </c>
      <c r="B2842" s="1" t="s">
        <v>30</v>
      </c>
      <c r="C2842" s="1" t="s">
        <v>33</v>
      </c>
      <c r="D2842" s="1" t="s">
        <v>13</v>
      </c>
      <c r="E2842" s="1">
        <v>351844.47</v>
      </c>
      <c r="F2842" s="1">
        <v>7862.26</v>
      </c>
      <c r="G2842" s="1">
        <v>3973</v>
      </c>
      <c r="H2842" s="1">
        <v>88.558890009999999</v>
      </c>
    </row>
    <row r="2843" spans="1:8" ht="15.75" thickBot="1" x14ac:dyDescent="0.3">
      <c r="A2843" s="1">
        <v>2016</v>
      </c>
      <c r="B2843" s="1" t="s">
        <v>20</v>
      </c>
      <c r="C2843" s="1" t="s">
        <v>9</v>
      </c>
      <c r="D2843" s="1" t="s">
        <v>37</v>
      </c>
      <c r="E2843" s="1">
        <v>2824444.24</v>
      </c>
      <c r="F2843" s="1">
        <v>99278.23</v>
      </c>
      <c r="G2843" s="1">
        <v>38906</v>
      </c>
      <c r="H2843" s="1">
        <v>72.596623660000006</v>
      </c>
    </row>
    <row r="2844" spans="1:8" ht="15.75" thickBot="1" x14ac:dyDescent="0.3">
      <c r="A2844" s="1">
        <v>2017</v>
      </c>
      <c r="B2844" s="1" t="s">
        <v>12</v>
      </c>
      <c r="C2844" s="1" t="s">
        <v>25</v>
      </c>
      <c r="D2844" s="1" t="s">
        <v>32</v>
      </c>
      <c r="E2844" s="1">
        <v>11504556.449999999</v>
      </c>
      <c r="F2844" s="1">
        <v>415567.67</v>
      </c>
      <c r="G2844" s="1">
        <v>222107</v>
      </c>
      <c r="H2844" s="1">
        <v>51.797360959999999</v>
      </c>
    </row>
    <row r="2845" spans="1:8" ht="15.75" thickBot="1" x14ac:dyDescent="0.3">
      <c r="A2845" s="1">
        <v>2016</v>
      </c>
      <c r="B2845" s="1" t="s">
        <v>16</v>
      </c>
      <c r="C2845" s="1" t="s">
        <v>26</v>
      </c>
      <c r="D2845" s="1" t="s">
        <v>13</v>
      </c>
      <c r="E2845" s="1">
        <v>2844680.82</v>
      </c>
      <c r="F2845" s="1">
        <v>95624.57</v>
      </c>
      <c r="G2845" s="1">
        <v>70499</v>
      </c>
      <c r="H2845" s="1">
        <v>40.350654900000002</v>
      </c>
    </row>
    <row r="2846" spans="1:8" ht="15.75" thickBot="1" x14ac:dyDescent="0.3">
      <c r="A2846" s="1">
        <v>2014</v>
      </c>
      <c r="B2846" s="1" t="s">
        <v>14</v>
      </c>
      <c r="C2846" s="1" t="s">
        <v>25</v>
      </c>
      <c r="D2846" s="1" t="s">
        <v>10</v>
      </c>
      <c r="E2846" s="1">
        <v>3136599.2</v>
      </c>
      <c r="F2846" s="1">
        <v>116552.15</v>
      </c>
      <c r="G2846" s="1">
        <v>60208</v>
      </c>
      <c r="H2846" s="1">
        <v>52.096053679999997</v>
      </c>
    </row>
    <row r="2847" spans="1:8" ht="15.75" thickBot="1" x14ac:dyDescent="0.3">
      <c r="A2847" s="1">
        <v>2016</v>
      </c>
      <c r="B2847" s="1" t="s">
        <v>20</v>
      </c>
      <c r="C2847" s="1" t="s">
        <v>9</v>
      </c>
      <c r="D2847" s="1" t="s">
        <v>24</v>
      </c>
      <c r="E2847" s="1">
        <v>15722.61</v>
      </c>
      <c r="F2847" s="1">
        <v>262.04000000000002</v>
      </c>
      <c r="G2847" s="1">
        <v>280</v>
      </c>
      <c r="H2847" s="1">
        <v>56.152178569999997</v>
      </c>
    </row>
    <row r="2848" spans="1:8" ht="15.75" thickBot="1" x14ac:dyDescent="0.3">
      <c r="A2848" s="1">
        <v>2017</v>
      </c>
      <c r="B2848" s="1" t="s">
        <v>16</v>
      </c>
      <c r="C2848" s="1" t="s">
        <v>28</v>
      </c>
      <c r="D2848" s="1" t="s">
        <v>31</v>
      </c>
      <c r="E2848" s="1">
        <v>5942289.4500000002</v>
      </c>
      <c r="F2848" s="1">
        <v>208824.8</v>
      </c>
      <c r="G2848" s="1">
        <v>96969</v>
      </c>
      <c r="H2848" s="1">
        <v>61.280300410000002</v>
      </c>
    </row>
    <row r="2849" spans="1:8" ht="15.75" thickBot="1" x14ac:dyDescent="0.3">
      <c r="A2849" s="1">
        <v>2015</v>
      </c>
      <c r="B2849" s="1" t="s">
        <v>30</v>
      </c>
      <c r="C2849" s="1" t="s">
        <v>18</v>
      </c>
      <c r="D2849" s="1" t="s">
        <v>24</v>
      </c>
      <c r="E2849" s="1">
        <v>11777881.109999999</v>
      </c>
      <c r="F2849" s="1">
        <v>373807.23</v>
      </c>
      <c r="G2849" s="1">
        <v>49991</v>
      </c>
      <c r="H2849" s="1">
        <v>235.60003019999999</v>
      </c>
    </row>
    <row r="2850" spans="1:8" ht="15.75" thickBot="1" x14ac:dyDescent="0.3">
      <c r="A2850" s="1">
        <v>2014</v>
      </c>
      <c r="B2850" s="1" t="s">
        <v>40</v>
      </c>
      <c r="C2850" s="1" t="s">
        <v>23</v>
      </c>
      <c r="D2850" s="1" t="s">
        <v>27</v>
      </c>
      <c r="E2850" s="1">
        <v>60340.03</v>
      </c>
      <c r="F2850" s="1">
        <v>1926.92</v>
      </c>
      <c r="G2850" s="1">
        <v>1170</v>
      </c>
      <c r="H2850" s="1">
        <v>51.57267521</v>
      </c>
    </row>
    <row r="2851" spans="1:8" ht="15.75" thickBot="1" x14ac:dyDescent="0.3">
      <c r="A2851" s="1">
        <v>2017</v>
      </c>
      <c r="B2851" s="1" t="s">
        <v>14</v>
      </c>
      <c r="C2851" s="1" t="s">
        <v>12</v>
      </c>
      <c r="D2851" s="1" t="s">
        <v>10</v>
      </c>
      <c r="E2851" s="1">
        <v>9768753.7699999996</v>
      </c>
      <c r="F2851" s="1">
        <v>391754</v>
      </c>
      <c r="G2851" s="1">
        <v>251294</v>
      </c>
      <c r="H2851" s="1">
        <v>38.873804270000001</v>
      </c>
    </row>
    <row r="2852" spans="1:8" ht="15.75" thickBot="1" x14ac:dyDescent="0.3">
      <c r="A2852" s="1">
        <v>2016</v>
      </c>
      <c r="B2852" s="1" t="s">
        <v>35</v>
      </c>
      <c r="C2852" s="1" t="s">
        <v>26</v>
      </c>
      <c r="D2852" s="1" t="s">
        <v>13</v>
      </c>
      <c r="E2852" s="1">
        <v>13.79</v>
      </c>
      <c r="F2852" s="1">
        <v>1</v>
      </c>
      <c r="G2852" s="1">
        <v>6</v>
      </c>
      <c r="H2852" s="1">
        <v>2.298333333</v>
      </c>
    </row>
    <row r="2853" spans="1:8" ht="15.75" thickBot="1" x14ac:dyDescent="0.3">
      <c r="A2853" s="1">
        <v>2016</v>
      </c>
      <c r="B2853" s="1" t="s">
        <v>17</v>
      </c>
      <c r="C2853" s="1" t="s">
        <v>26</v>
      </c>
      <c r="D2853" s="1" t="s">
        <v>24</v>
      </c>
      <c r="E2853" s="1">
        <v>26429464.550000001</v>
      </c>
      <c r="F2853" s="1">
        <v>915361.17</v>
      </c>
      <c r="G2853" s="1">
        <v>117973</v>
      </c>
      <c r="H2853" s="1">
        <v>224.02977419999999</v>
      </c>
    </row>
    <row r="2854" spans="1:8" ht="15.75" thickBot="1" x14ac:dyDescent="0.3">
      <c r="A2854" s="1">
        <v>2017</v>
      </c>
      <c r="B2854" s="1" t="s">
        <v>11</v>
      </c>
      <c r="C2854" s="1" t="s">
        <v>15</v>
      </c>
      <c r="D2854" s="1" t="s">
        <v>31</v>
      </c>
      <c r="E2854" s="1">
        <v>32084402.59</v>
      </c>
      <c r="F2854" s="1">
        <v>944008.43</v>
      </c>
      <c r="G2854" s="1">
        <v>544495</v>
      </c>
      <c r="H2854" s="1">
        <v>58.92506376</v>
      </c>
    </row>
    <row r="2855" spans="1:8" ht="15.75" thickBot="1" x14ac:dyDescent="0.3">
      <c r="A2855" s="1">
        <v>2016</v>
      </c>
      <c r="B2855" s="1" t="s">
        <v>16</v>
      </c>
      <c r="C2855" s="1" t="s">
        <v>9</v>
      </c>
      <c r="D2855" s="1" t="s">
        <v>27</v>
      </c>
      <c r="E2855" s="1">
        <v>992708.97</v>
      </c>
      <c r="F2855" s="1">
        <v>29546.13</v>
      </c>
      <c r="G2855" s="1">
        <v>57811</v>
      </c>
      <c r="H2855" s="1">
        <v>17.17162772</v>
      </c>
    </row>
    <row r="2856" spans="1:8" ht="15.75" thickBot="1" x14ac:dyDescent="0.3">
      <c r="A2856" s="1">
        <v>2017</v>
      </c>
      <c r="B2856" s="1" t="s">
        <v>14</v>
      </c>
      <c r="C2856" s="1" t="s">
        <v>9</v>
      </c>
      <c r="D2856" s="1" t="s">
        <v>29</v>
      </c>
      <c r="E2856" s="1">
        <v>87182.32</v>
      </c>
      <c r="F2856" s="1">
        <v>1581.19</v>
      </c>
      <c r="G2856" s="1">
        <v>672</v>
      </c>
      <c r="H2856" s="1">
        <v>129.73559520000001</v>
      </c>
    </row>
    <row r="2857" spans="1:8" ht="15.75" thickBot="1" x14ac:dyDescent="0.3">
      <c r="A2857" s="1">
        <v>2015</v>
      </c>
      <c r="B2857" s="1" t="s">
        <v>20</v>
      </c>
      <c r="C2857" s="1" t="s">
        <v>21</v>
      </c>
      <c r="D2857" s="1" t="s">
        <v>24</v>
      </c>
      <c r="E2857" s="1">
        <v>1053528.92</v>
      </c>
      <c r="F2857" s="1">
        <v>37287.56</v>
      </c>
      <c r="G2857" s="1">
        <v>11798</v>
      </c>
      <c r="H2857" s="1">
        <v>89.297246990000005</v>
      </c>
    </row>
    <row r="2858" spans="1:8" ht="15.75" thickBot="1" x14ac:dyDescent="0.3">
      <c r="A2858" s="1">
        <v>2017</v>
      </c>
      <c r="B2858" s="1" t="s">
        <v>12</v>
      </c>
      <c r="C2858" s="1" t="s">
        <v>9</v>
      </c>
      <c r="D2858" s="1" t="s">
        <v>34</v>
      </c>
      <c r="E2858" s="1">
        <v>132.36000000000001</v>
      </c>
      <c r="F2858" s="1">
        <v>6.17</v>
      </c>
      <c r="G2858" s="1">
        <v>8</v>
      </c>
      <c r="H2858" s="1">
        <v>16.545000000000002</v>
      </c>
    </row>
    <row r="2859" spans="1:8" ht="15.75" thickBot="1" x14ac:dyDescent="0.3">
      <c r="A2859" s="1">
        <v>2014</v>
      </c>
      <c r="B2859" s="1" t="s">
        <v>14</v>
      </c>
      <c r="C2859" s="1" t="s">
        <v>25</v>
      </c>
      <c r="D2859" s="1" t="s">
        <v>32</v>
      </c>
      <c r="E2859" s="1">
        <v>45523933.539999999</v>
      </c>
      <c r="F2859" s="1">
        <v>1836264.52</v>
      </c>
      <c r="G2859" s="1">
        <v>1207559</v>
      </c>
      <c r="H2859" s="1">
        <v>37.699138130000001</v>
      </c>
    </row>
    <row r="2860" spans="1:8" ht="15.75" thickBot="1" x14ac:dyDescent="0.3">
      <c r="A2860" s="1">
        <v>2016</v>
      </c>
      <c r="B2860" s="1" t="s">
        <v>30</v>
      </c>
      <c r="C2860" s="1" t="s">
        <v>18</v>
      </c>
      <c r="D2860" s="1" t="s">
        <v>27</v>
      </c>
      <c r="E2860" s="1">
        <v>67364222.140000001</v>
      </c>
      <c r="F2860" s="1">
        <v>2246786.77</v>
      </c>
      <c r="G2860" s="1">
        <v>643468</v>
      </c>
      <c r="H2860" s="1">
        <v>104.68931190000001</v>
      </c>
    </row>
    <row r="2861" spans="1:8" ht="15.75" thickBot="1" x14ac:dyDescent="0.3">
      <c r="A2861" s="1">
        <v>2017</v>
      </c>
      <c r="B2861" s="1" t="s">
        <v>8</v>
      </c>
      <c r="C2861" s="1" t="s">
        <v>21</v>
      </c>
      <c r="D2861" s="1" t="s">
        <v>27</v>
      </c>
      <c r="E2861" s="1">
        <v>11924.15</v>
      </c>
      <c r="F2861" s="1">
        <v>516.37</v>
      </c>
      <c r="G2861" s="1">
        <v>520</v>
      </c>
      <c r="H2861" s="1">
        <v>22.931057689999999</v>
      </c>
    </row>
    <row r="2862" spans="1:8" ht="15.75" thickBot="1" x14ac:dyDescent="0.3">
      <c r="A2862" s="1">
        <v>2015</v>
      </c>
      <c r="B2862" s="1" t="s">
        <v>35</v>
      </c>
      <c r="C2862" s="1" t="s">
        <v>21</v>
      </c>
      <c r="D2862" s="1" t="s">
        <v>10</v>
      </c>
      <c r="E2862" s="1">
        <v>97.47</v>
      </c>
      <c r="F2862" s="1">
        <v>3.72</v>
      </c>
      <c r="G2862" s="1">
        <v>86</v>
      </c>
      <c r="H2862" s="1">
        <v>1.133372093</v>
      </c>
    </row>
    <row r="2863" spans="1:8" ht="15.75" thickBot="1" x14ac:dyDescent="0.3">
      <c r="A2863" s="1">
        <v>2014</v>
      </c>
      <c r="B2863" s="1" t="s">
        <v>12</v>
      </c>
      <c r="C2863" s="1" t="s">
        <v>28</v>
      </c>
      <c r="D2863" s="1" t="s">
        <v>19</v>
      </c>
      <c r="E2863" s="1">
        <v>28790120.27</v>
      </c>
      <c r="F2863" s="1">
        <v>703194.65</v>
      </c>
      <c r="G2863" s="1">
        <v>71712</v>
      </c>
      <c r="H2863" s="1">
        <v>401.4686562</v>
      </c>
    </row>
    <row r="2864" spans="1:8" ht="15.75" thickBot="1" x14ac:dyDescent="0.3">
      <c r="A2864" s="1">
        <v>2016</v>
      </c>
      <c r="B2864" s="1" t="s">
        <v>12</v>
      </c>
      <c r="C2864" s="1" t="s">
        <v>23</v>
      </c>
      <c r="D2864" s="1" t="s">
        <v>10</v>
      </c>
      <c r="E2864" s="1">
        <v>1886653.93</v>
      </c>
      <c r="F2864" s="1">
        <v>48692.7</v>
      </c>
      <c r="G2864" s="1">
        <v>31631</v>
      </c>
      <c r="H2864" s="1">
        <v>59.645725079999998</v>
      </c>
    </row>
    <row r="2865" spans="1:8" ht="15.75" thickBot="1" x14ac:dyDescent="0.3">
      <c r="A2865" s="1">
        <v>2017</v>
      </c>
      <c r="B2865" s="1" t="s">
        <v>16</v>
      </c>
      <c r="C2865" s="1" t="s">
        <v>15</v>
      </c>
      <c r="D2865" s="1" t="s">
        <v>32</v>
      </c>
      <c r="E2865" s="1">
        <v>137074002.19999999</v>
      </c>
      <c r="F2865" s="1">
        <v>4841758.53</v>
      </c>
      <c r="G2865" s="1">
        <v>1880779</v>
      </c>
      <c r="H2865" s="1">
        <v>72.881503989999999</v>
      </c>
    </row>
    <row r="2866" spans="1:8" ht="15.75" thickBot="1" x14ac:dyDescent="0.3">
      <c r="A2866" s="1">
        <v>2017</v>
      </c>
      <c r="B2866" s="1" t="s">
        <v>35</v>
      </c>
      <c r="C2866" s="1" t="s">
        <v>33</v>
      </c>
      <c r="D2866" s="1" t="s">
        <v>13</v>
      </c>
      <c r="E2866" s="1">
        <v>618.02</v>
      </c>
      <c r="F2866" s="1">
        <v>14.76</v>
      </c>
      <c r="G2866" s="1">
        <v>58</v>
      </c>
      <c r="H2866" s="1">
        <v>10.65551724</v>
      </c>
    </row>
    <row r="2867" spans="1:8" ht="15.75" thickBot="1" x14ac:dyDescent="0.3">
      <c r="A2867" s="1">
        <v>2015</v>
      </c>
      <c r="B2867" s="1" t="s">
        <v>40</v>
      </c>
      <c r="C2867" s="1" t="s">
        <v>23</v>
      </c>
      <c r="D2867" s="1" t="s">
        <v>19</v>
      </c>
      <c r="E2867" s="1">
        <v>6209.62</v>
      </c>
      <c r="F2867" s="1">
        <v>70.14</v>
      </c>
      <c r="G2867" s="1">
        <v>81</v>
      </c>
      <c r="H2867" s="1">
        <v>76.661975310000003</v>
      </c>
    </row>
    <row r="2868" spans="1:8" ht="15.75" thickBot="1" x14ac:dyDescent="0.3">
      <c r="A2868" s="1">
        <v>2017</v>
      </c>
      <c r="B2868" s="1" t="s">
        <v>20</v>
      </c>
      <c r="C2868" s="1" t="s">
        <v>33</v>
      </c>
      <c r="D2868" s="1" t="s">
        <v>24</v>
      </c>
      <c r="E2868" s="1">
        <v>2045320.85</v>
      </c>
      <c r="F2868" s="1">
        <v>71218.53</v>
      </c>
      <c r="G2868" s="1">
        <v>20629</v>
      </c>
      <c r="H2868" s="1">
        <v>99.147842839999996</v>
      </c>
    </row>
    <row r="2869" spans="1:8" ht="15.75" thickBot="1" x14ac:dyDescent="0.3">
      <c r="A2869" s="1">
        <v>2014</v>
      </c>
      <c r="B2869" s="1" t="s">
        <v>30</v>
      </c>
      <c r="C2869" s="1" t="s">
        <v>21</v>
      </c>
      <c r="D2869" s="1" t="s">
        <v>32</v>
      </c>
      <c r="E2869" s="1">
        <v>13601560.619999999</v>
      </c>
      <c r="F2869" s="1">
        <v>536025.5</v>
      </c>
      <c r="G2869" s="1">
        <v>339982</v>
      </c>
      <c r="H2869" s="1">
        <v>40.006708060000001</v>
      </c>
    </row>
    <row r="2870" spans="1:8" ht="15.75" thickBot="1" x14ac:dyDescent="0.3">
      <c r="A2870" s="1">
        <v>2015</v>
      </c>
      <c r="B2870" s="1" t="s">
        <v>20</v>
      </c>
      <c r="C2870" s="1" t="s">
        <v>12</v>
      </c>
      <c r="D2870" s="1" t="s">
        <v>22</v>
      </c>
      <c r="E2870" s="1">
        <v>531.25</v>
      </c>
      <c r="F2870" s="1">
        <v>12.83</v>
      </c>
      <c r="G2870" s="1">
        <v>27</v>
      </c>
      <c r="H2870" s="1">
        <v>19.675925929999998</v>
      </c>
    </row>
    <row r="2871" spans="1:8" ht="15.75" thickBot="1" x14ac:dyDescent="0.3">
      <c r="A2871" s="1">
        <v>2016</v>
      </c>
      <c r="B2871" s="1" t="s">
        <v>12</v>
      </c>
      <c r="C2871" s="1" t="s">
        <v>25</v>
      </c>
      <c r="D2871" s="1" t="s">
        <v>29</v>
      </c>
      <c r="E2871" s="1">
        <v>1998890.71</v>
      </c>
      <c r="F2871" s="1">
        <v>62623.35</v>
      </c>
      <c r="G2871" s="1">
        <v>6429</v>
      </c>
      <c r="H2871" s="1">
        <v>310.91782699999999</v>
      </c>
    </row>
    <row r="2872" spans="1:8" ht="15.75" thickBot="1" x14ac:dyDescent="0.3">
      <c r="A2872" s="1">
        <v>2015</v>
      </c>
      <c r="B2872" s="1" t="s">
        <v>20</v>
      </c>
      <c r="C2872" s="1" t="s">
        <v>28</v>
      </c>
      <c r="D2872" s="1" t="s">
        <v>27</v>
      </c>
      <c r="E2872" s="1">
        <v>7808973.9699999997</v>
      </c>
      <c r="F2872" s="1">
        <v>291300.14</v>
      </c>
      <c r="G2872" s="1">
        <v>203419</v>
      </c>
      <c r="H2872" s="1">
        <v>38.388616450000001</v>
      </c>
    </row>
    <row r="2873" spans="1:8" ht="15.75" thickBot="1" x14ac:dyDescent="0.3">
      <c r="A2873" s="1">
        <v>2014</v>
      </c>
      <c r="B2873" s="1" t="s">
        <v>35</v>
      </c>
      <c r="C2873" s="1" t="s">
        <v>21</v>
      </c>
      <c r="D2873" s="1" t="s">
        <v>32</v>
      </c>
      <c r="E2873" s="1">
        <v>2423.09</v>
      </c>
      <c r="F2873" s="1">
        <v>334.68</v>
      </c>
      <c r="G2873" s="1">
        <v>704</v>
      </c>
      <c r="H2873" s="1">
        <v>3.4418892049999998</v>
      </c>
    </row>
    <row r="2874" spans="1:8" ht="15.75" thickBot="1" x14ac:dyDescent="0.3">
      <c r="A2874" s="1">
        <v>2015</v>
      </c>
      <c r="B2874" s="1" t="s">
        <v>12</v>
      </c>
      <c r="C2874" s="1" t="s">
        <v>12</v>
      </c>
      <c r="D2874" s="1" t="s">
        <v>24</v>
      </c>
      <c r="E2874" s="1">
        <v>4014989.48</v>
      </c>
      <c r="F2874" s="1">
        <v>128138.99</v>
      </c>
      <c r="G2874" s="1">
        <v>10478</v>
      </c>
      <c r="H2874" s="1">
        <v>383.18280970000001</v>
      </c>
    </row>
    <row r="2875" spans="1:8" ht="15.75" thickBot="1" x14ac:dyDescent="0.3">
      <c r="A2875" s="1">
        <v>2017</v>
      </c>
      <c r="B2875" s="1" t="s">
        <v>14</v>
      </c>
      <c r="C2875" s="1" t="s">
        <v>28</v>
      </c>
      <c r="D2875" s="1" t="s">
        <v>32</v>
      </c>
      <c r="E2875" s="1">
        <v>75958447.959999993</v>
      </c>
      <c r="F2875" s="1">
        <v>2872904.99</v>
      </c>
      <c r="G2875" s="1">
        <v>1714064</v>
      </c>
      <c r="H2875" s="1">
        <v>44.314826029999999</v>
      </c>
    </row>
    <row r="2876" spans="1:8" ht="15.75" thickBot="1" x14ac:dyDescent="0.3">
      <c r="A2876" s="1">
        <v>2014</v>
      </c>
      <c r="B2876" s="1" t="s">
        <v>17</v>
      </c>
      <c r="C2876" s="1" t="s">
        <v>15</v>
      </c>
      <c r="D2876" s="1" t="s">
        <v>10</v>
      </c>
      <c r="E2876" s="1">
        <v>16113803.380000001</v>
      </c>
      <c r="F2876" s="1">
        <v>489933.6</v>
      </c>
      <c r="G2876" s="1">
        <v>257205</v>
      </c>
      <c r="H2876" s="1">
        <v>62.64965059</v>
      </c>
    </row>
    <row r="2877" spans="1:8" ht="15.75" thickBot="1" x14ac:dyDescent="0.3">
      <c r="A2877" s="1">
        <v>2015</v>
      </c>
      <c r="B2877" s="1" t="s">
        <v>11</v>
      </c>
      <c r="C2877" s="1" t="s">
        <v>9</v>
      </c>
      <c r="D2877" s="1" t="s">
        <v>27</v>
      </c>
      <c r="E2877" s="1">
        <v>792966.23</v>
      </c>
      <c r="F2877" s="1">
        <v>18825.97</v>
      </c>
      <c r="G2877" s="1">
        <v>39584</v>
      </c>
      <c r="H2877" s="1">
        <v>20.032493680000002</v>
      </c>
    </row>
    <row r="2878" spans="1:8" ht="15.75" thickBot="1" x14ac:dyDescent="0.3">
      <c r="A2878" s="1">
        <v>2015</v>
      </c>
      <c r="B2878" s="1" t="s">
        <v>12</v>
      </c>
      <c r="C2878" s="1" t="s">
        <v>21</v>
      </c>
      <c r="D2878" s="1" t="s">
        <v>27</v>
      </c>
      <c r="E2878" s="1">
        <v>30612746.780000001</v>
      </c>
      <c r="F2878" s="1">
        <v>1210154.45</v>
      </c>
      <c r="G2878" s="1">
        <v>661715</v>
      </c>
      <c r="H2878" s="1">
        <v>46.262736650000001</v>
      </c>
    </row>
    <row r="2879" spans="1:8" ht="15.75" thickBot="1" x14ac:dyDescent="0.3">
      <c r="A2879" s="1">
        <v>2017</v>
      </c>
      <c r="B2879" s="1" t="s">
        <v>30</v>
      </c>
      <c r="C2879" s="1" t="s">
        <v>23</v>
      </c>
      <c r="D2879" s="1" t="s">
        <v>19</v>
      </c>
      <c r="E2879" s="1">
        <v>125855095.8</v>
      </c>
      <c r="F2879" s="1">
        <v>3247505.58</v>
      </c>
      <c r="G2879" s="1">
        <v>1303028</v>
      </c>
      <c r="H2879" s="1">
        <v>96.586639579999996</v>
      </c>
    </row>
    <row r="2880" spans="1:8" ht="15.75" thickBot="1" x14ac:dyDescent="0.3">
      <c r="A2880" s="1">
        <v>2017</v>
      </c>
      <c r="B2880" s="1" t="s">
        <v>14</v>
      </c>
      <c r="C2880" s="1" t="s">
        <v>25</v>
      </c>
      <c r="D2880" s="1" t="s">
        <v>29</v>
      </c>
      <c r="E2880" s="1">
        <v>15881115.380000001</v>
      </c>
      <c r="F2880" s="1">
        <v>551145.03</v>
      </c>
      <c r="G2880" s="1">
        <v>110826</v>
      </c>
      <c r="H2880" s="1">
        <v>143.29774040000001</v>
      </c>
    </row>
    <row r="2881" spans="1:8" ht="15.75" thickBot="1" x14ac:dyDescent="0.3">
      <c r="A2881" s="1">
        <v>2014</v>
      </c>
      <c r="B2881" s="1" t="s">
        <v>35</v>
      </c>
      <c r="C2881" s="1" t="s">
        <v>33</v>
      </c>
      <c r="D2881" s="1" t="s">
        <v>19</v>
      </c>
      <c r="E2881" s="1">
        <v>18793.43</v>
      </c>
      <c r="F2881" s="1">
        <v>1033.32</v>
      </c>
      <c r="G2881" s="1">
        <v>685</v>
      </c>
      <c r="H2881" s="1">
        <v>27.43566423</v>
      </c>
    </row>
    <row r="2882" spans="1:8" ht="15.75" thickBot="1" x14ac:dyDescent="0.3">
      <c r="A2882" s="1">
        <v>2017</v>
      </c>
      <c r="B2882" s="1" t="s">
        <v>14</v>
      </c>
      <c r="C2882" s="1" t="s">
        <v>33</v>
      </c>
      <c r="D2882" s="1" t="s">
        <v>29</v>
      </c>
      <c r="E2882" s="1">
        <v>27458662.379999999</v>
      </c>
      <c r="F2882" s="1">
        <v>905663.06</v>
      </c>
      <c r="G2882" s="1">
        <v>132381</v>
      </c>
      <c r="H2882" s="1">
        <v>207.4214757</v>
      </c>
    </row>
    <row r="2883" spans="1:8" ht="15.75" thickBot="1" x14ac:dyDescent="0.3">
      <c r="A2883" s="1">
        <v>2017</v>
      </c>
      <c r="B2883" s="1" t="s">
        <v>30</v>
      </c>
      <c r="C2883" s="1" t="s">
        <v>26</v>
      </c>
      <c r="D2883" s="1" t="s">
        <v>13</v>
      </c>
      <c r="E2883" s="1">
        <v>25836042.059999999</v>
      </c>
      <c r="F2883" s="1">
        <v>723159.47</v>
      </c>
      <c r="G2883" s="1">
        <v>477771</v>
      </c>
      <c r="H2883" s="1">
        <v>54.076203999999997</v>
      </c>
    </row>
    <row r="2884" spans="1:8" ht="15.75" thickBot="1" x14ac:dyDescent="0.3">
      <c r="A2884" s="1">
        <v>2014</v>
      </c>
      <c r="B2884" s="1" t="s">
        <v>20</v>
      </c>
      <c r="C2884" s="1" t="s">
        <v>23</v>
      </c>
      <c r="D2884" s="1" t="s">
        <v>19</v>
      </c>
      <c r="E2884" s="1">
        <v>1145632.79</v>
      </c>
      <c r="F2884" s="1">
        <v>44224.2</v>
      </c>
      <c r="G2884" s="1">
        <v>68097</v>
      </c>
      <c r="H2884" s="1">
        <v>16.823542740000001</v>
      </c>
    </row>
    <row r="2885" spans="1:8" ht="15.75" thickBot="1" x14ac:dyDescent="0.3">
      <c r="A2885" s="1">
        <v>2014</v>
      </c>
      <c r="B2885" s="1" t="s">
        <v>30</v>
      </c>
      <c r="C2885" s="1" t="s">
        <v>9</v>
      </c>
      <c r="D2885" s="1" t="s">
        <v>29</v>
      </c>
      <c r="E2885" s="1">
        <v>13244.58</v>
      </c>
      <c r="F2885" s="1">
        <v>954.5</v>
      </c>
      <c r="G2885" s="1">
        <v>592</v>
      </c>
      <c r="H2885" s="1">
        <v>22.37260135</v>
      </c>
    </row>
    <row r="2886" spans="1:8" ht="15.75" thickBot="1" x14ac:dyDescent="0.3">
      <c r="A2886" s="1">
        <v>2017</v>
      </c>
      <c r="B2886" s="1" t="s">
        <v>30</v>
      </c>
      <c r="C2886" s="1" t="s">
        <v>25</v>
      </c>
      <c r="D2886" s="1" t="s">
        <v>13</v>
      </c>
      <c r="E2886" s="1">
        <v>34511971.130000003</v>
      </c>
      <c r="F2886" s="1">
        <v>888098.24</v>
      </c>
      <c r="G2886" s="1">
        <v>560882</v>
      </c>
      <c r="H2886" s="1">
        <v>61.53160759</v>
      </c>
    </row>
    <row r="2887" spans="1:8" ht="15.75" thickBot="1" x14ac:dyDescent="0.3">
      <c r="A2887" s="1">
        <v>2017</v>
      </c>
      <c r="B2887" s="1" t="s">
        <v>8</v>
      </c>
      <c r="C2887" s="1" t="s">
        <v>21</v>
      </c>
      <c r="D2887" s="1" t="s">
        <v>19</v>
      </c>
      <c r="E2887" s="1">
        <v>5363.64</v>
      </c>
      <c r="F2887" s="1">
        <v>136.47</v>
      </c>
      <c r="G2887" s="1">
        <v>35</v>
      </c>
      <c r="H2887" s="1">
        <v>153.2468571</v>
      </c>
    </row>
    <row r="2888" spans="1:8" ht="15.75" thickBot="1" x14ac:dyDescent="0.3">
      <c r="A2888" s="1">
        <v>2015</v>
      </c>
      <c r="B2888" s="1" t="s">
        <v>17</v>
      </c>
      <c r="C2888" s="1" t="s">
        <v>28</v>
      </c>
      <c r="D2888" s="1" t="s">
        <v>10</v>
      </c>
      <c r="E2888" s="1">
        <v>32326970.710000001</v>
      </c>
      <c r="F2888" s="1">
        <v>1015184.18</v>
      </c>
      <c r="G2888" s="1">
        <v>491564</v>
      </c>
      <c r="H2888" s="1">
        <v>65.763503249999999</v>
      </c>
    </row>
    <row r="2889" spans="1:8" ht="15.75" thickBot="1" x14ac:dyDescent="0.3">
      <c r="A2889" s="1">
        <v>2017</v>
      </c>
      <c r="B2889" s="1" t="s">
        <v>12</v>
      </c>
      <c r="C2889" s="1" t="s">
        <v>23</v>
      </c>
      <c r="D2889" s="1" t="s">
        <v>29</v>
      </c>
      <c r="E2889" s="1">
        <v>547145.49</v>
      </c>
      <c r="F2889" s="1">
        <v>18906.12</v>
      </c>
      <c r="G2889" s="1">
        <v>3490</v>
      </c>
      <c r="H2889" s="1">
        <v>156.77521200000001</v>
      </c>
    </row>
    <row r="2890" spans="1:8" ht="15.75" thickBot="1" x14ac:dyDescent="0.3">
      <c r="A2890" s="1">
        <v>2017</v>
      </c>
      <c r="B2890" s="1" t="s">
        <v>16</v>
      </c>
      <c r="C2890" s="1" t="s">
        <v>28</v>
      </c>
      <c r="D2890" s="1" t="s">
        <v>13</v>
      </c>
      <c r="E2890" s="1">
        <v>16802514.359999999</v>
      </c>
      <c r="F2890" s="1">
        <v>260129.31</v>
      </c>
      <c r="G2890" s="1">
        <v>148217</v>
      </c>
      <c r="H2890" s="1">
        <v>113.3642859</v>
      </c>
    </row>
    <row r="2891" spans="1:8" ht="15.75" thickBot="1" x14ac:dyDescent="0.3">
      <c r="A2891" s="1">
        <v>2016</v>
      </c>
      <c r="B2891" s="1" t="s">
        <v>12</v>
      </c>
      <c r="C2891" s="1" t="s">
        <v>26</v>
      </c>
      <c r="D2891" s="1" t="s">
        <v>31</v>
      </c>
      <c r="E2891" s="1">
        <v>292785.90000000002</v>
      </c>
      <c r="F2891" s="1">
        <v>9555</v>
      </c>
      <c r="G2891" s="1">
        <v>6644</v>
      </c>
      <c r="H2891" s="1">
        <v>44.067715229999997</v>
      </c>
    </row>
    <row r="2892" spans="1:8" ht="15.75" thickBot="1" x14ac:dyDescent="0.3">
      <c r="A2892" s="1">
        <v>2016</v>
      </c>
      <c r="B2892" s="1" t="s">
        <v>16</v>
      </c>
      <c r="C2892" s="1" t="s">
        <v>9</v>
      </c>
      <c r="D2892" s="1" t="s">
        <v>31</v>
      </c>
      <c r="E2892" s="1">
        <v>2788.73</v>
      </c>
      <c r="F2892" s="1">
        <v>238.24</v>
      </c>
      <c r="G2892" s="1">
        <v>1622</v>
      </c>
      <c r="H2892" s="1">
        <v>1.7193156599999999</v>
      </c>
    </row>
    <row r="2893" spans="1:8" ht="15.75" thickBot="1" x14ac:dyDescent="0.3">
      <c r="A2893" s="1">
        <v>2015</v>
      </c>
      <c r="B2893" s="1" t="s">
        <v>14</v>
      </c>
      <c r="C2893" s="1" t="s">
        <v>33</v>
      </c>
      <c r="D2893" s="1" t="s">
        <v>29</v>
      </c>
      <c r="E2893" s="1">
        <v>18937157.370000001</v>
      </c>
      <c r="F2893" s="1">
        <v>619396.96</v>
      </c>
      <c r="G2893" s="1">
        <v>91766</v>
      </c>
      <c r="H2893" s="1">
        <v>206.36354829999999</v>
      </c>
    </row>
    <row r="2894" spans="1:8" ht="15.75" thickBot="1" x14ac:dyDescent="0.3">
      <c r="A2894" s="1">
        <v>2017</v>
      </c>
      <c r="B2894" s="1" t="s">
        <v>12</v>
      </c>
      <c r="C2894" s="1" t="s">
        <v>18</v>
      </c>
      <c r="D2894" s="1" t="s">
        <v>24</v>
      </c>
      <c r="E2894" s="1">
        <v>1669995.96</v>
      </c>
      <c r="F2894" s="1">
        <v>51143.93</v>
      </c>
      <c r="G2894" s="1">
        <v>3832</v>
      </c>
      <c r="H2894" s="1">
        <v>435.80270350000001</v>
      </c>
    </row>
    <row r="2895" spans="1:8" ht="15.75" thickBot="1" x14ac:dyDescent="0.3">
      <c r="A2895" s="1">
        <v>2016</v>
      </c>
      <c r="B2895" s="1" t="s">
        <v>17</v>
      </c>
      <c r="C2895" s="1" t="s">
        <v>28</v>
      </c>
      <c r="D2895" s="1" t="s">
        <v>13</v>
      </c>
      <c r="E2895" s="1">
        <v>1596650.44</v>
      </c>
      <c r="F2895" s="1">
        <v>35001.4</v>
      </c>
      <c r="G2895" s="1">
        <v>16741</v>
      </c>
      <c r="H2895" s="1">
        <v>95.373659880000005</v>
      </c>
    </row>
    <row r="2896" spans="1:8" ht="15.75" thickBot="1" x14ac:dyDescent="0.3">
      <c r="A2896" s="1">
        <v>2016</v>
      </c>
      <c r="B2896" s="1" t="s">
        <v>11</v>
      </c>
      <c r="C2896" s="1" t="s">
        <v>12</v>
      </c>
      <c r="D2896" s="1" t="s">
        <v>22</v>
      </c>
      <c r="E2896" s="1">
        <v>5015779.88</v>
      </c>
      <c r="F2896" s="1">
        <v>174002.94</v>
      </c>
      <c r="G2896" s="1">
        <v>330626</v>
      </c>
      <c r="H2896" s="1">
        <v>15.17055489</v>
      </c>
    </row>
    <row r="2897" spans="1:8" ht="15.75" thickBot="1" x14ac:dyDescent="0.3">
      <c r="A2897" s="1">
        <v>2016</v>
      </c>
      <c r="B2897" s="1" t="s">
        <v>17</v>
      </c>
      <c r="C2897" s="1" t="s">
        <v>15</v>
      </c>
      <c r="D2897" s="1" t="s">
        <v>31</v>
      </c>
      <c r="E2897" s="1">
        <v>13784144.24</v>
      </c>
      <c r="F2897" s="1">
        <v>462480.96</v>
      </c>
      <c r="G2897" s="1">
        <v>237656</v>
      </c>
      <c r="H2897" s="1">
        <v>58.000404959999997</v>
      </c>
    </row>
    <row r="2898" spans="1:8" ht="15.75" thickBot="1" x14ac:dyDescent="0.3">
      <c r="A2898" s="1">
        <v>2016</v>
      </c>
      <c r="B2898" s="1" t="s">
        <v>11</v>
      </c>
      <c r="C2898" s="1" t="s">
        <v>18</v>
      </c>
      <c r="D2898" s="1" t="s">
        <v>27</v>
      </c>
      <c r="E2898" s="1">
        <v>45136014.479999997</v>
      </c>
      <c r="F2898" s="1">
        <v>1201293.1299999999</v>
      </c>
      <c r="G2898" s="1">
        <v>517929</v>
      </c>
      <c r="H2898" s="1">
        <v>87.14710796</v>
      </c>
    </row>
    <row r="2899" spans="1:8" ht="15.75" thickBot="1" x14ac:dyDescent="0.3">
      <c r="A2899" s="1">
        <v>2015</v>
      </c>
      <c r="B2899" s="1" t="s">
        <v>11</v>
      </c>
      <c r="C2899" s="1" t="s">
        <v>28</v>
      </c>
      <c r="D2899" s="1" t="s">
        <v>36</v>
      </c>
      <c r="E2899" s="1">
        <v>169825804.90000001</v>
      </c>
      <c r="F2899" s="1">
        <v>26964.07</v>
      </c>
      <c r="G2899" s="1">
        <v>378963</v>
      </c>
      <c r="H2899" s="1">
        <v>448.13294400000001</v>
      </c>
    </row>
    <row r="2900" spans="1:8" ht="15.75" thickBot="1" x14ac:dyDescent="0.3">
      <c r="A2900" s="1">
        <v>2015</v>
      </c>
      <c r="B2900" s="1" t="s">
        <v>16</v>
      </c>
      <c r="C2900" s="1" t="s">
        <v>23</v>
      </c>
      <c r="D2900" s="1" t="s">
        <v>29</v>
      </c>
      <c r="E2900" s="1">
        <v>9427420.6600000001</v>
      </c>
      <c r="F2900" s="1">
        <v>356272.23</v>
      </c>
      <c r="G2900" s="1">
        <v>58865</v>
      </c>
      <c r="H2900" s="1">
        <v>160.15324319999999</v>
      </c>
    </row>
    <row r="2901" spans="1:8" ht="15.75" thickBot="1" x14ac:dyDescent="0.3">
      <c r="A2901" s="1">
        <v>2014</v>
      </c>
      <c r="B2901" s="1" t="s">
        <v>20</v>
      </c>
      <c r="C2901" s="1" t="s">
        <v>23</v>
      </c>
      <c r="D2901" s="1" t="s">
        <v>31</v>
      </c>
      <c r="E2901" s="1">
        <v>10023.52</v>
      </c>
      <c r="F2901" s="1">
        <v>379.89</v>
      </c>
      <c r="G2901" s="1">
        <v>300238</v>
      </c>
      <c r="H2901" s="1">
        <v>3.3385247700000002E-2</v>
      </c>
    </row>
    <row r="2902" spans="1:8" ht="15.75" thickBot="1" x14ac:dyDescent="0.3">
      <c r="A2902" s="1">
        <v>2017</v>
      </c>
      <c r="B2902" s="1" t="s">
        <v>17</v>
      </c>
      <c r="C2902" s="1" t="s">
        <v>18</v>
      </c>
      <c r="D2902" s="1" t="s">
        <v>22</v>
      </c>
      <c r="E2902" s="1">
        <v>47646.35</v>
      </c>
      <c r="F2902" s="1">
        <v>1673.36</v>
      </c>
      <c r="G2902" s="1">
        <v>2898</v>
      </c>
      <c r="H2902" s="1">
        <v>16.441114559999999</v>
      </c>
    </row>
    <row r="2903" spans="1:8" ht="15.75" thickBot="1" x14ac:dyDescent="0.3">
      <c r="A2903" s="1">
        <v>2014</v>
      </c>
      <c r="B2903" s="1" t="s">
        <v>30</v>
      </c>
      <c r="C2903" s="1" t="s">
        <v>23</v>
      </c>
      <c r="D2903" s="1" t="s">
        <v>27</v>
      </c>
      <c r="E2903" s="1">
        <v>526036646.10000002</v>
      </c>
      <c r="F2903" s="1">
        <v>20295413.109999999</v>
      </c>
      <c r="G2903" s="1">
        <v>12046687</v>
      </c>
      <c r="H2903" s="1">
        <v>43.666499020000003</v>
      </c>
    </row>
    <row r="2904" spans="1:8" ht="15.75" thickBot="1" x14ac:dyDescent="0.3">
      <c r="A2904" s="1">
        <v>2015</v>
      </c>
      <c r="B2904" s="1" t="s">
        <v>16</v>
      </c>
      <c r="C2904" s="1" t="s">
        <v>28</v>
      </c>
      <c r="D2904" s="1" t="s">
        <v>27</v>
      </c>
      <c r="E2904" s="1">
        <v>592260181.20000005</v>
      </c>
      <c r="F2904" s="1">
        <v>21377262.059999999</v>
      </c>
      <c r="G2904" s="1">
        <v>8011111</v>
      </c>
      <c r="H2904" s="1">
        <v>73.929843340000005</v>
      </c>
    </row>
    <row r="2905" spans="1:8" ht="15.75" thickBot="1" x14ac:dyDescent="0.3">
      <c r="A2905" s="1">
        <v>2015</v>
      </c>
      <c r="B2905" s="1" t="s">
        <v>30</v>
      </c>
      <c r="C2905" s="1" t="s">
        <v>26</v>
      </c>
      <c r="D2905" s="1" t="s">
        <v>19</v>
      </c>
      <c r="E2905" s="1">
        <v>155053103.59999999</v>
      </c>
      <c r="F2905" s="1">
        <v>4677707.7</v>
      </c>
      <c r="G2905" s="1">
        <v>1416056</v>
      </c>
      <c r="H2905" s="1">
        <v>109.496449</v>
      </c>
    </row>
    <row r="2906" spans="1:8" ht="15.75" thickBot="1" x14ac:dyDescent="0.3">
      <c r="A2906" s="1">
        <v>2015</v>
      </c>
      <c r="B2906" s="1" t="s">
        <v>30</v>
      </c>
      <c r="C2906" s="1" t="s">
        <v>28</v>
      </c>
      <c r="D2906" s="1" t="s">
        <v>29</v>
      </c>
      <c r="E2906" s="1">
        <v>27648352.719999999</v>
      </c>
      <c r="F2906" s="1">
        <v>801002.37</v>
      </c>
      <c r="G2906" s="1">
        <v>104350</v>
      </c>
      <c r="H2906" s="1">
        <v>264.95786029999999</v>
      </c>
    </row>
    <row r="2907" spans="1:8" ht="15.75" thickBot="1" x14ac:dyDescent="0.3">
      <c r="A2907" s="1">
        <v>2015</v>
      </c>
      <c r="B2907" s="1" t="s">
        <v>35</v>
      </c>
      <c r="C2907" s="1" t="s">
        <v>25</v>
      </c>
      <c r="D2907" s="1" t="s">
        <v>22</v>
      </c>
      <c r="E2907" s="1">
        <v>0</v>
      </c>
      <c r="F2907" s="1">
        <v>0</v>
      </c>
      <c r="G2907" s="1">
        <v>22</v>
      </c>
      <c r="H2907" s="1">
        <v>0</v>
      </c>
    </row>
    <row r="2908" spans="1:8" ht="15.75" thickBot="1" x14ac:dyDescent="0.3">
      <c r="A2908" s="1">
        <v>2017</v>
      </c>
      <c r="B2908" s="1" t="s">
        <v>17</v>
      </c>
      <c r="C2908" s="1" t="s">
        <v>28</v>
      </c>
      <c r="D2908" s="1" t="s">
        <v>19</v>
      </c>
      <c r="E2908" s="1">
        <v>376245452.10000002</v>
      </c>
      <c r="F2908" s="1">
        <v>8338967.9100000001</v>
      </c>
      <c r="G2908" s="1">
        <v>577540</v>
      </c>
      <c r="H2908" s="1">
        <v>651.4621535</v>
      </c>
    </row>
    <row r="2909" spans="1:8" ht="15.75" thickBot="1" x14ac:dyDescent="0.3">
      <c r="A2909" s="1">
        <v>2016</v>
      </c>
      <c r="B2909" s="1" t="s">
        <v>17</v>
      </c>
      <c r="C2909" s="1" t="s">
        <v>9</v>
      </c>
      <c r="D2909" s="1" t="s">
        <v>13</v>
      </c>
      <c r="E2909" s="1">
        <v>6331.79</v>
      </c>
      <c r="F2909" s="1">
        <v>176.67</v>
      </c>
      <c r="G2909" s="1">
        <v>526</v>
      </c>
      <c r="H2909" s="1">
        <v>12.037623569999999</v>
      </c>
    </row>
    <row r="2910" spans="1:8" ht="15.75" thickBot="1" x14ac:dyDescent="0.3">
      <c r="A2910" s="1">
        <v>2014</v>
      </c>
      <c r="B2910" s="1" t="s">
        <v>17</v>
      </c>
      <c r="C2910" s="1" t="s">
        <v>23</v>
      </c>
      <c r="D2910" s="1" t="s">
        <v>27</v>
      </c>
      <c r="E2910" s="1">
        <v>388465042.69999999</v>
      </c>
      <c r="F2910" s="1">
        <v>13209049.91</v>
      </c>
      <c r="G2910" s="1">
        <v>6300867</v>
      </c>
      <c r="H2910" s="1">
        <v>61.652633299999998</v>
      </c>
    </row>
    <row r="2911" spans="1:8" ht="15.75" thickBot="1" x14ac:dyDescent="0.3">
      <c r="A2911" s="1">
        <v>2015</v>
      </c>
      <c r="B2911" s="1" t="s">
        <v>16</v>
      </c>
      <c r="C2911" s="1" t="s">
        <v>9</v>
      </c>
      <c r="D2911" s="1" t="s">
        <v>29</v>
      </c>
      <c r="E2911" s="1">
        <v>111558.9</v>
      </c>
      <c r="F2911" s="1">
        <v>1947.98</v>
      </c>
      <c r="G2911" s="1">
        <v>739</v>
      </c>
      <c r="H2911" s="1">
        <v>150.95926929999999</v>
      </c>
    </row>
    <row r="2912" spans="1:8" ht="15.75" thickBot="1" x14ac:dyDescent="0.3">
      <c r="A2912" s="1">
        <v>2014</v>
      </c>
      <c r="B2912" s="1" t="s">
        <v>16</v>
      </c>
      <c r="C2912" s="1" t="s">
        <v>15</v>
      </c>
      <c r="D2912" s="1" t="s">
        <v>24</v>
      </c>
      <c r="E2912" s="1">
        <v>21271734.73</v>
      </c>
      <c r="F2912" s="1">
        <v>698073.9</v>
      </c>
      <c r="G2912" s="1">
        <v>81338</v>
      </c>
      <c r="H2912" s="1">
        <v>261.52271669999999</v>
      </c>
    </row>
    <row r="2913" spans="1:8" ht="15.75" thickBot="1" x14ac:dyDescent="0.3">
      <c r="A2913" s="1">
        <v>2017</v>
      </c>
      <c r="B2913" s="1" t="s">
        <v>30</v>
      </c>
      <c r="C2913" s="1" t="s">
        <v>9</v>
      </c>
      <c r="D2913" s="1" t="s">
        <v>27</v>
      </c>
      <c r="E2913" s="1">
        <v>77190928.739999995</v>
      </c>
      <c r="F2913" s="1">
        <v>2655933.71</v>
      </c>
      <c r="G2913" s="1">
        <v>1084515</v>
      </c>
      <c r="H2913" s="1">
        <v>71.175528909999997</v>
      </c>
    </row>
    <row r="2914" spans="1:8" ht="15.75" thickBot="1" x14ac:dyDescent="0.3">
      <c r="A2914" s="1">
        <v>2014</v>
      </c>
      <c r="B2914" s="1" t="s">
        <v>17</v>
      </c>
      <c r="C2914" s="1" t="s">
        <v>26</v>
      </c>
      <c r="D2914" s="1" t="s">
        <v>31</v>
      </c>
      <c r="E2914" s="1">
        <v>4852543.7300000004</v>
      </c>
      <c r="F2914" s="1">
        <v>155265.53</v>
      </c>
      <c r="G2914" s="1">
        <v>82124</v>
      </c>
      <c r="H2914" s="1">
        <v>59.088009960000001</v>
      </c>
    </row>
    <row r="2915" spans="1:8" ht="15.75" thickBot="1" x14ac:dyDescent="0.3">
      <c r="A2915" s="1">
        <v>2016</v>
      </c>
      <c r="B2915" s="1" t="s">
        <v>35</v>
      </c>
      <c r="C2915" s="1" t="s">
        <v>33</v>
      </c>
      <c r="D2915" s="1" t="s">
        <v>27</v>
      </c>
      <c r="E2915" s="1">
        <v>23787.63</v>
      </c>
      <c r="F2915" s="1">
        <v>399.29</v>
      </c>
      <c r="G2915" s="1">
        <v>571</v>
      </c>
      <c r="H2915" s="1">
        <v>41.6595972</v>
      </c>
    </row>
    <row r="2916" spans="1:8" ht="15.75" thickBot="1" x14ac:dyDescent="0.3">
      <c r="A2916" s="1">
        <v>2015</v>
      </c>
      <c r="B2916" s="1" t="s">
        <v>35</v>
      </c>
      <c r="C2916" s="1" t="s">
        <v>12</v>
      </c>
      <c r="D2916" s="1" t="s">
        <v>32</v>
      </c>
      <c r="E2916" s="1">
        <v>17313.16</v>
      </c>
      <c r="F2916" s="1">
        <v>1042.3699999999999</v>
      </c>
      <c r="G2916" s="1">
        <v>1057</v>
      </c>
      <c r="H2916" s="1">
        <v>16.37952696</v>
      </c>
    </row>
    <row r="2917" spans="1:8" ht="15.75" thickBot="1" x14ac:dyDescent="0.3">
      <c r="A2917" s="1">
        <v>2016</v>
      </c>
      <c r="B2917" s="1" t="s">
        <v>11</v>
      </c>
      <c r="C2917" s="1" t="s">
        <v>9</v>
      </c>
      <c r="D2917" s="1" t="s">
        <v>27</v>
      </c>
      <c r="E2917" s="1">
        <v>60233349.340000004</v>
      </c>
      <c r="F2917" s="1">
        <v>1548620.22</v>
      </c>
      <c r="G2917" s="1">
        <v>749343</v>
      </c>
      <c r="H2917" s="1">
        <v>80.381546689999993</v>
      </c>
    </row>
    <row r="2918" spans="1:8" ht="15.75" thickBot="1" x14ac:dyDescent="0.3">
      <c r="A2918" s="1">
        <v>2014</v>
      </c>
      <c r="B2918" s="1" t="s">
        <v>35</v>
      </c>
      <c r="C2918" s="1" t="s">
        <v>9</v>
      </c>
      <c r="D2918" s="1" t="s">
        <v>31</v>
      </c>
      <c r="E2918" s="1">
        <v>0</v>
      </c>
      <c r="F2918" s="1">
        <v>0</v>
      </c>
      <c r="G2918" s="1">
        <v>212055</v>
      </c>
      <c r="H2918" s="1">
        <v>0</v>
      </c>
    </row>
    <row r="2919" spans="1:8" ht="15.75" thickBot="1" x14ac:dyDescent="0.3">
      <c r="A2919" s="1">
        <v>2015</v>
      </c>
      <c r="B2919" s="1" t="s">
        <v>11</v>
      </c>
      <c r="C2919" s="1" t="s">
        <v>25</v>
      </c>
      <c r="D2919" s="1" t="s">
        <v>24</v>
      </c>
      <c r="E2919" s="1">
        <v>7230868.7300000004</v>
      </c>
      <c r="F2919" s="1">
        <v>221297.85</v>
      </c>
      <c r="G2919" s="1">
        <v>24354</v>
      </c>
      <c r="H2919" s="1">
        <v>296.90682149999998</v>
      </c>
    </row>
    <row r="2920" spans="1:8" ht="15.75" thickBot="1" x14ac:dyDescent="0.3">
      <c r="A2920" s="1">
        <v>2015</v>
      </c>
      <c r="B2920" s="1" t="s">
        <v>30</v>
      </c>
      <c r="C2920" s="1" t="s">
        <v>9</v>
      </c>
      <c r="D2920" s="1" t="s">
        <v>13</v>
      </c>
      <c r="E2920" s="1">
        <v>25</v>
      </c>
      <c r="F2920" s="1">
        <v>0</v>
      </c>
      <c r="G2920" s="1">
        <v>1</v>
      </c>
      <c r="H2920" s="1">
        <v>25</v>
      </c>
    </row>
    <row r="2921" spans="1:8" ht="15.75" thickBot="1" x14ac:dyDescent="0.3">
      <c r="A2921" s="1">
        <v>2016</v>
      </c>
      <c r="B2921" s="1" t="s">
        <v>17</v>
      </c>
      <c r="C2921" s="1" t="s">
        <v>23</v>
      </c>
      <c r="D2921" s="1" t="s">
        <v>27</v>
      </c>
      <c r="E2921" s="1">
        <v>455540834.60000002</v>
      </c>
      <c r="F2921" s="1">
        <v>16190419.15</v>
      </c>
      <c r="G2921" s="1">
        <v>8244380</v>
      </c>
      <c r="H2921" s="1">
        <v>55.254711039999997</v>
      </c>
    </row>
    <row r="2922" spans="1:8" ht="15.75" thickBot="1" x14ac:dyDescent="0.3">
      <c r="A2922" s="1">
        <v>2014</v>
      </c>
      <c r="B2922" s="1" t="s">
        <v>35</v>
      </c>
      <c r="C2922" s="1" t="s">
        <v>9</v>
      </c>
      <c r="D2922" s="1" t="s">
        <v>37</v>
      </c>
      <c r="E2922" s="1">
        <v>1460.96</v>
      </c>
      <c r="F2922" s="1">
        <v>53.14</v>
      </c>
      <c r="G2922" s="1">
        <v>386</v>
      </c>
      <c r="H2922" s="1">
        <v>3.7848704660000001</v>
      </c>
    </row>
    <row r="2923" spans="1:8" ht="15.75" thickBot="1" x14ac:dyDescent="0.3">
      <c r="A2923" s="1">
        <v>2017</v>
      </c>
      <c r="B2923" s="1" t="s">
        <v>8</v>
      </c>
      <c r="C2923" s="1" t="s">
        <v>23</v>
      </c>
      <c r="D2923" s="1" t="s">
        <v>13</v>
      </c>
      <c r="E2923" s="1">
        <v>125.9</v>
      </c>
      <c r="F2923" s="1">
        <v>5.47</v>
      </c>
      <c r="G2923" s="1">
        <v>6</v>
      </c>
      <c r="H2923" s="1">
        <v>20.983333330000001</v>
      </c>
    </row>
    <row r="2924" spans="1:8" ht="15.75" thickBot="1" x14ac:dyDescent="0.3">
      <c r="A2924" s="1">
        <v>2015</v>
      </c>
      <c r="B2924" s="1" t="s">
        <v>20</v>
      </c>
      <c r="C2924" s="1" t="s">
        <v>23</v>
      </c>
      <c r="D2924" s="1" t="s">
        <v>19</v>
      </c>
      <c r="E2924" s="1">
        <v>1211867.3500000001</v>
      </c>
      <c r="F2924" s="1">
        <v>46993.56</v>
      </c>
      <c r="G2924" s="1">
        <v>64815</v>
      </c>
      <c r="H2924" s="1">
        <v>18.697328550000002</v>
      </c>
    </row>
    <row r="2925" spans="1:8" ht="15.75" thickBot="1" x14ac:dyDescent="0.3">
      <c r="A2925" s="1">
        <v>2016</v>
      </c>
      <c r="B2925" s="1" t="s">
        <v>8</v>
      </c>
      <c r="C2925" s="1" t="s">
        <v>21</v>
      </c>
      <c r="D2925" s="1" t="s">
        <v>27</v>
      </c>
      <c r="E2925" s="1">
        <v>13379.76</v>
      </c>
      <c r="F2925" s="1">
        <v>631.86</v>
      </c>
      <c r="G2925" s="1">
        <v>761</v>
      </c>
      <c r="H2925" s="1">
        <v>17.581813400000001</v>
      </c>
    </row>
    <row r="2926" spans="1:8" ht="15.75" thickBot="1" x14ac:dyDescent="0.3">
      <c r="A2926" s="1">
        <v>2016</v>
      </c>
      <c r="B2926" s="1" t="s">
        <v>20</v>
      </c>
      <c r="C2926" s="1" t="s">
        <v>33</v>
      </c>
      <c r="D2926" s="1" t="s">
        <v>29</v>
      </c>
      <c r="E2926" s="1">
        <v>1306624.8899999999</v>
      </c>
      <c r="F2926" s="1">
        <v>44585.93</v>
      </c>
      <c r="G2926" s="1">
        <v>13284</v>
      </c>
      <c r="H2926" s="1">
        <v>98.360801719999998</v>
      </c>
    </row>
    <row r="2927" spans="1:8" ht="15.75" thickBot="1" x14ac:dyDescent="0.3">
      <c r="A2927" s="1">
        <v>2015</v>
      </c>
      <c r="B2927" s="1" t="s">
        <v>35</v>
      </c>
      <c r="C2927" s="1" t="s">
        <v>21</v>
      </c>
      <c r="D2927" s="1" t="s">
        <v>19</v>
      </c>
      <c r="E2927" s="1">
        <v>18315.580000000002</v>
      </c>
      <c r="F2927" s="1">
        <v>753.84</v>
      </c>
      <c r="G2927" s="1">
        <v>541</v>
      </c>
      <c r="H2927" s="1">
        <v>33.855046209999998</v>
      </c>
    </row>
    <row r="2928" spans="1:8" ht="15.75" thickBot="1" x14ac:dyDescent="0.3">
      <c r="A2928" s="1">
        <v>2015</v>
      </c>
      <c r="B2928" s="1" t="s">
        <v>17</v>
      </c>
      <c r="C2928" s="1" t="s">
        <v>9</v>
      </c>
      <c r="D2928" s="1" t="s">
        <v>22</v>
      </c>
      <c r="E2928" s="1">
        <v>168.66</v>
      </c>
      <c r="F2928" s="1">
        <v>4.58</v>
      </c>
      <c r="G2928" s="1">
        <v>10</v>
      </c>
      <c r="H2928" s="1">
        <v>16.866</v>
      </c>
    </row>
    <row r="2929" spans="1:8" ht="15.75" thickBot="1" x14ac:dyDescent="0.3">
      <c r="A2929" s="1">
        <v>2016</v>
      </c>
      <c r="B2929" s="1" t="s">
        <v>20</v>
      </c>
      <c r="C2929" s="1" t="s">
        <v>9</v>
      </c>
      <c r="D2929" s="1" t="s">
        <v>10</v>
      </c>
      <c r="E2929" s="1">
        <v>834.88</v>
      </c>
      <c r="F2929" s="1">
        <v>41</v>
      </c>
      <c r="G2929" s="1">
        <v>452</v>
      </c>
      <c r="H2929" s="1">
        <v>1.8470796460000001</v>
      </c>
    </row>
    <row r="2930" spans="1:8" ht="15.75" thickBot="1" x14ac:dyDescent="0.3">
      <c r="A2930" s="1">
        <v>2015</v>
      </c>
      <c r="B2930" s="1" t="s">
        <v>20</v>
      </c>
      <c r="C2930" s="1" t="s">
        <v>25</v>
      </c>
      <c r="D2930" s="1" t="s">
        <v>27</v>
      </c>
      <c r="E2930" s="1">
        <v>10188149.550000001</v>
      </c>
      <c r="F2930" s="1">
        <v>410453.73</v>
      </c>
      <c r="G2930" s="1">
        <v>312369</v>
      </c>
      <c r="H2930" s="1">
        <v>32.615751080000003</v>
      </c>
    </row>
    <row r="2931" spans="1:8" ht="15.75" thickBot="1" x14ac:dyDescent="0.3">
      <c r="A2931" s="1">
        <v>2016</v>
      </c>
      <c r="B2931" s="1" t="s">
        <v>35</v>
      </c>
      <c r="C2931" s="1" t="s">
        <v>12</v>
      </c>
      <c r="D2931" s="1" t="s">
        <v>10</v>
      </c>
      <c r="E2931" s="1">
        <v>118.03</v>
      </c>
      <c r="F2931" s="1">
        <v>5.17</v>
      </c>
      <c r="G2931" s="1">
        <v>167</v>
      </c>
      <c r="H2931" s="1">
        <v>0.70676646710000002</v>
      </c>
    </row>
    <row r="2932" spans="1:8" ht="15.75" thickBot="1" x14ac:dyDescent="0.3">
      <c r="A2932" s="1">
        <v>2016</v>
      </c>
      <c r="B2932" s="1" t="s">
        <v>30</v>
      </c>
      <c r="C2932" s="1" t="s">
        <v>23</v>
      </c>
      <c r="D2932" s="1" t="s">
        <v>32</v>
      </c>
      <c r="E2932" s="1">
        <v>12932226.26</v>
      </c>
      <c r="F2932" s="1">
        <v>552720.59</v>
      </c>
      <c r="G2932" s="1">
        <v>407983</v>
      </c>
      <c r="H2932" s="1">
        <v>31.697953739999999</v>
      </c>
    </row>
    <row r="2933" spans="1:8" ht="15.75" thickBot="1" x14ac:dyDescent="0.3">
      <c r="A2933" s="1">
        <v>2016</v>
      </c>
      <c r="B2933" s="1" t="s">
        <v>16</v>
      </c>
      <c r="C2933" s="1" t="s">
        <v>26</v>
      </c>
      <c r="D2933" s="1" t="s">
        <v>22</v>
      </c>
      <c r="E2933" s="1">
        <v>109637.8</v>
      </c>
      <c r="F2933" s="1">
        <v>3255.6</v>
      </c>
      <c r="G2933" s="1">
        <v>6813</v>
      </c>
      <c r="H2933" s="1">
        <v>16.092440920000001</v>
      </c>
    </row>
    <row r="2934" spans="1:8" ht="15.75" thickBot="1" x14ac:dyDescent="0.3">
      <c r="A2934" s="1">
        <v>2014</v>
      </c>
      <c r="B2934" s="1" t="s">
        <v>30</v>
      </c>
      <c r="C2934" s="1" t="s">
        <v>33</v>
      </c>
      <c r="D2934" s="1" t="s">
        <v>27</v>
      </c>
      <c r="E2934" s="1">
        <v>615949226.5</v>
      </c>
      <c r="F2934" s="1">
        <v>21610874.899999999</v>
      </c>
      <c r="G2934" s="1">
        <v>8319216</v>
      </c>
      <c r="H2934" s="1">
        <v>74.039335730000005</v>
      </c>
    </row>
    <row r="2935" spans="1:8" ht="15.75" thickBot="1" x14ac:dyDescent="0.3">
      <c r="A2935" s="1">
        <v>2017</v>
      </c>
      <c r="B2935" s="1" t="s">
        <v>12</v>
      </c>
      <c r="C2935" s="1" t="s">
        <v>21</v>
      </c>
      <c r="D2935" s="1" t="s">
        <v>13</v>
      </c>
      <c r="E2935" s="1">
        <v>515306.64</v>
      </c>
      <c r="F2935" s="1">
        <v>17226.23</v>
      </c>
      <c r="G2935" s="1">
        <v>14263</v>
      </c>
      <c r="H2935" s="1">
        <v>36.12890977</v>
      </c>
    </row>
    <row r="2936" spans="1:8" ht="15.75" thickBot="1" x14ac:dyDescent="0.3">
      <c r="A2936" s="1">
        <v>2017</v>
      </c>
      <c r="B2936" s="1" t="s">
        <v>8</v>
      </c>
      <c r="C2936" s="1" t="s">
        <v>33</v>
      </c>
      <c r="D2936" s="1" t="s">
        <v>13</v>
      </c>
      <c r="E2936" s="1">
        <v>17.97</v>
      </c>
      <c r="F2936" s="1">
        <v>1.1200000000000001</v>
      </c>
      <c r="G2936" s="1">
        <v>2</v>
      </c>
      <c r="H2936" s="1">
        <v>8.9849999999999994</v>
      </c>
    </row>
    <row r="2937" spans="1:8" ht="15.75" thickBot="1" x14ac:dyDescent="0.3">
      <c r="A2937" s="1">
        <v>2016</v>
      </c>
      <c r="B2937" s="1" t="s">
        <v>17</v>
      </c>
      <c r="C2937" s="1" t="s">
        <v>33</v>
      </c>
      <c r="D2937" s="1" t="s">
        <v>19</v>
      </c>
      <c r="E2937" s="1">
        <v>33980604.270000003</v>
      </c>
      <c r="F2937" s="1">
        <v>1154189.5</v>
      </c>
      <c r="G2937" s="1">
        <v>179501</v>
      </c>
      <c r="H2937" s="1">
        <v>189.30593289999999</v>
      </c>
    </row>
    <row r="2938" spans="1:8" ht="15.75" thickBot="1" x14ac:dyDescent="0.3">
      <c r="A2938" s="1">
        <v>2016</v>
      </c>
      <c r="B2938" s="1" t="s">
        <v>8</v>
      </c>
      <c r="C2938" s="1" t="s">
        <v>9</v>
      </c>
      <c r="D2938" s="1" t="s">
        <v>24</v>
      </c>
      <c r="E2938" s="1">
        <v>720</v>
      </c>
      <c r="F2938" s="1">
        <v>21.48</v>
      </c>
      <c r="G2938" s="1">
        <v>2</v>
      </c>
      <c r="H2938" s="1">
        <v>360</v>
      </c>
    </row>
    <row r="2939" spans="1:8" ht="15.75" thickBot="1" x14ac:dyDescent="0.3">
      <c r="A2939" s="1">
        <v>2015</v>
      </c>
      <c r="B2939" s="1" t="s">
        <v>11</v>
      </c>
      <c r="C2939" s="1" t="s">
        <v>12</v>
      </c>
      <c r="D2939" s="1" t="s">
        <v>19</v>
      </c>
      <c r="E2939" s="1">
        <v>3519428.44</v>
      </c>
      <c r="F2939" s="1">
        <v>128225.87</v>
      </c>
      <c r="G2939" s="1">
        <v>28132</v>
      </c>
      <c r="H2939" s="1">
        <v>125.1040964</v>
      </c>
    </row>
    <row r="2940" spans="1:8" ht="15.75" thickBot="1" x14ac:dyDescent="0.3">
      <c r="A2940" s="1">
        <v>2016</v>
      </c>
      <c r="B2940" s="1" t="s">
        <v>16</v>
      </c>
      <c r="C2940" s="1" t="s">
        <v>9</v>
      </c>
      <c r="D2940" s="1" t="s">
        <v>13</v>
      </c>
      <c r="E2940" s="1">
        <v>4995.0600000000004</v>
      </c>
      <c r="F2940" s="1">
        <v>172.61</v>
      </c>
      <c r="G2940" s="1">
        <v>594</v>
      </c>
      <c r="H2940" s="1">
        <v>8.4091919189999995</v>
      </c>
    </row>
    <row r="2941" spans="1:8" ht="15.75" thickBot="1" x14ac:dyDescent="0.3">
      <c r="A2941" s="1">
        <v>2017</v>
      </c>
      <c r="B2941" s="1" t="s">
        <v>17</v>
      </c>
      <c r="C2941" s="1" t="s">
        <v>18</v>
      </c>
      <c r="D2941" s="1" t="s">
        <v>19</v>
      </c>
      <c r="E2941" s="1">
        <v>4956559.93</v>
      </c>
      <c r="F2941" s="1">
        <v>168911.8</v>
      </c>
      <c r="G2941" s="1">
        <v>21480</v>
      </c>
      <c r="H2941" s="1">
        <v>230.75232449999999</v>
      </c>
    </row>
    <row r="2942" spans="1:8" ht="15.75" thickBot="1" x14ac:dyDescent="0.3">
      <c r="A2942" s="1">
        <v>2015</v>
      </c>
      <c r="B2942" s="1" t="s">
        <v>35</v>
      </c>
      <c r="C2942" s="1" t="s">
        <v>33</v>
      </c>
      <c r="D2942" s="1" t="s">
        <v>24</v>
      </c>
      <c r="E2942" s="1">
        <v>6478.71</v>
      </c>
      <c r="F2942" s="1">
        <v>83.05</v>
      </c>
      <c r="G2942" s="1">
        <v>59</v>
      </c>
      <c r="H2942" s="1">
        <v>109.8086441</v>
      </c>
    </row>
    <row r="2943" spans="1:8" ht="15.75" thickBot="1" x14ac:dyDescent="0.3">
      <c r="A2943" s="1">
        <v>2015</v>
      </c>
      <c r="B2943" s="1" t="s">
        <v>12</v>
      </c>
      <c r="C2943" s="1" t="s">
        <v>25</v>
      </c>
      <c r="D2943" s="1" t="s">
        <v>29</v>
      </c>
      <c r="E2943" s="1">
        <v>1419272.74</v>
      </c>
      <c r="F2943" s="1">
        <v>46699.86</v>
      </c>
      <c r="G2943" s="1">
        <v>5287</v>
      </c>
      <c r="H2943" s="1">
        <v>268.44576130000002</v>
      </c>
    </row>
    <row r="2944" spans="1:8" ht="15.75" thickBot="1" x14ac:dyDescent="0.3">
      <c r="A2944" s="1">
        <v>2017</v>
      </c>
      <c r="B2944" s="1" t="s">
        <v>35</v>
      </c>
      <c r="C2944" s="1" t="s">
        <v>12</v>
      </c>
      <c r="D2944" s="1" t="s">
        <v>19</v>
      </c>
      <c r="E2944" s="1">
        <v>32077.66</v>
      </c>
      <c r="F2944" s="1">
        <v>666.35</v>
      </c>
      <c r="G2944" s="1">
        <v>820</v>
      </c>
      <c r="H2944" s="1">
        <v>39.11909756</v>
      </c>
    </row>
    <row r="2945" spans="1:8" ht="15.75" thickBot="1" x14ac:dyDescent="0.3">
      <c r="A2945" s="1">
        <v>2016</v>
      </c>
      <c r="B2945" s="1" t="s">
        <v>12</v>
      </c>
      <c r="C2945" s="1" t="s">
        <v>15</v>
      </c>
      <c r="D2945" s="1" t="s">
        <v>13</v>
      </c>
      <c r="E2945" s="1">
        <v>43006.2</v>
      </c>
      <c r="F2945" s="1">
        <v>1488.14</v>
      </c>
      <c r="G2945" s="1">
        <v>1155</v>
      </c>
      <c r="H2945" s="1">
        <v>37.234805190000003</v>
      </c>
    </row>
    <row r="2946" spans="1:8" ht="15.75" thickBot="1" x14ac:dyDescent="0.3">
      <c r="A2946" s="1">
        <v>2015</v>
      </c>
      <c r="B2946" s="1" t="s">
        <v>11</v>
      </c>
      <c r="C2946" s="1" t="s">
        <v>33</v>
      </c>
      <c r="D2946" s="1" t="s">
        <v>22</v>
      </c>
      <c r="E2946" s="1">
        <v>28178763.649999999</v>
      </c>
      <c r="F2946" s="1">
        <v>858170.85</v>
      </c>
      <c r="G2946" s="1">
        <v>1770777</v>
      </c>
      <c r="H2946" s="1">
        <v>15.91321982</v>
      </c>
    </row>
    <row r="2947" spans="1:8" ht="15.75" thickBot="1" x14ac:dyDescent="0.3">
      <c r="A2947" s="1">
        <v>2015</v>
      </c>
      <c r="B2947" s="1" t="s">
        <v>8</v>
      </c>
      <c r="C2947" s="1" t="s">
        <v>23</v>
      </c>
      <c r="D2947" s="1" t="s">
        <v>24</v>
      </c>
      <c r="E2947" s="1">
        <v>770</v>
      </c>
      <c r="F2947" s="1">
        <v>41.35</v>
      </c>
      <c r="G2947" s="1">
        <v>4</v>
      </c>
      <c r="H2947" s="1">
        <v>192.5</v>
      </c>
    </row>
    <row r="2948" spans="1:8" ht="15.75" thickBot="1" x14ac:dyDescent="0.3">
      <c r="A2948" s="1">
        <v>2015</v>
      </c>
      <c r="B2948" s="1" t="s">
        <v>14</v>
      </c>
      <c r="C2948" s="1" t="s">
        <v>26</v>
      </c>
      <c r="D2948" s="1" t="s">
        <v>31</v>
      </c>
      <c r="E2948" s="1">
        <v>678518.06</v>
      </c>
      <c r="F2948" s="1">
        <v>27053.74</v>
      </c>
      <c r="G2948" s="1">
        <v>18021</v>
      </c>
      <c r="H2948" s="1">
        <v>37.651521000000002</v>
      </c>
    </row>
    <row r="2949" spans="1:8" ht="15.75" thickBot="1" x14ac:dyDescent="0.3">
      <c r="A2949" s="1">
        <v>2016</v>
      </c>
      <c r="B2949" s="1" t="s">
        <v>20</v>
      </c>
      <c r="C2949" s="1" t="s">
        <v>18</v>
      </c>
      <c r="D2949" s="1" t="s">
        <v>27</v>
      </c>
      <c r="E2949" s="1">
        <v>838005.27</v>
      </c>
      <c r="F2949" s="1">
        <v>29404.92</v>
      </c>
      <c r="G2949" s="1">
        <v>13951</v>
      </c>
      <c r="H2949" s="1">
        <v>60.067756430000003</v>
      </c>
    </row>
    <row r="2950" spans="1:8" ht="15.75" thickBot="1" x14ac:dyDescent="0.3">
      <c r="A2950" s="1">
        <v>2016</v>
      </c>
      <c r="B2950" s="1" t="s">
        <v>30</v>
      </c>
      <c r="C2950" s="1" t="s">
        <v>9</v>
      </c>
      <c r="D2950" s="1" t="s">
        <v>32</v>
      </c>
      <c r="E2950" s="1">
        <v>128126.37</v>
      </c>
      <c r="F2950" s="1">
        <v>6105.8</v>
      </c>
      <c r="G2950" s="1">
        <v>14646</v>
      </c>
      <c r="H2950" s="1">
        <v>8.7482158949999995</v>
      </c>
    </row>
    <row r="2951" spans="1:8" ht="15.75" thickBot="1" x14ac:dyDescent="0.3">
      <c r="A2951" s="1">
        <v>2014</v>
      </c>
      <c r="B2951" s="1" t="s">
        <v>35</v>
      </c>
      <c r="C2951" s="1" t="s">
        <v>33</v>
      </c>
      <c r="D2951" s="1" t="s">
        <v>31</v>
      </c>
      <c r="E2951" s="1">
        <v>26.48</v>
      </c>
      <c r="F2951" s="1">
        <v>1.07</v>
      </c>
      <c r="G2951" s="1">
        <v>27</v>
      </c>
      <c r="H2951" s="1">
        <v>0.98074074069999995</v>
      </c>
    </row>
    <row r="2952" spans="1:8" ht="15.75" thickBot="1" x14ac:dyDescent="0.3">
      <c r="A2952" s="1">
        <v>2014</v>
      </c>
      <c r="B2952" s="1" t="s">
        <v>30</v>
      </c>
      <c r="C2952" s="1" t="s">
        <v>25</v>
      </c>
      <c r="D2952" s="1" t="s">
        <v>13</v>
      </c>
      <c r="E2952" s="1">
        <v>446724.42</v>
      </c>
      <c r="F2952" s="1">
        <v>10608.39</v>
      </c>
      <c r="G2952" s="1">
        <v>5303</v>
      </c>
      <c r="H2952" s="1">
        <v>84.239943429999997</v>
      </c>
    </row>
    <row r="2953" spans="1:8" ht="15.75" thickBot="1" x14ac:dyDescent="0.3">
      <c r="A2953" s="1">
        <v>2014</v>
      </c>
      <c r="B2953" s="1" t="s">
        <v>12</v>
      </c>
      <c r="C2953" s="1" t="s">
        <v>18</v>
      </c>
      <c r="D2953" s="1" t="s">
        <v>27</v>
      </c>
      <c r="E2953" s="1">
        <v>2975790.05</v>
      </c>
      <c r="F2953" s="1">
        <v>102262.47</v>
      </c>
      <c r="G2953" s="1">
        <v>35739</v>
      </c>
      <c r="H2953" s="1">
        <v>83.264502359999994</v>
      </c>
    </row>
    <row r="2954" spans="1:8" ht="15.75" thickBot="1" x14ac:dyDescent="0.3">
      <c r="A2954" s="1">
        <v>2016</v>
      </c>
      <c r="B2954" s="1" t="s">
        <v>12</v>
      </c>
      <c r="C2954" s="1" t="s">
        <v>9</v>
      </c>
      <c r="D2954" s="1" t="s">
        <v>10</v>
      </c>
      <c r="E2954" s="1">
        <v>4025.08</v>
      </c>
      <c r="F2954" s="1">
        <v>156.16999999999999</v>
      </c>
      <c r="G2954" s="1">
        <v>1423</v>
      </c>
      <c r="H2954" s="1">
        <v>2.828587491</v>
      </c>
    </row>
    <row r="2955" spans="1:8" ht="15.75" thickBot="1" x14ac:dyDescent="0.3">
      <c r="A2955" s="1">
        <v>2014</v>
      </c>
      <c r="B2955" s="1" t="s">
        <v>14</v>
      </c>
      <c r="C2955" s="1" t="s">
        <v>9</v>
      </c>
      <c r="D2955" s="1" t="s">
        <v>29</v>
      </c>
      <c r="E2955" s="1">
        <v>20486192.960000001</v>
      </c>
      <c r="F2955" s="1">
        <v>643261.66</v>
      </c>
      <c r="G2955" s="1">
        <v>72028</v>
      </c>
      <c r="H2955" s="1">
        <v>284.41985010000002</v>
      </c>
    </row>
    <row r="2956" spans="1:8" ht="15.75" thickBot="1" x14ac:dyDescent="0.3">
      <c r="A2956" s="1">
        <v>2016</v>
      </c>
      <c r="B2956" s="1" t="s">
        <v>35</v>
      </c>
      <c r="C2956" s="1" t="s">
        <v>12</v>
      </c>
      <c r="D2956" s="1" t="s">
        <v>29</v>
      </c>
      <c r="E2956" s="1">
        <v>27590.71</v>
      </c>
      <c r="F2956" s="1">
        <v>240.02</v>
      </c>
      <c r="G2956" s="1">
        <v>66</v>
      </c>
      <c r="H2956" s="1">
        <v>418.04106059999998</v>
      </c>
    </row>
    <row r="2957" spans="1:8" ht="15.75" thickBot="1" x14ac:dyDescent="0.3">
      <c r="A2957" s="1">
        <v>2017</v>
      </c>
      <c r="B2957" s="1" t="s">
        <v>11</v>
      </c>
      <c r="C2957" s="1" t="s">
        <v>21</v>
      </c>
      <c r="D2957" s="1" t="s">
        <v>13</v>
      </c>
      <c r="E2957" s="1">
        <v>7190571.0099999998</v>
      </c>
      <c r="F2957" s="1">
        <v>222749.83</v>
      </c>
      <c r="G2957" s="1">
        <v>518270</v>
      </c>
      <c r="H2957" s="1">
        <v>13.8741795</v>
      </c>
    </row>
    <row r="2958" spans="1:8" ht="15.75" thickBot="1" x14ac:dyDescent="0.3">
      <c r="A2958" s="1">
        <v>2015</v>
      </c>
      <c r="B2958" s="1" t="s">
        <v>8</v>
      </c>
      <c r="C2958" s="1" t="s">
        <v>25</v>
      </c>
      <c r="D2958" s="1" t="s">
        <v>29</v>
      </c>
      <c r="E2958" s="1">
        <v>1260</v>
      </c>
      <c r="F2958" s="1">
        <v>37.14</v>
      </c>
      <c r="G2958" s="1">
        <v>3</v>
      </c>
      <c r="H2958" s="1">
        <v>420</v>
      </c>
    </row>
    <row r="2959" spans="1:8" ht="15.75" thickBot="1" x14ac:dyDescent="0.3">
      <c r="A2959" s="1">
        <v>2015</v>
      </c>
      <c r="B2959" s="1" t="s">
        <v>8</v>
      </c>
      <c r="C2959" s="1" t="s">
        <v>15</v>
      </c>
      <c r="D2959" s="1" t="s">
        <v>19</v>
      </c>
      <c r="E2959" s="1">
        <v>7759.01</v>
      </c>
      <c r="F2959" s="1">
        <v>95.61</v>
      </c>
      <c r="G2959" s="1">
        <v>50</v>
      </c>
      <c r="H2959" s="1">
        <v>155.18020000000001</v>
      </c>
    </row>
    <row r="2960" spans="1:8" ht="15.75" thickBot="1" x14ac:dyDescent="0.3">
      <c r="A2960" s="1">
        <v>2016</v>
      </c>
      <c r="B2960" s="1" t="s">
        <v>35</v>
      </c>
      <c r="C2960" s="1" t="s">
        <v>26</v>
      </c>
      <c r="D2960" s="1" t="s">
        <v>27</v>
      </c>
      <c r="E2960" s="1">
        <v>15892.18</v>
      </c>
      <c r="F2960" s="1">
        <v>685.48</v>
      </c>
      <c r="G2960" s="1">
        <v>571</v>
      </c>
      <c r="H2960" s="1">
        <v>27.832189140000001</v>
      </c>
    </row>
    <row r="2961" spans="1:8" ht="15.75" thickBot="1" x14ac:dyDescent="0.3">
      <c r="A2961" s="1">
        <v>2015</v>
      </c>
      <c r="B2961" s="1" t="s">
        <v>11</v>
      </c>
      <c r="C2961" s="1" t="s">
        <v>21</v>
      </c>
      <c r="D2961" s="1" t="s">
        <v>22</v>
      </c>
      <c r="E2961" s="1">
        <v>41443760.729999997</v>
      </c>
      <c r="F2961" s="1">
        <v>1250687.6399999999</v>
      </c>
      <c r="G2961" s="1">
        <v>2886927</v>
      </c>
      <c r="H2961" s="1">
        <v>14.35566633</v>
      </c>
    </row>
    <row r="2962" spans="1:8" ht="15.75" thickBot="1" x14ac:dyDescent="0.3">
      <c r="A2962" s="1">
        <v>2016</v>
      </c>
      <c r="B2962" s="1" t="s">
        <v>40</v>
      </c>
      <c r="C2962" s="1" t="s">
        <v>33</v>
      </c>
      <c r="D2962" s="1" t="s">
        <v>32</v>
      </c>
      <c r="E2962" s="1">
        <v>4780.17</v>
      </c>
      <c r="F2962" s="1">
        <v>257.97000000000003</v>
      </c>
      <c r="G2962" s="1">
        <v>216</v>
      </c>
      <c r="H2962" s="1">
        <v>22.130416669999999</v>
      </c>
    </row>
    <row r="2963" spans="1:8" ht="15.75" thickBot="1" x14ac:dyDescent="0.3">
      <c r="A2963" s="1">
        <v>2015</v>
      </c>
      <c r="B2963" s="1" t="s">
        <v>14</v>
      </c>
      <c r="C2963" s="1" t="s">
        <v>23</v>
      </c>
      <c r="D2963" s="1" t="s">
        <v>19</v>
      </c>
      <c r="E2963" s="1">
        <v>23294564.010000002</v>
      </c>
      <c r="F2963" s="1">
        <v>876788.86</v>
      </c>
      <c r="G2963" s="1">
        <v>386744</v>
      </c>
      <c r="H2963" s="1">
        <v>60.232515589999998</v>
      </c>
    </row>
    <row r="2964" spans="1:8" ht="15.75" thickBot="1" x14ac:dyDescent="0.3">
      <c r="A2964" s="1">
        <v>2017</v>
      </c>
      <c r="B2964" s="1" t="s">
        <v>12</v>
      </c>
      <c r="C2964" s="1" t="s">
        <v>25</v>
      </c>
      <c r="D2964" s="1" t="s">
        <v>34</v>
      </c>
      <c r="E2964" s="1">
        <v>54946.13</v>
      </c>
      <c r="F2964" s="1">
        <v>2143.2600000000002</v>
      </c>
      <c r="G2964" s="1">
        <v>2105</v>
      </c>
      <c r="H2964" s="1">
        <v>26.102674579999999</v>
      </c>
    </row>
    <row r="2965" spans="1:8" ht="15.75" thickBot="1" x14ac:dyDescent="0.3">
      <c r="A2965" s="1">
        <v>2015</v>
      </c>
      <c r="B2965" s="1" t="s">
        <v>14</v>
      </c>
      <c r="C2965" s="1" t="s">
        <v>9</v>
      </c>
      <c r="D2965" s="1" t="s">
        <v>32</v>
      </c>
      <c r="E2965" s="1">
        <v>360219220.19999999</v>
      </c>
      <c r="F2965" s="1">
        <v>12218612.380000001</v>
      </c>
      <c r="G2965" s="1">
        <v>4702617</v>
      </c>
      <c r="H2965" s="1">
        <v>76.599735890000005</v>
      </c>
    </row>
    <row r="2966" spans="1:8" ht="15.75" thickBot="1" x14ac:dyDescent="0.3">
      <c r="A2966" s="1">
        <v>2015</v>
      </c>
      <c r="B2966" s="1" t="s">
        <v>35</v>
      </c>
      <c r="C2966" s="1" t="s">
        <v>9</v>
      </c>
      <c r="D2966" s="1" t="s">
        <v>32</v>
      </c>
      <c r="E2966" s="1">
        <v>9101.86</v>
      </c>
      <c r="F2966" s="1">
        <v>709.53</v>
      </c>
      <c r="G2966" s="1">
        <v>3211</v>
      </c>
      <c r="H2966" s="1">
        <v>2.8345873560000001</v>
      </c>
    </row>
    <row r="2967" spans="1:8" ht="15.75" thickBot="1" x14ac:dyDescent="0.3">
      <c r="A2967" s="1">
        <v>2016</v>
      </c>
      <c r="B2967" s="1" t="s">
        <v>35</v>
      </c>
      <c r="C2967" s="1" t="s">
        <v>26</v>
      </c>
      <c r="D2967" s="1" t="s">
        <v>19</v>
      </c>
      <c r="E2967" s="1">
        <v>4107.91</v>
      </c>
      <c r="F2967" s="1">
        <v>186.01</v>
      </c>
      <c r="G2967" s="1">
        <v>264</v>
      </c>
      <c r="H2967" s="1">
        <v>15.560265149999999</v>
      </c>
    </row>
    <row r="2968" spans="1:8" ht="15.75" thickBot="1" x14ac:dyDescent="0.3">
      <c r="A2968" s="1">
        <v>2015</v>
      </c>
      <c r="B2968" s="1" t="s">
        <v>12</v>
      </c>
      <c r="C2968" s="1" t="s">
        <v>33</v>
      </c>
      <c r="D2968" s="1" t="s">
        <v>29</v>
      </c>
      <c r="E2968" s="1">
        <v>3334308.83</v>
      </c>
      <c r="F2968" s="1">
        <v>102757.19</v>
      </c>
      <c r="G2968" s="1">
        <v>8878</v>
      </c>
      <c r="H2968" s="1">
        <v>375.56981639999998</v>
      </c>
    </row>
    <row r="2969" spans="1:8" ht="15.75" thickBot="1" x14ac:dyDescent="0.3">
      <c r="A2969" s="1">
        <v>2016</v>
      </c>
      <c r="B2969" s="1" t="s">
        <v>40</v>
      </c>
      <c r="C2969" s="1" t="s">
        <v>21</v>
      </c>
      <c r="D2969" s="1" t="s">
        <v>19</v>
      </c>
      <c r="E2969" s="1">
        <v>92180.56</v>
      </c>
      <c r="F2969" s="1">
        <v>1396.51</v>
      </c>
      <c r="G2969" s="1">
        <v>543</v>
      </c>
      <c r="H2969" s="1">
        <v>169.76162059999999</v>
      </c>
    </row>
    <row r="2970" spans="1:8" ht="15.75" thickBot="1" x14ac:dyDescent="0.3">
      <c r="A2970" s="1">
        <v>2016</v>
      </c>
      <c r="B2970" s="1" t="s">
        <v>17</v>
      </c>
      <c r="C2970" s="1" t="s">
        <v>18</v>
      </c>
      <c r="D2970" s="1" t="s">
        <v>32</v>
      </c>
      <c r="E2970" s="1">
        <v>29175967.719999999</v>
      </c>
      <c r="F2970" s="1">
        <v>1001166.47</v>
      </c>
      <c r="G2970" s="1">
        <v>424578</v>
      </c>
      <c r="H2970" s="1">
        <v>68.717568310000004</v>
      </c>
    </row>
    <row r="2971" spans="1:8" ht="15.75" thickBot="1" x14ac:dyDescent="0.3">
      <c r="A2971" s="1">
        <v>2017</v>
      </c>
      <c r="B2971" s="1" t="s">
        <v>12</v>
      </c>
      <c r="C2971" s="1" t="s">
        <v>9</v>
      </c>
      <c r="D2971" s="1" t="s">
        <v>22</v>
      </c>
      <c r="E2971" s="1">
        <v>0</v>
      </c>
      <c r="F2971" s="1">
        <v>0</v>
      </c>
      <c r="G2971" s="1">
        <v>1</v>
      </c>
      <c r="H2971" s="1">
        <v>0</v>
      </c>
    </row>
    <row r="2972" spans="1:8" ht="15.75" thickBot="1" x14ac:dyDescent="0.3">
      <c r="A2972" s="1">
        <v>2017</v>
      </c>
      <c r="B2972" s="1" t="s">
        <v>14</v>
      </c>
      <c r="C2972" s="1" t="s">
        <v>26</v>
      </c>
      <c r="D2972" s="1" t="s">
        <v>24</v>
      </c>
      <c r="E2972" s="1">
        <v>15599027.949999999</v>
      </c>
      <c r="F2972" s="1">
        <v>579842.23</v>
      </c>
      <c r="G2972" s="1">
        <v>149226</v>
      </c>
      <c r="H2972" s="1">
        <v>104.5329095</v>
      </c>
    </row>
    <row r="2973" spans="1:8" ht="15.75" thickBot="1" x14ac:dyDescent="0.3">
      <c r="A2973" s="1">
        <v>2017</v>
      </c>
      <c r="B2973" s="1" t="s">
        <v>12</v>
      </c>
      <c r="C2973" s="1" t="s">
        <v>18</v>
      </c>
      <c r="D2973" s="1" t="s">
        <v>22</v>
      </c>
      <c r="E2973" s="1">
        <v>0</v>
      </c>
      <c r="F2973" s="1">
        <v>0</v>
      </c>
      <c r="G2973" s="1">
        <v>1</v>
      </c>
      <c r="H2973" s="1">
        <v>0</v>
      </c>
    </row>
    <row r="2974" spans="1:8" ht="15.75" thickBot="1" x14ac:dyDescent="0.3">
      <c r="A2974" s="1">
        <v>2017</v>
      </c>
      <c r="B2974" s="1" t="s">
        <v>17</v>
      </c>
      <c r="C2974" s="1" t="s">
        <v>18</v>
      </c>
      <c r="D2974" s="1" t="s">
        <v>24</v>
      </c>
      <c r="E2974" s="1">
        <v>5765249.6299999999</v>
      </c>
      <c r="F2974" s="1">
        <v>190884.36</v>
      </c>
      <c r="G2974" s="1">
        <v>15221</v>
      </c>
      <c r="H2974" s="1">
        <v>378.76943890000001</v>
      </c>
    </row>
    <row r="2975" spans="1:8" ht="15.75" thickBot="1" x14ac:dyDescent="0.3">
      <c r="A2975" s="1">
        <v>2017</v>
      </c>
      <c r="B2975" s="1" t="s">
        <v>14</v>
      </c>
      <c r="C2975" s="1" t="s">
        <v>23</v>
      </c>
      <c r="D2975" s="1" t="s">
        <v>22</v>
      </c>
      <c r="E2975" s="1">
        <v>4837.41</v>
      </c>
      <c r="F2975" s="1">
        <v>147.24</v>
      </c>
      <c r="G2975" s="1">
        <v>253</v>
      </c>
      <c r="H2975" s="1">
        <v>19.12019763</v>
      </c>
    </row>
    <row r="2976" spans="1:8" ht="15.75" thickBot="1" x14ac:dyDescent="0.3">
      <c r="A2976" s="1">
        <v>2017</v>
      </c>
      <c r="B2976" s="1" t="s">
        <v>17</v>
      </c>
      <c r="C2976" s="1" t="s">
        <v>9</v>
      </c>
      <c r="D2976" s="1" t="s">
        <v>13</v>
      </c>
      <c r="E2976" s="1">
        <v>19378.41</v>
      </c>
      <c r="F2976" s="1">
        <v>565.27</v>
      </c>
      <c r="G2976" s="1">
        <v>2043</v>
      </c>
      <c r="H2976" s="1">
        <v>9.4852716590000004</v>
      </c>
    </row>
    <row r="2977" spans="1:8" ht="15.75" thickBot="1" x14ac:dyDescent="0.3">
      <c r="A2977" s="1">
        <v>2016</v>
      </c>
      <c r="B2977" s="1" t="s">
        <v>14</v>
      </c>
      <c r="C2977" s="1" t="s">
        <v>33</v>
      </c>
      <c r="D2977" s="1" t="s">
        <v>29</v>
      </c>
      <c r="E2977" s="1">
        <v>24241242.370000001</v>
      </c>
      <c r="F2977" s="1">
        <v>794679.34</v>
      </c>
      <c r="G2977" s="1">
        <v>117353</v>
      </c>
      <c r="H2977" s="1">
        <v>206.56687400000001</v>
      </c>
    </row>
    <row r="2978" spans="1:8" ht="15.75" thickBot="1" x14ac:dyDescent="0.3">
      <c r="A2978" s="1">
        <v>2016</v>
      </c>
      <c r="B2978" s="1" t="s">
        <v>35</v>
      </c>
      <c r="C2978" s="1" t="s">
        <v>9</v>
      </c>
      <c r="D2978" s="1" t="s">
        <v>24</v>
      </c>
      <c r="E2978" s="1">
        <v>11487.92</v>
      </c>
      <c r="F2978" s="1">
        <v>137.56</v>
      </c>
      <c r="G2978" s="1">
        <v>73</v>
      </c>
      <c r="H2978" s="1">
        <v>157.36876710000001</v>
      </c>
    </row>
    <row r="2979" spans="1:8" ht="15.75" thickBot="1" x14ac:dyDescent="0.3">
      <c r="A2979" s="1">
        <v>2016</v>
      </c>
      <c r="B2979" s="1" t="s">
        <v>14</v>
      </c>
      <c r="C2979" s="1" t="s">
        <v>15</v>
      </c>
      <c r="D2979" s="1" t="s">
        <v>24</v>
      </c>
      <c r="E2979" s="1">
        <v>24145310.34</v>
      </c>
      <c r="F2979" s="1">
        <v>787288.51</v>
      </c>
      <c r="G2979" s="1">
        <v>95359</v>
      </c>
      <c r="H2979" s="1">
        <v>253.2043157</v>
      </c>
    </row>
    <row r="2980" spans="1:8" ht="15.75" thickBot="1" x14ac:dyDescent="0.3">
      <c r="A2980" s="1">
        <v>2016</v>
      </c>
      <c r="B2980" s="1" t="s">
        <v>30</v>
      </c>
      <c r="C2980" s="1" t="s">
        <v>28</v>
      </c>
      <c r="D2980" s="1" t="s">
        <v>36</v>
      </c>
      <c r="E2980" s="1">
        <v>284633654</v>
      </c>
      <c r="F2980" s="1">
        <v>1240507.02</v>
      </c>
      <c r="G2980" s="1">
        <v>5881375</v>
      </c>
      <c r="H2980" s="1">
        <v>48.395766969999997</v>
      </c>
    </row>
    <row r="2981" spans="1:8" ht="15.75" thickBot="1" x14ac:dyDescent="0.3">
      <c r="A2981" s="1">
        <v>2017</v>
      </c>
      <c r="B2981" s="1" t="s">
        <v>16</v>
      </c>
      <c r="C2981" s="1" t="s">
        <v>15</v>
      </c>
      <c r="D2981" s="1" t="s">
        <v>34</v>
      </c>
      <c r="E2981" s="1">
        <v>264721.53000000003</v>
      </c>
      <c r="F2981" s="1">
        <v>9559.85</v>
      </c>
      <c r="G2981" s="1">
        <v>5828</v>
      </c>
      <c r="H2981" s="1">
        <v>45.422362730000003</v>
      </c>
    </row>
    <row r="2982" spans="1:8" ht="15.75" thickBot="1" x14ac:dyDescent="0.3">
      <c r="A2982" s="1">
        <v>2015</v>
      </c>
      <c r="B2982" s="1" t="s">
        <v>14</v>
      </c>
      <c r="C2982" s="1" t="s">
        <v>9</v>
      </c>
      <c r="D2982" s="1" t="s">
        <v>22</v>
      </c>
      <c r="E2982" s="1">
        <v>109.86</v>
      </c>
      <c r="F2982" s="1">
        <v>4.53</v>
      </c>
      <c r="G2982" s="1">
        <v>37</v>
      </c>
      <c r="H2982" s="1">
        <v>2.9691891890000002</v>
      </c>
    </row>
    <row r="2983" spans="1:8" ht="15.75" thickBot="1" x14ac:dyDescent="0.3">
      <c r="A2983" s="1">
        <v>2014</v>
      </c>
      <c r="B2983" s="1" t="s">
        <v>16</v>
      </c>
      <c r="C2983" s="1" t="s">
        <v>33</v>
      </c>
      <c r="D2983" s="1" t="s">
        <v>27</v>
      </c>
      <c r="E2983" s="1">
        <v>550558211.70000005</v>
      </c>
      <c r="F2983" s="1">
        <v>21040418.16</v>
      </c>
      <c r="G2983" s="1">
        <v>9847524</v>
      </c>
      <c r="H2983" s="1">
        <v>55.908288390000003</v>
      </c>
    </row>
    <row r="2984" spans="1:8" ht="15.75" thickBot="1" x14ac:dyDescent="0.3">
      <c r="A2984" s="1">
        <v>2015</v>
      </c>
      <c r="B2984" s="1" t="s">
        <v>12</v>
      </c>
      <c r="C2984" s="1" t="s">
        <v>18</v>
      </c>
      <c r="D2984" s="1" t="s">
        <v>31</v>
      </c>
      <c r="E2984" s="1">
        <v>58532.42</v>
      </c>
      <c r="F2984" s="1">
        <v>2026.33</v>
      </c>
      <c r="G2984" s="1">
        <v>994</v>
      </c>
      <c r="H2984" s="1">
        <v>58.885734409999998</v>
      </c>
    </row>
    <row r="2985" spans="1:8" ht="15.75" thickBot="1" x14ac:dyDescent="0.3">
      <c r="A2985" s="1">
        <v>2015</v>
      </c>
      <c r="B2985" s="1" t="s">
        <v>35</v>
      </c>
      <c r="C2985" s="1" t="s">
        <v>33</v>
      </c>
      <c r="D2985" s="1" t="s">
        <v>32</v>
      </c>
      <c r="E2985" s="1">
        <v>10850.72</v>
      </c>
      <c r="F2985" s="1">
        <v>522.15</v>
      </c>
      <c r="G2985" s="1">
        <v>1133</v>
      </c>
      <c r="H2985" s="1">
        <v>9.5769814649999994</v>
      </c>
    </row>
    <row r="2986" spans="1:8" ht="15.75" thickBot="1" x14ac:dyDescent="0.3">
      <c r="A2986" s="1">
        <v>2017</v>
      </c>
      <c r="B2986" s="1" t="s">
        <v>16</v>
      </c>
      <c r="C2986" s="1" t="s">
        <v>18</v>
      </c>
      <c r="D2986" s="1" t="s">
        <v>29</v>
      </c>
      <c r="E2986" s="1">
        <v>8798003.0299999993</v>
      </c>
      <c r="F2986" s="1">
        <v>287649.07</v>
      </c>
      <c r="G2986" s="1">
        <v>24133</v>
      </c>
      <c r="H2986" s="1">
        <v>364.56317200000001</v>
      </c>
    </row>
    <row r="2987" spans="1:8" ht="15.75" thickBot="1" x14ac:dyDescent="0.3">
      <c r="A2987" s="1">
        <v>2015</v>
      </c>
      <c r="B2987" s="1" t="s">
        <v>30</v>
      </c>
      <c r="C2987" s="1" t="s">
        <v>33</v>
      </c>
      <c r="D2987" s="1" t="s">
        <v>24</v>
      </c>
      <c r="E2987" s="1">
        <v>44888688.840000004</v>
      </c>
      <c r="F2987" s="1">
        <v>1377214.37</v>
      </c>
      <c r="G2987" s="1">
        <v>223679</v>
      </c>
      <c r="H2987" s="1">
        <v>200.68351899999999</v>
      </c>
    </row>
    <row r="2988" spans="1:8" ht="15.75" thickBot="1" x14ac:dyDescent="0.3">
      <c r="A2988" s="1">
        <v>2016</v>
      </c>
      <c r="B2988" s="1" t="s">
        <v>16</v>
      </c>
      <c r="C2988" s="1" t="s">
        <v>23</v>
      </c>
      <c r="D2988" s="1" t="s">
        <v>31</v>
      </c>
      <c r="E2988" s="1">
        <v>2492373.38</v>
      </c>
      <c r="F2988" s="1">
        <v>94692.63</v>
      </c>
      <c r="G2988" s="1">
        <v>54400</v>
      </c>
      <c r="H2988" s="1">
        <v>45.815687130000001</v>
      </c>
    </row>
    <row r="2989" spans="1:8" ht="15.75" thickBot="1" x14ac:dyDescent="0.3">
      <c r="A2989" s="1">
        <v>2015</v>
      </c>
      <c r="B2989" s="1" t="s">
        <v>11</v>
      </c>
      <c r="C2989" s="1" t="s">
        <v>9</v>
      </c>
      <c r="D2989" s="1" t="s">
        <v>31</v>
      </c>
      <c r="E2989" s="1">
        <v>2013919033</v>
      </c>
      <c r="F2989" s="1">
        <v>49242239.490000002</v>
      </c>
      <c r="G2989" s="1">
        <v>15463149</v>
      </c>
      <c r="H2989" s="1">
        <v>130.2399035</v>
      </c>
    </row>
    <row r="2990" spans="1:8" ht="15.75" thickBot="1" x14ac:dyDescent="0.3">
      <c r="A2990" s="1">
        <v>2016</v>
      </c>
      <c r="B2990" s="1" t="s">
        <v>11</v>
      </c>
      <c r="C2990" s="1" t="s">
        <v>9</v>
      </c>
      <c r="D2990" s="1" t="s">
        <v>27</v>
      </c>
      <c r="E2990" s="1">
        <v>716870.13</v>
      </c>
      <c r="F2990" s="1">
        <v>15949.75</v>
      </c>
      <c r="G2990" s="1">
        <v>43145</v>
      </c>
      <c r="H2990" s="1">
        <v>16.6153698</v>
      </c>
    </row>
    <row r="2991" spans="1:8" ht="15.75" thickBot="1" x14ac:dyDescent="0.3">
      <c r="A2991" s="1">
        <v>2016</v>
      </c>
      <c r="B2991" s="1" t="s">
        <v>8</v>
      </c>
      <c r="C2991" s="1" t="s">
        <v>9</v>
      </c>
      <c r="D2991" s="1" t="s">
        <v>27</v>
      </c>
      <c r="E2991" s="1">
        <v>406.67</v>
      </c>
      <c r="F2991" s="1">
        <v>17.440000000000001</v>
      </c>
      <c r="G2991" s="1">
        <v>8</v>
      </c>
      <c r="H2991" s="1">
        <v>50.833750000000002</v>
      </c>
    </row>
    <row r="2992" spans="1:8" ht="15.75" thickBot="1" x14ac:dyDescent="0.3">
      <c r="A2992" s="1">
        <v>2017</v>
      </c>
      <c r="B2992" s="1" t="s">
        <v>40</v>
      </c>
      <c r="C2992" s="1" t="s">
        <v>25</v>
      </c>
      <c r="D2992" s="1" t="s">
        <v>27</v>
      </c>
      <c r="E2992" s="1">
        <v>41838.51</v>
      </c>
      <c r="F2992" s="1">
        <v>1473.86</v>
      </c>
      <c r="G2992" s="1">
        <v>752</v>
      </c>
      <c r="H2992" s="1">
        <v>55.636316489999999</v>
      </c>
    </row>
    <row r="2993" spans="1:8" ht="15.75" thickBot="1" x14ac:dyDescent="0.3">
      <c r="A2993" s="1">
        <v>2016</v>
      </c>
      <c r="B2993" s="1" t="s">
        <v>20</v>
      </c>
      <c r="C2993" s="1" t="s">
        <v>25</v>
      </c>
      <c r="D2993" s="1" t="s">
        <v>10</v>
      </c>
      <c r="E2993" s="1">
        <v>361894.09</v>
      </c>
      <c r="F2993" s="1">
        <v>14677.98</v>
      </c>
      <c r="G2993" s="1">
        <v>12403</v>
      </c>
      <c r="H2993" s="1">
        <v>29.17794808</v>
      </c>
    </row>
    <row r="2994" spans="1:8" ht="15.75" thickBot="1" x14ac:dyDescent="0.3">
      <c r="A2994" s="1">
        <v>2014</v>
      </c>
      <c r="B2994" s="1" t="s">
        <v>17</v>
      </c>
      <c r="C2994" s="1" t="s">
        <v>9</v>
      </c>
      <c r="D2994" s="1" t="s">
        <v>29</v>
      </c>
      <c r="E2994" s="1">
        <v>37339.25</v>
      </c>
      <c r="F2994" s="1">
        <v>360.61</v>
      </c>
      <c r="G2994" s="1">
        <v>281</v>
      </c>
      <c r="H2994" s="1">
        <v>132.8798932</v>
      </c>
    </row>
    <row r="2995" spans="1:8" ht="15.75" thickBot="1" x14ac:dyDescent="0.3">
      <c r="A2995" s="1">
        <v>2017</v>
      </c>
      <c r="B2995" s="1" t="s">
        <v>35</v>
      </c>
      <c r="C2995" s="1" t="s">
        <v>21</v>
      </c>
      <c r="D2995" s="1" t="s">
        <v>29</v>
      </c>
      <c r="E2995" s="1">
        <v>15431.27</v>
      </c>
      <c r="F2995" s="1">
        <v>35.520000000000003</v>
      </c>
      <c r="G2995" s="1">
        <v>25</v>
      </c>
      <c r="H2995" s="1">
        <v>617.25080000000003</v>
      </c>
    </row>
    <row r="2996" spans="1:8" ht="15.75" thickBot="1" x14ac:dyDescent="0.3">
      <c r="A2996" s="1">
        <v>2014</v>
      </c>
      <c r="B2996" s="1" t="s">
        <v>11</v>
      </c>
      <c r="C2996" s="1" t="s">
        <v>23</v>
      </c>
      <c r="D2996" s="1" t="s">
        <v>19</v>
      </c>
      <c r="E2996" s="1">
        <v>3313603.04</v>
      </c>
      <c r="F2996" s="1">
        <v>102156.82</v>
      </c>
      <c r="G2996" s="1">
        <v>18529</v>
      </c>
      <c r="H2996" s="1">
        <v>178.83334450000001</v>
      </c>
    </row>
    <row r="2997" spans="1:8" ht="15.75" thickBot="1" x14ac:dyDescent="0.3">
      <c r="A2997" s="1">
        <v>2015</v>
      </c>
      <c r="B2997" s="1" t="s">
        <v>12</v>
      </c>
      <c r="C2997" s="1" t="s">
        <v>9</v>
      </c>
      <c r="D2997" s="1" t="s">
        <v>37</v>
      </c>
      <c r="E2997" s="1">
        <v>106392928.5</v>
      </c>
      <c r="F2997" s="1">
        <v>3085280.91</v>
      </c>
      <c r="G2997" s="1">
        <v>213698</v>
      </c>
      <c r="H2997" s="1">
        <v>497.86581310000003</v>
      </c>
    </row>
    <row r="2998" spans="1:8" ht="15.75" thickBot="1" x14ac:dyDescent="0.3">
      <c r="A2998" s="1">
        <v>2015</v>
      </c>
      <c r="B2998" s="1" t="s">
        <v>16</v>
      </c>
      <c r="C2998" s="1" t="s">
        <v>23</v>
      </c>
      <c r="D2998" s="1" t="s">
        <v>13</v>
      </c>
      <c r="E2998" s="1">
        <v>483246.36</v>
      </c>
      <c r="F2998" s="1">
        <v>16956.57</v>
      </c>
      <c r="G2998" s="1">
        <v>7904</v>
      </c>
      <c r="H2998" s="1">
        <v>61.139468620000002</v>
      </c>
    </row>
    <row r="2999" spans="1:8" ht="15.75" thickBot="1" x14ac:dyDescent="0.3">
      <c r="A2999" s="1">
        <v>2016</v>
      </c>
      <c r="B2999" s="1" t="s">
        <v>11</v>
      </c>
      <c r="C2999" s="1" t="s">
        <v>12</v>
      </c>
      <c r="D2999" s="1" t="s">
        <v>31</v>
      </c>
      <c r="E2999" s="1">
        <v>15647787.83</v>
      </c>
      <c r="F2999" s="1">
        <v>495097.96</v>
      </c>
      <c r="G2999" s="1">
        <v>377580</v>
      </c>
      <c r="H2999" s="1">
        <v>41.442311109999999</v>
      </c>
    </row>
    <row r="3000" spans="1:8" ht="15.75" thickBot="1" x14ac:dyDescent="0.3">
      <c r="A3000" s="1">
        <v>2017</v>
      </c>
      <c r="B3000" s="1" t="s">
        <v>8</v>
      </c>
      <c r="C3000" s="1" t="s">
        <v>21</v>
      </c>
      <c r="D3000" s="1" t="s">
        <v>13</v>
      </c>
      <c r="E3000" s="1">
        <v>81.87</v>
      </c>
      <c r="F3000" s="1">
        <v>4.4800000000000004</v>
      </c>
      <c r="G3000" s="1">
        <v>7</v>
      </c>
      <c r="H3000" s="1">
        <v>11.69571429</v>
      </c>
    </row>
    <row r="3001" spans="1:8" ht="15.75" thickBot="1" x14ac:dyDescent="0.3">
      <c r="A3001" s="1">
        <v>2016</v>
      </c>
      <c r="B3001" s="1" t="s">
        <v>20</v>
      </c>
      <c r="C3001" s="1" t="s">
        <v>28</v>
      </c>
      <c r="D3001" s="1" t="s">
        <v>19</v>
      </c>
      <c r="E3001" s="1">
        <v>11917007.82</v>
      </c>
      <c r="F3001" s="1">
        <v>359006.2</v>
      </c>
      <c r="G3001" s="1">
        <v>172694</v>
      </c>
      <c r="H3001" s="1">
        <v>69.006495999999999</v>
      </c>
    </row>
    <row r="3002" spans="1:8" ht="15.75" thickBot="1" x14ac:dyDescent="0.3">
      <c r="A3002" s="1">
        <v>2017</v>
      </c>
      <c r="B3002" s="1" t="s">
        <v>17</v>
      </c>
      <c r="C3002" s="1" t="s">
        <v>26</v>
      </c>
      <c r="D3002" s="1" t="s">
        <v>19</v>
      </c>
      <c r="E3002" s="1">
        <v>34502738.630000003</v>
      </c>
      <c r="F3002" s="1">
        <v>1208589.58</v>
      </c>
      <c r="G3002" s="1">
        <v>186884</v>
      </c>
      <c r="H3002" s="1">
        <v>184.62114800000001</v>
      </c>
    </row>
    <row r="3003" spans="1:8" ht="15.75" thickBot="1" x14ac:dyDescent="0.3">
      <c r="A3003" s="1">
        <v>2017</v>
      </c>
      <c r="B3003" s="1" t="s">
        <v>11</v>
      </c>
      <c r="C3003" s="1" t="s">
        <v>9</v>
      </c>
      <c r="D3003" s="1" t="s">
        <v>31</v>
      </c>
      <c r="E3003" s="1">
        <v>45135.17</v>
      </c>
      <c r="F3003" s="1">
        <v>1509.47</v>
      </c>
      <c r="G3003" s="1">
        <v>13522</v>
      </c>
      <c r="H3003" s="1">
        <v>3.3379063750000002</v>
      </c>
    </row>
    <row r="3004" spans="1:8" ht="15.75" thickBot="1" x14ac:dyDescent="0.3">
      <c r="A3004" s="1">
        <v>2017</v>
      </c>
      <c r="B3004" s="1" t="s">
        <v>17</v>
      </c>
      <c r="C3004" s="1" t="s">
        <v>25</v>
      </c>
      <c r="D3004" s="1" t="s">
        <v>22</v>
      </c>
      <c r="E3004" s="1">
        <v>1713141.65</v>
      </c>
      <c r="F3004" s="1">
        <v>67765.5</v>
      </c>
      <c r="G3004" s="1">
        <v>115652</v>
      </c>
      <c r="H3004" s="1">
        <v>14.812901200000001</v>
      </c>
    </row>
    <row r="3005" spans="1:8" ht="15.75" thickBot="1" x14ac:dyDescent="0.3">
      <c r="A3005" s="1">
        <v>2016</v>
      </c>
      <c r="B3005" s="1" t="s">
        <v>8</v>
      </c>
      <c r="C3005" s="1" t="s">
        <v>25</v>
      </c>
      <c r="D3005" s="1" t="s">
        <v>29</v>
      </c>
      <c r="E3005" s="1">
        <v>340</v>
      </c>
      <c r="F3005" s="1">
        <v>10.16</v>
      </c>
      <c r="G3005" s="1">
        <v>1</v>
      </c>
      <c r="H3005" s="1">
        <v>340</v>
      </c>
    </row>
    <row r="3006" spans="1:8" ht="15.75" thickBot="1" x14ac:dyDescent="0.3">
      <c r="A3006" s="1">
        <v>2017</v>
      </c>
      <c r="B3006" s="1" t="s">
        <v>14</v>
      </c>
      <c r="C3006" s="1" t="s">
        <v>18</v>
      </c>
      <c r="D3006" s="1" t="s">
        <v>24</v>
      </c>
      <c r="E3006" s="1">
        <v>10425134.57</v>
      </c>
      <c r="F3006" s="1">
        <v>336636.75</v>
      </c>
      <c r="G3006" s="1">
        <v>34292</v>
      </c>
      <c r="H3006" s="1">
        <v>304.0106897</v>
      </c>
    </row>
    <row r="3007" spans="1:8" ht="15.75" thickBot="1" x14ac:dyDescent="0.3">
      <c r="A3007" s="1">
        <v>2017</v>
      </c>
      <c r="B3007" s="1" t="s">
        <v>35</v>
      </c>
      <c r="C3007" s="1" t="s">
        <v>25</v>
      </c>
      <c r="D3007" s="1" t="s">
        <v>29</v>
      </c>
      <c r="E3007" s="1">
        <v>10010.709999999999</v>
      </c>
      <c r="F3007" s="1">
        <v>157.02000000000001</v>
      </c>
      <c r="G3007" s="1">
        <v>21</v>
      </c>
      <c r="H3007" s="1">
        <v>476.70047620000003</v>
      </c>
    </row>
    <row r="3008" spans="1:8" ht="15.75" thickBot="1" x14ac:dyDescent="0.3">
      <c r="A3008" s="1">
        <v>2014</v>
      </c>
      <c r="B3008" s="1" t="s">
        <v>8</v>
      </c>
      <c r="C3008" s="1" t="s">
        <v>12</v>
      </c>
      <c r="D3008" s="1" t="s">
        <v>32</v>
      </c>
      <c r="E3008" s="1">
        <v>369.54</v>
      </c>
      <c r="F3008" s="1">
        <v>19.41</v>
      </c>
      <c r="G3008" s="1">
        <v>12</v>
      </c>
      <c r="H3008" s="1">
        <v>30.795000000000002</v>
      </c>
    </row>
    <row r="3009" spans="1:8" ht="15.75" thickBot="1" x14ac:dyDescent="0.3">
      <c r="A3009" s="1">
        <v>2016</v>
      </c>
      <c r="B3009" s="1" t="s">
        <v>8</v>
      </c>
      <c r="C3009" s="1" t="s">
        <v>12</v>
      </c>
      <c r="D3009" s="1" t="s">
        <v>19</v>
      </c>
      <c r="E3009" s="1">
        <v>127</v>
      </c>
      <c r="F3009" s="1">
        <v>6.43</v>
      </c>
      <c r="G3009" s="1">
        <v>7</v>
      </c>
      <c r="H3009" s="1">
        <v>18.14285714</v>
      </c>
    </row>
    <row r="3010" spans="1:8" ht="15.75" thickBot="1" x14ac:dyDescent="0.3">
      <c r="A3010" s="1">
        <v>2016</v>
      </c>
      <c r="B3010" s="1" t="s">
        <v>17</v>
      </c>
      <c r="C3010" s="1" t="s">
        <v>25</v>
      </c>
      <c r="D3010" s="1" t="s">
        <v>13</v>
      </c>
      <c r="E3010" s="1">
        <v>2917616.18</v>
      </c>
      <c r="F3010" s="1">
        <v>94501.2</v>
      </c>
      <c r="G3010" s="1">
        <v>65826</v>
      </c>
      <c r="H3010" s="1">
        <v>44.323157719999998</v>
      </c>
    </row>
    <row r="3011" spans="1:8" ht="15.75" thickBot="1" x14ac:dyDescent="0.3">
      <c r="A3011" s="1">
        <v>2015</v>
      </c>
      <c r="B3011" s="1" t="s">
        <v>11</v>
      </c>
      <c r="C3011" s="1" t="s">
        <v>21</v>
      </c>
      <c r="D3011" s="1" t="s">
        <v>10</v>
      </c>
      <c r="E3011" s="1">
        <v>379993089.80000001</v>
      </c>
      <c r="F3011" s="1">
        <v>7988039.3099999996</v>
      </c>
      <c r="G3011" s="1">
        <v>4931261</v>
      </c>
      <c r="H3011" s="1">
        <v>77.057995879999993</v>
      </c>
    </row>
    <row r="3012" spans="1:8" ht="15.75" thickBot="1" x14ac:dyDescent="0.3">
      <c r="A3012" s="1">
        <v>2017</v>
      </c>
      <c r="B3012" s="1" t="s">
        <v>17</v>
      </c>
      <c r="C3012" s="1" t="s">
        <v>9</v>
      </c>
      <c r="D3012" s="1" t="s">
        <v>10</v>
      </c>
      <c r="E3012" s="1">
        <v>18928130.300000001</v>
      </c>
      <c r="F3012" s="1">
        <v>619872.03</v>
      </c>
      <c r="G3012" s="1">
        <v>286212</v>
      </c>
      <c r="H3012" s="1">
        <v>66.13325193</v>
      </c>
    </row>
    <row r="3013" spans="1:8" ht="15.75" thickBot="1" x14ac:dyDescent="0.3">
      <c r="A3013" s="1">
        <v>2015</v>
      </c>
      <c r="B3013" s="1" t="s">
        <v>16</v>
      </c>
      <c r="C3013" s="1" t="s">
        <v>18</v>
      </c>
      <c r="D3013" s="1" t="s">
        <v>29</v>
      </c>
      <c r="E3013" s="1">
        <v>6659413.1900000004</v>
      </c>
      <c r="F3013" s="1">
        <v>213492.01</v>
      </c>
      <c r="G3013" s="1">
        <v>19155</v>
      </c>
      <c r="H3013" s="1">
        <v>347.65926339999999</v>
      </c>
    </row>
    <row r="3014" spans="1:8" ht="15.75" thickBot="1" x14ac:dyDescent="0.3">
      <c r="A3014" s="1">
        <v>2015</v>
      </c>
      <c r="B3014" s="1" t="s">
        <v>16</v>
      </c>
      <c r="C3014" s="1" t="s">
        <v>26</v>
      </c>
      <c r="D3014" s="1" t="s">
        <v>29</v>
      </c>
      <c r="E3014" s="1">
        <v>13473708.1</v>
      </c>
      <c r="F3014" s="1">
        <v>494445.02</v>
      </c>
      <c r="G3014" s="1">
        <v>71868</v>
      </c>
      <c r="H3014" s="1">
        <v>187.4785454</v>
      </c>
    </row>
    <row r="3015" spans="1:8" ht="15.75" thickBot="1" x14ac:dyDescent="0.3">
      <c r="A3015" s="1">
        <v>2014</v>
      </c>
      <c r="B3015" s="1" t="s">
        <v>35</v>
      </c>
      <c r="C3015" s="1" t="s">
        <v>23</v>
      </c>
      <c r="D3015" s="1" t="s">
        <v>27</v>
      </c>
      <c r="E3015" s="1">
        <v>10000.719999999999</v>
      </c>
      <c r="F3015" s="1">
        <v>515.88</v>
      </c>
      <c r="G3015" s="1">
        <v>382</v>
      </c>
      <c r="H3015" s="1">
        <v>26.179895290000001</v>
      </c>
    </row>
    <row r="3016" spans="1:8" ht="15.75" thickBot="1" x14ac:dyDescent="0.3">
      <c r="A3016" s="1">
        <v>2017</v>
      </c>
      <c r="B3016" s="1" t="s">
        <v>11</v>
      </c>
      <c r="C3016" s="1" t="s">
        <v>25</v>
      </c>
      <c r="D3016" s="1" t="s">
        <v>10</v>
      </c>
      <c r="E3016" s="1">
        <v>1013748376</v>
      </c>
      <c r="F3016" s="1">
        <v>23255190.449999999</v>
      </c>
      <c r="G3016" s="1">
        <v>19643078</v>
      </c>
      <c r="H3016" s="1">
        <v>51.608427949999999</v>
      </c>
    </row>
    <row r="3017" spans="1:8" ht="15.75" thickBot="1" x14ac:dyDescent="0.3">
      <c r="A3017" s="1">
        <v>2016</v>
      </c>
      <c r="B3017" s="1" t="s">
        <v>20</v>
      </c>
      <c r="C3017" s="1" t="s">
        <v>23</v>
      </c>
      <c r="D3017" s="1" t="s">
        <v>13</v>
      </c>
      <c r="E3017" s="1">
        <v>39381.99</v>
      </c>
      <c r="F3017" s="1">
        <v>1394.36</v>
      </c>
      <c r="G3017" s="1">
        <v>5564</v>
      </c>
      <c r="H3017" s="1">
        <v>7.0779996409999999</v>
      </c>
    </row>
    <row r="3018" spans="1:8" ht="15.75" thickBot="1" x14ac:dyDescent="0.3">
      <c r="A3018" s="1">
        <v>2014</v>
      </c>
      <c r="B3018" s="1" t="s">
        <v>11</v>
      </c>
      <c r="C3018" s="1" t="s">
        <v>28</v>
      </c>
      <c r="D3018" s="1" t="s">
        <v>29</v>
      </c>
      <c r="E3018" s="1">
        <v>5013038.5199999996</v>
      </c>
      <c r="F3018" s="1">
        <v>113154.16</v>
      </c>
      <c r="G3018" s="1">
        <v>4700</v>
      </c>
      <c r="H3018" s="1">
        <v>1066.60394</v>
      </c>
    </row>
    <row r="3019" spans="1:8" ht="15.75" thickBot="1" x14ac:dyDescent="0.3">
      <c r="A3019" s="1">
        <v>2014</v>
      </c>
      <c r="B3019" s="1" t="s">
        <v>11</v>
      </c>
      <c r="C3019" s="1" t="s">
        <v>12</v>
      </c>
      <c r="D3019" s="1" t="s">
        <v>24</v>
      </c>
      <c r="E3019" s="1">
        <v>2590502.7000000002</v>
      </c>
      <c r="F3019" s="1">
        <v>76525.279999999999</v>
      </c>
      <c r="G3019" s="1">
        <v>12357</v>
      </c>
      <c r="H3019" s="1">
        <v>209.6384802</v>
      </c>
    </row>
    <row r="3020" spans="1:8" ht="15.75" thickBot="1" x14ac:dyDescent="0.3">
      <c r="A3020" s="1">
        <v>2015</v>
      </c>
      <c r="B3020" s="1" t="s">
        <v>16</v>
      </c>
      <c r="C3020" s="1" t="s">
        <v>25</v>
      </c>
      <c r="D3020" s="1" t="s">
        <v>13</v>
      </c>
      <c r="E3020" s="1">
        <v>628845.15</v>
      </c>
      <c r="F3020" s="1">
        <v>22402.57</v>
      </c>
      <c r="G3020" s="1">
        <v>12520</v>
      </c>
      <c r="H3020" s="1">
        <v>50.227248400000001</v>
      </c>
    </row>
    <row r="3021" spans="1:8" ht="15.75" thickBot="1" x14ac:dyDescent="0.3">
      <c r="A3021" s="1">
        <v>2016</v>
      </c>
      <c r="B3021" s="1" t="s">
        <v>35</v>
      </c>
      <c r="C3021" s="1" t="s">
        <v>21</v>
      </c>
      <c r="D3021" s="1" t="s">
        <v>29</v>
      </c>
      <c r="E3021" s="1">
        <v>3231.56</v>
      </c>
      <c r="F3021" s="1">
        <v>36.020000000000003</v>
      </c>
      <c r="G3021" s="1">
        <v>24</v>
      </c>
      <c r="H3021" s="1">
        <v>134.64833329999999</v>
      </c>
    </row>
    <row r="3022" spans="1:8" ht="15.75" thickBot="1" x14ac:dyDescent="0.3">
      <c r="A3022" s="1">
        <v>2014</v>
      </c>
      <c r="B3022" s="1" t="s">
        <v>20</v>
      </c>
      <c r="C3022" s="1" t="s">
        <v>9</v>
      </c>
      <c r="D3022" s="1" t="s">
        <v>29</v>
      </c>
      <c r="E3022" s="1">
        <v>1742082.55</v>
      </c>
      <c r="F3022" s="1">
        <v>56797.7</v>
      </c>
      <c r="G3022" s="1">
        <v>13547</v>
      </c>
      <c r="H3022" s="1">
        <v>128.59544919999999</v>
      </c>
    </row>
    <row r="3023" spans="1:8" ht="15.75" thickBot="1" x14ac:dyDescent="0.3">
      <c r="A3023" s="1">
        <v>2015</v>
      </c>
      <c r="B3023" s="1" t="s">
        <v>8</v>
      </c>
      <c r="C3023" s="1" t="s">
        <v>33</v>
      </c>
      <c r="D3023" s="1" t="s">
        <v>19</v>
      </c>
      <c r="E3023" s="1">
        <v>6504.95</v>
      </c>
      <c r="F3023" s="1">
        <v>39.56</v>
      </c>
      <c r="G3023" s="1">
        <v>74</v>
      </c>
      <c r="H3023" s="1">
        <v>87.90472973</v>
      </c>
    </row>
    <row r="3024" spans="1:8" ht="15.75" thickBot="1" x14ac:dyDescent="0.3">
      <c r="A3024" s="1">
        <v>2017</v>
      </c>
      <c r="B3024" s="1" t="s">
        <v>30</v>
      </c>
      <c r="C3024" s="1" t="s">
        <v>28</v>
      </c>
      <c r="D3024" s="1" t="s">
        <v>32</v>
      </c>
      <c r="E3024" s="1">
        <v>28111065.43</v>
      </c>
      <c r="F3024" s="1">
        <v>982226.4</v>
      </c>
      <c r="G3024" s="1">
        <v>531645</v>
      </c>
      <c r="H3024" s="1">
        <v>52.875632099999997</v>
      </c>
    </row>
    <row r="3025" spans="1:8" ht="15.75" thickBot="1" x14ac:dyDescent="0.3">
      <c r="A3025" s="1">
        <v>2017</v>
      </c>
      <c r="B3025" s="1" t="s">
        <v>20</v>
      </c>
      <c r="C3025" s="1" t="s">
        <v>21</v>
      </c>
      <c r="D3025" s="1" t="s">
        <v>22</v>
      </c>
      <c r="E3025" s="1">
        <v>300.85000000000002</v>
      </c>
      <c r="F3025" s="1">
        <v>11.91</v>
      </c>
      <c r="G3025" s="1">
        <v>30</v>
      </c>
      <c r="H3025" s="1">
        <v>10.028333330000001</v>
      </c>
    </row>
    <row r="3026" spans="1:8" ht="15.75" thickBot="1" x14ac:dyDescent="0.3">
      <c r="A3026" s="1">
        <v>2015</v>
      </c>
      <c r="B3026" s="1" t="s">
        <v>11</v>
      </c>
      <c r="C3026" s="1" t="s">
        <v>15</v>
      </c>
      <c r="D3026" s="1" t="s">
        <v>32</v>
      </c>
      <c r="E3026" s="1">
        <v>53199989.119999997</v>
      </c>
      <c r="F3026" s="1">
        <v>1640328.06</v>
      </c>
      <c r="G3026" s="1">
        <v>855848</v>
      </c>
      <c r="H3026" s="1">
        <v>62.160557859999997</v>
      </c>
    </row>
    <row r="3027" spans="1:8" ht="15.75" thickBot="1" x14ac:dyDescent="0.3">
      <c r="A3027" s="1">
        <v>2017</v>
      </c>
      <c r="B3027" s="1" t="s">
        <v>14</v>
      </c>
      <c r="C3027" s="1" t="s">
        <v>9</v>
      </c>
      <c r="D3027" s="1" t="s">
        <v>24</v>
      </c>
      <c r="E3027" s="1">
        <v>144350.82999999999</v>
      </c>
      <c r="F3027" s="1">
        <v>2088.77</v>
      </c>
      <c r="G3027" s="1">
        <v>1017</v>
      </c>
      <c r="H3027" s="1">
        <v>141.9378859</v>
      </c>
    </row>
    <row r="3028" spans="1:8" ht="15.75" thickBot="1" x14ac:dyDescent="0.3">
      <c r="A3028" s="1">
        <v>2017</v>
      </c>
      <c r="B3028" s="1" t="s">
        <v>14</v>
      </c>
      <c r="C3028" s="1" t="s">
        <v>33</v>
      </c>
      <c r="D3028" s="1" t="s">
        <v>19</v>
      </c>
      <c r="E3028" s="1">
        <v>70198710.900000006</v>
      </c>
      <c r="F3028" s="1">
        <v>1977377.82</v>
      </c>
      <c r="G3028" s="1">
        <v>446107</v>
      </c>
      <c r="H3028" s="1">
        <v>157.35846090000001</v>
      </c>
    </row>
    <row r="3029" spans="1:8" ht="15.75" thickBot="1" x14ac:dyDescent="0.3">
      <c r="A3029" s="1">
        <v>2017</v>
      </c>
      <c r="B3029" s="1" t="s">
        <v>20</v>
      </c>
      <c r="C3029" s="1" t="s">
        <v>21</v>
      </c>
      <c r="D3029" s="1" t="s">
        <v>29</v>
      </c>
      <c r="E3029" s="1">
        <v>988945.48</v>
      </c>
      <c r="F3029" s="1">
        <v>34673.769999999997</v>
      </c>
      <c r="G3029" s="1">
        <v>11317</v>
      </c>
      <c r="H3029" s="1">
        <v>87.385833700000006</v>
      </c>
    </row>
    <row r="3030" spans="1:8" ht="15.75" thickBot="1" x14ac:dyDescent="0.3">
      <c r="A3030" s="1">
        <v>2016</v>
      </c>
      <c r="B3030" s="1" t="s">
        <v>20</v>
      </c>
      <c r="C3030" s="1" t="s">
        <v>12</v>
      </c>
      <c r="D3030" s="1" t="s">
        <v>22</v>
      </c>
      <c r="E3030" s="1">
        <v>69.86</v>
      </c>
      <c r="F3030" s="1">
        <v>5.44</v>
      </c>
      <c r="G3030" s="1">
        <v>8</v>
      </c>
      <c r="H3030" s="1">
        <v>8.7324999999999999</v>
      </c>
    </row>
    <row r="3031" spans="1:8" ht="15.75" thickBot="1" x14ac:dyDescent="0.3">
      <c r="A3031" s="1">
        <v>2017</v>
      </c>
      <c r="B3031" s="1" t="s">
        <v>30</v>
      </c>
      <c r="C3031" s="1" t="s">
        <v>9</v>
      </c>
      <c r="D3031" s="1" t="s">
        <v>31</v>
      </c>
      <c r="E3031" s="1">
        <v>269.2</v>
      </c>
      <c r="F3031" s="1">
        <v>10.52</v>
      </c>
      <c r="G3031" s="1">
        <v>9</v>
      </c>
      <c r="H3031" s="1">
        <v>29.91111111</v>
      </c>
    </row>
    <row r="3032" spans="1:8" ht="15.75" thickBot="1" x14ac:dyDescent="0.3">
      <c r="A3032" s="1">
        <v>2016</v>
      </c>
      <c r="B3032" s="1" t="s">
        <v>12</v>
      </c>
      <c r="C3032" s="1" t="s">
        <v>21</v>
      </c>
      <c r="D3032" s="1" t="s">
        <v>19</v>
      </c>
      <c r="E3032" s="1">
        <v>7906788.0700000003</v>
      </c>
      <c r="F3032" s="1">
        <v>216960.93</v>
      </c>
      <c r="G3032" s="1">
        <v>29305</v>
      </c>
      <c r="H3032" s="1">
        <v>269.81020539999997</v>
      </c>
    </row>
    <row r="3033" spans="1:8" ht="15.75" thickBot="1" x14ac:dyDescent="0.3">
      <c r="A3033" s="1">
        <v>2017</v>
      </c>
      <c r="B3033" s="1" t="s">
        <v>30</v>
      </c>
      <c r="C3033" s="1" t="s">
        <v>28</v>
      </c>
      <c r="D3033" s="1" t="s">
        <v>29</v>
      </c>
      <c r="E3033" s="1">
        <v>37769341.189999998</v>
      </c>
      <c r="F3033" s="1">
        <v>1221187.28</v>
      </c>
      <c r="G3033" s="1">
        <v>138382</v>
      </c>
      <c r="H3033" s="1">
        <v>272.9353615</v>
      </c>
    </row>
    <row r="3034" spans="1:8" ht="15.75" thickBot="1" x14ac:dyDescent="0.3">
      <c r="A3034" s="1">
        <v>2017</v>
      </c>
      <c r="B3034" s="1" t="s">
        <v>17</v>
      </c>
      <c r="C3034" s="1" t="s">
        <v>26</v>
      </c>
      <c r="D3034" s="1" t="s">
        <v>32</v>
      </c>
      <c r="E3034" s="1">
        <v>138204242.19999999</v>
      </c>
      <c r="F3034" s="1">
        <v>5148746.07</v>
      </c>
      <c r="G3034" s="1">
        <v>2731813</v>
      </c>
      <c r="H3034" s="1">
        <v>50.590667140000001</v>
      </c>
    </row>
    <row r="3035" spans="1:8" ht="15.75" thickBot="1" x14ac:dyDescent="0.3">
      <c r="A3035" s="1">
        <v>2015</v>
      </c>
      <c r="B3035" s="1" t="s">
        <v>40</v>
      </c>
      <c r="C3035" s="1" t="s">
        <v>28</v>
      </c>
      <c r="D3035" s="1" t="s">
        <v>19</v>
      </c>
      <c r="E3035" s="1">
        <v>224107.98</v>
      </c>
      <c r="F3035" s="1">
        <v>2807.89</v>
      </c>
      <c r="G3035" s="1">
        <v>1998</v>
      </c>
      <c r="H3035" s="1">
        <v>112.1661562</v>
      </c>
    </row>
    <row r="3036" spans="1:8" ht="15.75" thickBot="1" x14ac:dyDescent="0.3">
      <c r="A3036" s="1">
        <v>2016</v>
      </c>
      <c r="B3036" s="1" t="s">
        <v>30</v>
      </c>
      <c r="C3036" s="1" t="s">
        <v>18</v>
      </c>
      <c r="D3036" s="1" t="s">
        <v>19</v>
      </c>
      <c r="E3036" s="1">
        <v>48646797.600000001</v>
      </c>
      <c r="F3036" s="1">
        <v>1165306.21</v>
      </c>
      <c r="G3036" s="1">
        <v>304289</v>
      </c>
      <c r="H3036" s="1">
        <v>159.87037849999999</v>
      </c>
    </row>
    <row r="3037" spans="1:8" ht="15.75" thickBot="1" x14ac:dyDescent="0.3">
      <c r="A3037" s="1">
        <v>2017</v>
      </c>
      <c r="B3037" s="1" t="s">
        <v>14</v>
      </c>
      <c r="C3037" s="1" t="s">
        <v>21</v>
      </c>
      <c r="D3037" s="1" t="s">
        <v>27</v>
      </c>
      <c r="E3037" s="1">
        <v>216553370.59999999</v>
      </c>
      <c r="F3037" s="1">
        <v>9462301.5299999993</v>
      </c>
      <c r="G3037" s="1">
        <v>7934007</v>
      </c>
      <c r="H3037" s="1">
        <v>27.294325629999999</v>
      </c>
    </row>
    <row r="3038" spans="1:8" ht="15.75" thickBot="1" x14ac:dyDescent="0.3">
      <c r="A3038" s="1">
        <v>2015</v>
      </c>
      <c r="B3038" s="1" t="s">
        <v>20</v>
      </c>
      <c r="C3038" s="1" t="s">
        <v>9</v>
      </c>
      <c r="D3038" s="1" t="s">
        <v>24</v>
      </c>
      <c r="E3038" s="1">
        <v>18049.41</v>
      </c>
      <c r="F3038" s="1">
        <v>280.86</v>
      </c>
      <c r="G3038" s="1">
        <v>250</v>
      </c>
      <c r="H3038" s="1">
        <v>72.197640000000007</v>
      </c>
    </row>
    <row r="3039" spans="1:8" ht="15.75" thickBot="1" x14ac:dyDescent="0.3">
      <c r="A3039" s="1">
        <v>2015</v>
      </c>
      <c r="B3039" s="1" t="s">
        <v>20</v>
      </c>
      <c r="C3039" s="1" t="s">
        <v>9</v>
      </c>
      <c r="D3039" s="1" t="s">
        <v>10</v>
      </c>
      <c r="E3039" s="1">
        <v>225.23</v>
      </c>
      <c r="F3039" s="1">
        <v>14.36</v>
      </c>
      <c r="G3039" s="1">
        <v>282</v>
      </c>
      <c r="H3039" s="1">
        <v>0.79868794330000004</v>
      </c>
    </row>
    <row r="3040" spans="1:8" ht="15.75" thickBot="1" x14ac:dyDescent="0.3">
      <c r="A3040" s="1">
        <v>2017</v>
      </c>
      <c r="B3040" s="1" t="s">
        <v>17</v>
      </c>
      <c r="C3040" s="1" t="s">
        <v>9</v>
      </c>
      <c r="D3040" s="1" t="s">
        <v>24</v>
      </c>
      <c r="E3040" s="1">
        <v>14150864.939999999</v>
      </c>
      <c r="F3040" s="1">
        <v>451210.77</v>
      </c>
      <c r="G3040" s="1">
        <v>47334</v>
      </c>
      <c r="H3040" s="1">
        <v>298.95772469999997</v>
      </c>
    </row>
    <row r="3041" spans="1:8" ht="15.75" thickBot="1" x14ac:dyDescent="0.3">
      <c r="A3041" s="1">
        <v>2015</v>
      </c>
      <c r="B3041" s="1" t="s">
        <v>16</v>
      </c>
      <c r="C3041" s="1" t="s">
        <v>18</v>
      </c>
      <c r="D3041" s="1" t="s">
        <v>19</v>
      </c>
      <c r="E3041" s="1">
        <v>11880370.310000001</v>
      </c>
      <c r="F3041" s="1">
        <v>396421.08</v>
      </c>
      <c r="G3041" s="1">
        <v>49531</v>
      </c>
      <c r="H3041" s="1">
        <v>239.85726740000001</v>
      </c>
    </row>
    <row r="3042" spans="1:8" ht="15.75" thickBot="1" x14ac:dyDescent="0.3">
      <c r="A3042" s="1">
        <v>2016</v>
      </c>
      <c r="B3042" s="1" t="s">
        <v>17</v>
      </c>
      <c r="C3042" s="1" t="s">
        <v>9</v>
      </c>
      <c r="D3042" s="1" t="s">
        <v>32</v>
      </c>
      <c r="E3042" s="1">
        <v>315906.38</v>
      </c>
      <c r="F3042" s="1">
        <v>8886.7800000000007</v>
      </c>
      <c r="G3042" s="1">
        <v>79806</v>
      </c>
      <c r="H3042" s="1">
        <v>3.9584289400000001</v>
      </c>
    </row>
    <row r="3043" spans="1:8" ht="15.75" thickBot="1" x14ac:dyDescent="0.3">
      <c r="A3043" s="1">
        <v>2017</v>
      </c>
      <c r="B3043" s="1" t="s">
        <v>11</v>
      </c>
      <c r="C3043" s="1" t="s">
        <v>25</v>
      </c>
      <c r="D3043" s="1" t="s">
        <v>34</v>
      </c>
      <c r="E3043" s="1">
        <v>1752949.26</v>
      </c>
      <c r="F3043" s="1">
        <v>43204.56</v>
      </c>
      <c r="G3043" s="1">
        <v>41294</v>
      </c>
      <c r="H3043" s="1">
        <v>42.45045915</v>
      </c>
    </row>
    <row r="3044" spans="1:8" ht="15.75" thickBot="1" x14ac:dyDescent="0.3">
      <c r="A3044" s="1">
        <v>2017</v>
      </c>
      <c r="B3044" s="1" t="s">
        <v>30</v>
      </c>
      <c r="C3044" s="1" t="s">
        <v>25</v>
      </c>
      <c r="D3044" s="1" t="s">
        <v>19</v>
      </c>
      <c r="E3044" s="1">
        <v>359704516.30000001</v>
      </c>
      <c r="F3044" s="1">
        <v>7712645.9199999999</v>
      </c>
      <c r="G3044" s="1">
        <v>2591891</v>
      </c>
      <c r="H3044" s="1">
        <v>138.78072660000001</v>
      </c>
    </row>
    <row r="3045" spans="1:8" ht="15.75" thickBot="1" x14ac:dyDescent="0.3">
      <c r="A3045" s="1">
        <v>2017</v>
      </c>
      <c r="B3045" s="1" t="s">
        <v>11</v>
      </c>
      <c r="C3045" s="1" t="s">
        <v>9</v>
      </c>
      <c r="D3045" s="1" t="s">
        <v>19</v>
      </c>
      <c r="E3045" s="1">
        <v>14406.11</v>
      </c>
      <c r="F3045" s="1">
        <v>489.43</v>
      </c>
      <c r="G3045" s="1">
        <v>1179</v>
      </c>
      <c r="H3045" s="1">
        <v>12.21892282</v>
      </c>
    </row>
    <row r="3046" spans="1:8" ht="15.75" thickBot="1" x14ac:dyDescent="0.3">
      <c r="A3046" s="1">
        <v>2014</v>
      </c>
      <c r="B3046" s="1" t="s">
        <v>12</v>
      </c>
      <c r="C3046" s="1" t="s">
        <v>12</v>
      </c>
      <c r="D3046" s="1" t="s">
        <v>32</v>
      </c>
      <c r="E3046" s="1">
        <v>12098433.98</v>
      </c>
      <c r="F3046" s="1">
        <v>416223.65</v>
      </c>
      <c r="G3046" s="1">
        <v>174638</v>
      </c>
      <c r="H3046" s="1">
        <v>69.277213320000001</v>
      </c>
    </row>
    <row r="3047" spans="1:8" ht="15.75" thickBot="1" x14ac:dyDescent="0.3">
      <c r="A3047" s="1">
        <v>2017</v>
      </c>
      <c r="B3047" s="1" t="s">
        <v>17</v>
      </c>
      <c r="C3047" s="1" t="s">
        <v>33</v>
      </c>
      <c r="D3047" s="1" t="s">
        <v>31</v>
      </c>
      <c r="E3047" s="1">
        <v>44964318.43</v>
      </c>
      <c r="F3047" s="1">
        <v>1460431.89</v>
      </c>
      <c r="G3047" s="1">
        <v>753831</v>
      </c>
      <c r="H3047" s="1">
        <v>59.647743900000002</v>
      </c>
    </row>
    <row r="3048" spans="1:8" ht="15.75" thickBot="1" x14ac:dyDescent="0.3">
      <c r="A3048" s="1">
        <v>2014</v>
      </c>
      <c r="B3048" s="1" t="s">
        <v>35</v>
      </c>
      <c r="C3048" s="1" t="s">
        <v>23</v>
      </c>
      <c r="D3048" s="1" t="s">
        <v>32</v>
      </c>
      <c r="E3048" s="1">
        <v>655.26</v>
      </c>
      <c r="F3048" s="1">
        <v>44.28</v>
      </c>
      <c r="G3048" s="1">
        <v>113</v>
      </c>
      <c r="H3048" s="1">
        <v>5.7987610619999996</v>
      </c>
    </row>
    <row r="3049" spans="1:8" ht="15.75" thickBot="1" x14ac:dyDescent="0.3">
      <c r="A3049" s="1">
        <v>2014</v>
      </c>
      <c r="B3049" s="1" t="s">
        <v>35</v>
      </c>
      <c r="C3049" s="1" t="s">
        <v>28</v>
      </c>
      <c r="D3049" s="1" t="s">
        <v>29</v>
      </c>
      <c r="E3049" s="1">
        <v>18693.87</v>
      </c>
      <c r="F3049" s="1">
        <v>641.91999999999996</v>
      </c>
      <c r="G3049" s="1">
        <v>69</v>
      </c>
      <c r="H3049" s="1">
        <v>270.9256522</v>
      </c>
    </row>
    <row r="3050" spans="1:8" ht="15.75" thickBot="1" x14ac:dyDescent="0.3">
      <c r="A3050" s="1">
        <v>2014</v>
      </c>
      <c r="B3050" s="1" t="s">
        <v>14</v>
      </c>
      <c r="C3050" s="1" t="s">
        <v>18</v>
      </c>
      <c r="D3050" s="1" t="s">
        <v>29</v>
      </c>
      <c r="E3050" s="1">
        <v>4232772.45</v>
      </c>
      <c r="F3050" s="1">
        <v>131939.13</v>
      </c>
      <c r="G3050" s="1">
        <v>15519</v>
      </c>
      <c r="H3050" s="1">
        <v>272.7477576</v>
      </c>
    </row>
    <row r="3051" spans="1:8" ht="15.75" thickBot="1" x14ac:dyDescent="0.3">
      <c r="A3051" s="1">
        <v>2017</v>
      </c>
      <c r="B3051" s="1" t="s">
        <v>40</v>
      </c>
      <c r="C3051" s="1" t="s">
        <v>26</v>
      </c>
      <c r="D3051" s="1" t="s">
        <v>19</v>
      </c>
      <c r="E3051" s="1">
        <v>27226.63</v>
      </c>
      <c r="F3051" s="1">
        <v>491.78</v>
      </c>
      <c r="G3051" s="1">
        <v>307</v>
      </c>
      <c r="H3051" s="1">
        <v>88.686091210000001</v>
      </c>
    </row>
    <row r="3052" spans="1:8" ht="15.75" thickBot="1" x14ac:dyDescent="0.3">
      <c r="A3052" s="1">
        <v>2015</v>
      </c>
      <c r="B3052" s="1" t="s">
        <v>16</v>
      </c>
      <c r="C3052" s="1" t="s">
        <v>9</v>
      </c>
      <c r="D3052" s="1" t="s">
        <v>27</v>
      </c>
      <c r="E3052" s="1">
        <v>76237452.769999996</v>
      </c>
      <c r="F3052" s="1">
        <v>2824607.9</v>
      </c>
      <c r="G3052" s="1">
        <v>1307670</v>
      </c>
      <c r="H3052" s="1">
        <v>58.300223119999998</v>
      </c>
    </row>
    <row r="3053" spans="1:8" ht="15.75" thickBot="1" x14ac:dyDescent="0.3">
      <c r="A3053" s="1">
        <v>2014</v>
      </c>
      <c r="B3053" s="1" t="s">
        <v>12</v>
      </c>
      <c r="C3053" s="1" t="s">
        <v>26</v>
      </c>
      <c r="D3053" s="1" t="s">
        <v>19</v>
      </c>
      <c r="E3053" s="1">
        <v>2844842.67</v>
      </c>
      <c r="F3053" s="1">
        <v>89225.88</v>
      </c>
      <c r="G3053" s="1">
        <v>22363</v>
      </c>
      <c r="H3053" s="1">
        <v>127.2120319</v>
      </c>
    </row>
    <row r="3054" spans="1:8" ht="15.75" thickBot="1" x14ac:dyDescent="0.3">
      <c r="A3054" s="1">
        <v>2014</v>
      </c>
      <c r="B3054" s="1" t="s">
        <v>35</v>
      </c>
      <c r="C3054" s="1" t="s">
        <v>28</v>
      </c>
      <c r="D3054" s="1" t="s">
        <v>36</v>
      </c>
      <c r="E3054" s="1">
        <v>14310.28</v>
      </c>
      <c r="F3054" s="1">
        <v>71.349999999999994</v>
      </c>
      <c r="G3054" s="1">
        <v>225</v>
      </c>
      <c r="H3054" s="1">
        <v>63.601244440000002</v>
      </c>
    </row>
    <row r="3055" spans="1:8" ht="15.75" thickBot="1" x14ac:dyDescent="0.3">
      <c r="A3055" s="1">
        <v>2016</v>
      </c>
      <c r="B3055" s="1" t="s">
        <v>12</v>
      </c>
      <c r="C3055" s="1" t="s">
        <v>26</v>
      </c>
      <c r="D3055" s="1" t="s">
        <v>32</v>
      </c>
      <c r="E3055" s="1">
        <v>4942831.82</v>
      </c>
      <c r="F3055" s="1">
        <v>189311.33</v>
      </c>
      <c r="G3055" s="1">
        <v>104872</v>
      </c>
      <c r="H3055" s="1">
        <v>47.132044970000003</v>
      </c>
    </row>
    <row r="3056" spans="1:8" ht="15.75" thickBot="1" x14ac:dyDescent="0.3">
      <c r="A3056" s="1">
        <v>2015</v>
      </c>
      <c r="B3056" s="1" t="s">
        <v>14</v>
      </c>
      <c r="C3056" s="1" t="s">
        <v>23</v>
      </c>
      <c r="D3056" s="1" t="s">
        <v>24</v>
      </c>
      <c r="E3056" s="1">
        <v>8599664.8699999992</v>
      </c>
      <c r="F3056" s="1">
        <v>330672.17</v>
      </c>
      <c r="G3056" s="1">
        <v>108526</v>
      </c>
      <c r="H3056" s="1">
        <v>79.240595529999993</v>
      </c>
    </row>
    <row r="3057" spans="1:8" ht="15.75" thickBot="1" x14ac:dyDescent="0.3">
      <c r="A3057" s="1">
        <v>2015</v>
      </c>
      <c r="B3057" s="1" t="s">
        <v>11</v>
      </c>
      <c r="C3057" s="1" t="s">
        <v>28</v>
      </c>
      <c r="D3057" s="1" t="s">
        <v>10</v>
      </c>
      <c r="E3057" s="1">
        <v>220359276.80000001</v>
      </c>
      <c r="F3057" s="1">
        <v>4809232.08</v>
      </c>
      <c r="G3057" s="1">
        <v>2091587</v>
      </c>
      <c r="H3057" s="1">
        <v>105.3550614</v>
      </c>
    </row>
    <row r="3058" spans="1:8" ht="15.75" thickBot="1" x14ac:dyDescent="0.3">
      <c r="A3058" s="1">
        <v>2016</v>
      </c>
      <c r="B3058" s="1" t="s">
        <v>16</v>
      </c>
      <c r="C3058" s="1" t="s">
        <v>23</v>
      </c>
      <c r="D3058" s="1" t="s">
        <v>24</v>
      </c>
      <c r="E3058" s="1">
        <v>27385335.41</v>
      </c>
      <c r="F3058" s="1">
        <v>1026038.89</v>
      </c>
      <c r="G3058" s="1">
        <v>180137</v>
      </c>
      <c r="H3058" s="1">
        <v>152.02504429999999</v>
      </c>
    </row>
    <row r="3059" spans="1:8" ht="15.75" thickBot="1" x14ac:dyDescent="0.3">
      <c r="A3059" s="1">
        <v>2014</v>
      </c>
      <c r="B3059" s="1" t="s">
        <v>20</v>
      </c>
      <c r="C3059" s="1" t="s">
        <v>28</v>
      </c>
      <c r="D3059" s="1" t="s">
        <v>22</v>
      </c>
      <c r="E3059" s="1">
        <v>550.33000000000004</v>
      </c>
      <c r="F3059" s="1">
        <v>28.08</v>
      </c>
      <c r="G3059" s="1">
        <v>26157</v>
      </c>
      <c r="H3059" s="1">
        <v>2.10394923E-2</v>
      </c>
    </row>
    <row r="3060" spans="1:8" ht="15.75" thickBot="1" x14ac:dyDescent="0.3">
      <c r="A3060" s="1">
        <v>2015</v>
      </c>
      <c r="B3060" s="1" t="s">
        <v>17</v>
      </c>
      <c r="C3060" s="1" t="s">
        <v>9</v>
      </c>
      <c r="D3060" s="1" t="s">
        <v>29</v>
      </c>
      <c r="E3060" s="1">
        <v>76968.33</v>
      </c>
      <c r="F3060" s="1">
        <v>1003.82</v>
      </c>
      <c r="G3060" s="1">
        <v>304</v>
      </c>
      <c r="H3060" s="1">
        <v>253.18529609999999</v>
      </c>
    </row>
    <row r="3061" spans="1:8" ht="15.75" thickBot="1" x14ac:dyDescent="0.3">
      <c r="A3061" s="1">
        <v>2015</v>
      </c>
      <c r="B3061" s="1" t="s">
        <v>14</v>
      </c>
      <c r="C3061" s="1" t="s">
        <v>23</v>
      </c>
      <c r="D3061" s="1" t="s">
        <v>29</v>
      </c>
      <c r="E3061" s="1">
        <v>4323890.79</v>
      </c>
      <c r="F3061" s="1">
        <v>163552.07</v>
      </c>
      <c r="G3061" s="1">
        <v>48775</v>
      </c>
      <c r="H3061" s="1">
        <v>88.649734289999998</v>
      </c>
    </row>
    <row r="3062" spans="1:8" ht="15.75" thickBot="1" x14ac:dyDescent="0.3">
      <c r="A3062" s="1">
        <v>2016</v>
      </c>
      <c r="B3062" s="1" t="s">
        <v>14</v>
      </c>
      <c r="C3062" s="1" t="s">
        <v>9</v>
      </c>
      <c r="D3062" s="1" t="s">
        <v>22</v>
      </c>
      <c r="E3062" s="1">
        <v>19.96</v>
      </c>
      <c r="F3062" s="1">
        <v>0.68</v>
      </c>
      <c r="G3062" s="1">
        <v>30</v>
      </c>
      <c r="H3062" s="1">
        <v>0.6653333333</v>
      </c>
    </row>
    <row r="3063" spans="1:8" ht="15.75" thickBot="1" x14ac:dyDescent="0.3">
      <c r="A3063" s="1">
        <v>2017</v>
      </c>
      <c r="B3063" s="1" t="s">
        <v>20</v>
      </c>
      <c r="C3063" s="1" t="s">
        <v>15</v>
      </c>
      <c r="D3063" s="1" t="s">
        <v>24</v>
      </c>
      <c r="E3063" s="1">
        <v>1542152.85</v>
      </c>
      <c r="F3063" s="1">
        <v>52529.279999999999</v>
      </c>
      <c r="G3063" s="1">
        <v>13823</v>
      </c>
      <c r="H3063" s="1">
        <v>111.5642661</v>
      </c>
    </row>
    <row r="3064" spans="1:8" ht="15.75" thickBot="1" x14ac:dyDescent="0.3">
      <c r="A3064" s="1">
        <v>2017</v>
      </c>
      <c r="B3064" s="1" t="s">
        <v>20</v>
      </c>
      <c r="C3064" s="1" t="s">
        <v>25</v>
      </c>
      <c r="D3064" s="1" t="s">
        <v>32</v>
      </c>
      <c r="E3064" s="1">
        <v>5788541.3200000003</v>
      </c>
      <c r="F3064" s="1">
        <v>236692.54</v>
      </c>
      <c r="G3064" s="1">
        <v>205996</v>
      </c>
      <c r="H3064" s="1">
        <v>28.100260779999999</v>
      </c>
    </row>
    <row r="3065" spans="1:8" ht="15.75" thickBot="1" x14ac:dyDescent="0.3">
      <c r="A3065" s="1">
        <v>2015</v>
      </c>
      <c r="B3065" s="1" t="s">
        <v>20</v>
      </c>
      <c r="C3065" s="1" t="s">
        <v>12</v>
      </c>
      <c r="D3065" s="1" t="s">
        <v>31</v>
      </c>
      <c r="E3065" s="1">
        <v>25341.05</v>
      </c>
      <c r="F3065" s="1">
        <v>1062.6199999999999</v>
      </c>
      <c r="G3065" s="1">
        <v>1086</v>
      </c>
      <c r="H3065" s="1">
        <v>23.33430018</v>
      </c>
    </row>
    <row r="3066" spans="1:8" ht="15.75" thickBot="1" x14ac:dyDescent="0.3">
      <c r="A3066" s="1">
        <v>2015</v>
      </c>
      <c r="B3066" s="1" t="s">
        <v>30</v>
      </c>
      <c r="C3066" s="1" t="s">
        <v>9</v>
      </c>
      <c r="D3066" s="1" t="s">
        <v>27</v>
      </c>
      <c r="E3066" s="1">
        <v>57825292.329999998</v>
      </c>
      <c r="F3066" s="1">
        <v>2015260.23</v>
      </c>
      <c r="G3066" s="1">
        <v>747411</v>
      </c>
      <c r="H3066" s="1">
        <v>77.367462250000003</v>
      </c>
    </row>
    <row r="3067" spans="1:8" ht="15.75" thickBot="1" x14ac:dyDescent="0.3">
      <c r="A3067" s="1">
        <v>2015</v>
      </c>
      <c r="B3067" s="1" t="s">
        <v>11</v>
      </c>
      <c r="C3067" s="1" t="s">
        <v>25</v>
      </c>
      <c r="D3067" s="1" t="s">
        <v>10</v>
      </c>
      <c r="E3067" s="1">
        <v>310498796.19999999</v>
      </c>
      <c r="F3067" s="1">
        <v>6664371.6500000004</v>
      </c>
      <c r="G3067" s="1">
        <v>4175213</v>
      </c>
      <c r="H3067" s="1">
        <v>74.367175099999997</v>
      </c>
    </row>
    <row r="3068" spans="1:8" ht="15.75" thickBot="1" x14ac:dyDescent="0.3">
      <c r="A3068" s="1">
        <v>2015</v>
      </c>
      <c r="B3068" s="1" t="s">
        <v>8</v>
      </c>
      <c r="C3068" s="1" t="s">
        <v>33</v>
      </c>
      <c r="D3068" s="1" t="s">
        <v>13</v>
      </c>
      <c r="E3068" s="1">
        <v>200</v>
      </c>
      <c r="F3068" s="1">
        <v>0</v>
      </c>
      <c r="G3068" s="1">
        <v>1</v>
      </c>
      <c r="H3068" s="1">
        <v>200</v>
      </c>
    </row>
    <row r="3069" spans="1:8" ht="15.75" thickBot="1" x14ac:dyDescent="0.3">
      <c r="A3069" s="1">
        <v>2016</v>
      </c>
      <c r="B3069" s="1" t="s">
        <v>11</v>
      </c>
      <c r="C3069" s="1" t="s">
        <v>21</v>
      </c>
      <c r="D3069" s="1" t="s">
        <v>10</v>
      </c>
      <c r="E3069" s="1">
        <v>681291165</v>
      </c>
      <c r="F3069" s="1">
        <v>14173138.18</v>
      </c>
      <c r="G3069" s="1">
        <v>9687101</v>
      </c>
      <c r="H3069" s="1">
        <v>70.329726609999994</v>
      </c>
    </row>
    <row r="3070" spans="1:8" ht="15.75" thickBot="1" x14ac:dyDescent="0.3">
      <c r="A3070" s="1">
        <v>2017</v>
      </c>
      <c r="B3070" s="1" t="s">
        <v>17</v>
      </c>
      <c r="C3070" s="1" t="s">
        <v>15</v>
      </c>
      <c r="D3070" s="1" t="s">
        <v>22</v>
      </c>
      <c r="E3070" s="1">
        <v>307570.59000000003</v>
      </c>
      <c r="F3070" s="1">
        <v>10286.39</v>
      </c>
      <c r="G3070" s="1">
        <v>16208</v>
      </c>
      <c r="H3070" s="1">
        <v>18.976467790000001</v>
      </c>
    </row>
    <row r="3071" spans="1:8" ht="15.75" thickBot="1" x14ac:dyDescent="0.3">
      <c r="A3071" s="1">
        <v>2015</v>
      </c>
      <c r="B3071" s="1" t="s">
        <v>12</v>
      </c>
      <c r="C3071" s="1" t="s">
        <v>26</v>
      </c>
      <c r="D3071" s="1" t="s">
        <v>19</v>
      </c>
      <c r="E3071" s="1">
        <v>3338755.87</v>
      </c>
      <c r="F3071" s="1">
        <v>106426</v>
      </c>
      <c r="G3071" s="1">
        <v>21578</v>
      </c>
      <c r="H3071" s="1">
        <v>154.729626</v>
      </c>
    </row>
    <row r="3072" spans="1:8" ht="15.75" thickBot="1" x14ac:dyDescent="0.3">
      <c r="A3072" s="1">
        <v>2017</v>
      </c>
      <c r="B3072" s="1" t="s">
        <v>20</v>
      </c>
      <c r="C3072" s="1" t="s">
        <v>12</v>
      </c>
      <c r="D3072" s="1" t="s">
        <v>34</v>
      </c>
      <c r="E3072" s="1">
        <v>4266.29</v>
      </c>
      <c r="F3072" s="1">
        <v>179.5</v>
      </c>
      <c r="G3072" s="1">
        <v>191</v>
      </c>
      <c r="H3072" s="1">
        <v>22.33659686</v>
      </c>
    </row>
    <row r="3073" spans="1:8" ht="15.75" thickBot="1" x14ac:dyDescent="0.3">
      <c r="A3073" s="1">
        <v>2014</v>
      </c>
      <c r="B3073" s="1" t="s">
        <v>30</v>
      </c>
      <c r="C3073" s="1" t="s">
        <v>21</v>
      </c>
      <c r="D3073" s="1" t="s">
        <v>13</v>
      </c>
      <c r="E3073" s="1">
        <v>448432.43</v>
      </c>
      <c r="F3073" s="1">
        <v>10265.17</v>
      </c>
      <c r="G3073" s="1">
        <v>4962</v>
      </c>
      <c r="H3073" s="1">
        <v>90.373323260000006</v>
      </c>
    </row>
    <row r="3074" spans="1:8" ht="15.75" thickBot="1" x14ac:dyDescent="0.3">
      <c r="A3074" s="1">
        <v>2016</v>
      </c>
      <c r="B3074" s="1" t="s">
        <v>11</v>
      </c>
      <c r="C3074" s="1" t="s">
        <v>21</v>
      </c>
      <c r="D3074" s="1" t="s">
        <v>13</v>
      </c>
      <c r="E3074" s="1">
        <v>2037028.86</v>
      </c>
      <c r="F3074" s="1">
        <v>63734.1</v>
      </c>
      <c r="G3074" s="1">
        <v>191399</v>
      </c>
      <c r="H3074" s="1">
        <v>10.64283962</v>
      </c>
    </row>
    <row r="3075" spans="1:8" ht="15.75" thickBot="1" x14ac:dyDescent="0.3">
      <c r="A3075" s="1">
        <v>2014</v>
      </c>
      <c r="B3075" s="1" t="s">
        <v>17</v>
      </c>
      <c r="C3075" s="1" t="s">
        <v>25</v>
      </c>
      <c r="D3075" s="1" t="s">
        <v>19</v>
      </c>
      <c r="E3075" s="1">
        <v>35960612.020000003</v>
      </c>
      <c r="F3075" s="1">
        <v>1214480.76</v>
      </c>
      <c r="G3075" s="1">
        <v>203196</v>
      </c>
      <c r="H3075" s="1">
        <v>176.97499959999999</v>
      </c>
    </row>
    <row r="3076" spans="1:8" ht="15.75" thickBot="1" x14ac:dyDescent="0.3">
      <c r="A3076" s="1">
        <v>2014</v>
      </c>
      <c r="B3076" s="1" t="s">
        <v>17</v>
      </c>
      <c r="C3076" s="1" t="s">
        <v>21</v>
      </c>
      <c r="D3076" s="1" t="s">
        <v>13</v>
      </c>
      <c r="E3076" s="1">
        <v>54497.05</v>
      </c>
      <c r="F3076" s="1">
        <v>1661.13</v>
      </c>
      <c r="G3076" s="1">
        <v>886</v>
      </c>
      <c r="H3076" s="1">
        <v>61.509085779999999</v>
      </c>
    </row>
    <row r="3077" spans="1:8" ht="15.75" thickBot="1" x14ac:dyDescent="0.3">
      <c r="A3077" s="1">
        <v>2017</v>
      </c>
      <c r="B3077" s="1" t="s">
        <v>17</v>
      </c>
      <c r="C3077" s="1" t="s">
        <v>21</v>
      </c>
      <c r="D3077" s="1" t="s">
        <v>19</v>
      </c>
      <c r="E3077" s="1">
        <v>41435820.009999998</v>
      </c>
      <c r="F3077" s="1">
        <v>1419941.66</v>
      </c>
      <c r="G3077" s="1">
        <v>197599</v>
      </c>
      <c r="H3077" s="1">
        <v>209.69650659999999</v>
      </c>
    </row>
    <row r="3078" spans="1:8" ht="15.75" thickBot="1" x14ac:dyDescent="0.3">
      <c r="A3078" s="1">
        <v>2014</v>
      </c>
      <c r="B3078" s="1" t="s">
        <v>20</v>
      </c>
      <c r="C3078" s="1" t="s">
        <v>25</v>
      </c>
      <c r="D3078" s="1" t="s">
        <v>10</v>
      </c>
      <c r="E3078" s="1">
        <v>153211.26999999999</v>
      </c>
      <c r="F3078" s="1">
        <v>5988.51</v>
      </c>
      <c r="G3078" s="1">
        <v>4172</v>
      </c>
      <c r="H3078" s="1">
        <v>36.723698470000002</v>
      </c>
    </row>
    <row r="3079" spans="1:8" ht="15.75" thickBot="1" x14ac:dyDescent="0.3">
      <c r="A3079" s="1">
        <v>2017</v>
      </c>
      <c r="B3079" s="1" t="s">
        <v>12</v>
      </c>
      <c r="C3079" s="1" t="s">
        <v>21</v>
      </c>
      <c r="D3079" s="1" t="s">
        <v>24</v>
      </c>
      <c r="E3079" s="1">
        <v>3649469.23</v>
      </c>
      <c r="F3079" s="1">
        <v>118512.77</v>
      </c>
      <c r="G3079" s="1">
        <v>10660</v>
      </c>
      <c r="H3079" s="1">
        <v>342.35171009999999</v>
      </c>
    </row>
    <row r="3080" spans="1:8" ht="15.75" thickBot="1" x14ac:dyDescent="0.3">
      <c r="A3080" s="1">
        <v>2014</v>
      </c>
      <c r="B3080" s="1" t="s">
        <v>14</v>
      </c>
      <c r="C3080" s="1" t="s">
        <v>28</v>
      </c>
      <c r="D3080" s="1" t="s">
        <v>24</v>
      </c>
      <c r="E3080" s="1">
        <v>36956164.280000001</v>
      </c>
      <c r="F3080" s="1">
        <v>1198192.72</v>
      </c>
      <c r="G3080" s="1">
        <v>185818</v>
      </c>
      <c r="H3080" s="1">
        <v>198.88366189999999</v>
      </c>
    </row>
    <row r="3081" spans="1:8" ht="15.75" thickBot="1" x14ac:dyDescent="0.3">
      <c r="A3081" s="1">
        <v>2015</v>
      </c>
      <c r="B3081" s="1" t="s">
        <v>35</v>
      </c>
      <c r="C3081" s="1" t="s">
        <v>9</v>
      </c>
      <c r="D3081" s="1" t="s">
        <v>10</v>
      </c>
      <c r="E3081" s="1">
        <v>197.3</v>
      </c>
      <c r="F3081" s="1">
        <v>7.14</v>
      </c>
      <c r="G3081" s="1">
        <v>318</v>
      </c>
      <c r="H3081" s="1">
        <v>0.62044025160000005</v>
      </c>
    </row>
    <row r="3082" spans="1:8" ht="15.75" thickBot="1" x14ac:dyDescent="0.3">
      <c r="A3082" s="1">
        <v>2017</v>
      </c>
      <c r="B3082" s="1" t="s">
        <v>35</v>
      </c>
      <c r="C3082" s="1" t="s">
        <v>25</v>
      </c>
      <c r="D3082" s="1" t="s">
        <v>19</v>
      </c>
      <c r="E3082" s="1">
        <v>29255.49</v>
      </c>
      <c r="F3082" s="1">
        <v>691.09</v>
      </c>
      <c r="G3082" s="1">
        <v>499</v>
      </c>
      <c r="H3082" s="1">
        <v>58.628236469999997</v>
      </c>
    </row>
    <row r="3083" spans="1:8" ht="15.75" thickBot="1" x14ac:dyDescent="0.3">
      <c r="A3083" s="1">
        <v>2017</v>
      </c>
      <c r="B3083" s="1" t="s">
        <v>17</v>
      </c>
      <c r="C3083" s="1" t="s">
        <v>15</v>
      </c>
      <c r="D3083" s="1" t="s">
        <v>13</v>
      </c>
      <c r="E3083" s="1">
        <v>2645427.61</v>
      </c>
      <c r="F3083" s="1">
        <v>84694.44</v>
      </c>
      <c r="G3083" s="1">
        <v>53752</v>
      </c>
      <c r="H3083" s="1">
        <v>49.21542659</v>
      </c>
    </row>
    <row r="3084" spans="1:8" ht="15.75" thickBot="1" x14ac:dyDescent="0.3">
      <c r="A3084" s="1">
        <v>2017</v>
      </c>
      <c r="B3084" s="1" t="s">
        <v>17</v>
      </c>
      <c r="C3084" s="1" t="s">
        <v>15</v>
      </c>
      <c r="D3084" s="1" t="s">
        <v>19</v>
      </c>
      <c r="E3084" s="1">
        <v>17111373.489999998</v>
      </c>
      <c r="F3084" s="1">
        <v>599598.96</v>
      </c>
      <c r="G3084" s="1">
        <v>75410</v>
      </c>
      <c r="H3084" s="1">
        <v>226.91119860000001</v>
      </c>
    </row>
    <row r="3085" spans="1:8" ht="15.75" thickBot="1" x14ac:dyDescent="0.3">
      <c r="A3085" s="1">
        <v>2015</v>
      </c>
      <c r="B3085" s="1" t="s">
        <v>17</v>
      </c>
      <c r="C3085" s="1" t="s">
        <v>26</v>
      </c>
      <c r="D3085" s="1" t="s">
        <v>29</v>
      </c>
      <c r="E3085" s="1">
        <v>11607747.52</v>
      </c>
      <c r="F3085" s="1">
        <v>407766.55</v>
      </c>
      <c r="G3085" s="1">
        <v>40321</v>
      </c>
      <c r="H3085" s="1">
        <v>287.88342349999999</v>
      </c>
    </row>
    <row r="3086" spans="1:8" ht="15.75" thickBot="1" x14ac:dyDescent="0.3">
      <c r="A3086" s="1">
        <v>2014</v>
      </c>
      <c r="B3086" s="1" t="s">
        <v>40</v>
      </c>
      <c r="C3086" s="1" t="s">
        <v>15</v>
      </c>
      <c r="D3086" s="1" t="s">
        <v>13</v>
      </c>
      <c r="E3086" s="1">
        <v>111</v>
      </c>
      <c r="F3086" s="1">
        <v>0.45</v>
      </c>
      <c r="G3086" s="1">
        <v>8</v>
      </c>
      <c r="H3086" s="1">
        <v>13.875</v>
      </c>
    </row>
    <row r="3087" spans="1:8" ht="15.75" thickBot="1" x14ac:dyDescent="0.3">
      <c r="A3087" s="1">
        <v>2016</v>
      </c>
      <c r="B3087" s="1" t="s">
        <v>17</v>
      </c>
      <c r="C3087" s="1" t="s">
        <v>9</v>
      </c>
      <c r="D3087" s="1" t="s">
        <v>37</v>
      </c>
      <c r="E3087" s="1">
        <v>1203898303</v>
      </c>
      <c r="F3087" s="1">
        <v>32970496.460000001</v>
      </c>
      <c r="G3087" s="1">
        <v>2938319</v>
      </c>
      <c r="H3087" s="1">
        <v>409.72348590000001</v>
      </c>
    </row>
    <row r="3088" spans="1:8" ht="15.75" thickBot="1" x14ac:dyDescent="0.3">
      <c r="A3088" s="1">
        <v>2014</v>
      </c>
      <c r="B3088" s="1" t="s">
        <v>35</v>
      </c>
      <c r="C3088" s="1" t="s">
        <v>23</v>
      </c>
      <c r="D3088" s="1" t="s">
        <v>19</v>
      </c>
      <c r="E3088" s="1">
        <v>2814.95</v>
      </c>
      <c r="F3088" s="1">
        <v>163.95</v>
      </c>
      <c r="G3088" s="1">
        <v>466</v>
      </c>
      <c r="H3088" s="1">
        <v>6.0406652359999997</v>
      </c>
    </row>
    <row r="3089" spans="1:8" ht="15.75" thickBot="1" x14ac:dyDescent="0.3">
      <c r="A3089" s="1">
        <v>2017</v>
      </c>
      <c r="B3089" s="1" t="s">
        <v>35</v>
      </c>
      <c r="C3089" s="1" t="s">
        <v>33</v>
      </c>
      <c r="D3089" s="1" t="s">
        <v>34</v>
      </c>
      <c r="E3089" s="1">
        <v>25.94</v>
      </c>
      <c r="F3089" s="1">
        <v>1.05</v>
      </c>
      <c r="G3089" s="1">
        <v>1</v>
      </c>
      <c r="H3089" s="1">
        <v>25.94</v>
      </c>
    </row>
    <row r="3090" spans="1:8" ht="15.75" thickBot="1" x14ac:dyDescent="0.3">
      <c r="A3090" s="1">
        <v>2017</v>
      </c>
      <c r="B3090" s="1" t="s">
        <v>35</v>
      </c>
      <c r="C3090" s="1" t="s">
        <v>23</v>
      </c>
      <c r="D3090" s="1" t="s">
        <v>34</v>
      </c>
      <c r="E3090" s="1">
        <v>0</v>
      </c>
      <c r="F3090" s="1">
        <v>0</v>
      </c>
      <c r="G3090" s="1">
        <v>1</v>
      </c>
      <c r="H3090" s="1">
        <v>0</v>
      </c>
    </row>
    <row r="3091" spans="1:8" ht="15.75" thickBot="1" x14ac:dyDescent="0.3">
      <c r="A3091" s="1">
        <v>2014</v>
      </c>
      <c r="B3091" s="1" t="s">
        <v>40</v>
      </c>
      <c r="C3091" s="1" t="s">
        <v>18</v>
      </c>
      <c r="D3091" s="1" t="s">
        <v>32</v>
      </c>
      <c r="E3091" s="1">
        <v>997.99</v>
      </c>
      <c r="F3091" s="1">
        <v>62.51</v>
      </c>
      <c r="G3091" s="1">
        <v>38</v>
      </c>
      <c r="H3091" s="1">
        <v>26.26289474</v>
      </c>
    </row>
    <row r="3092" spans="1:8" ht="15.75" thickBot="1" x14ac:dyDescent="0.3">
      <c r="A3092" s="1">
        <v>2015</v>
      </c>
      <c r="B3092" s="1" t="s">
        <v>35</v>
      </c>
      <c r="C3092" s="1" t="s">
        <v>12</v>
      </c>
      <c r="D3092" s="1" t="s">
        <v>27</v>
      </c>
      <c r="E3092" s="1">
        <v>17245.02</v>
      </c>
      <c r="F3092" s="1">
        <v>599.70000000000005</v>
      </c>
      <c r="G3092" s="1">
        <v>558</v>
      </c>
      <c r="H3092" s="1">
        <v>30.905053760000001</v>
      </c>
    </row>
    <row r="3093" spans="1:8" ht="15.75" thickBot="1" x14ac:dyDescent="0.3">
      <c r="A3093" s="1">
        <v>2017</v>
      </c>
      <c r="B3093" s="1" t="s">
        <v>20</v>
      </c>
      <c r="C3093" s="1" t="s">
        <v>26</v>
      </c>
      <c r="D3093" s="1" t="s">
        <v>34</v>
      </c>
      <c r="E3093" s="1">
        <v>17976.84</v>
      </c>
      <c r="F3093" s="1">
        <v>714.6</v>
      </c>
      <c r="G3093" s="1">
        <v>643</v>
      </c>
      <c r="H3093" s="1">
        <v>27.957760499999999</v>
      </c>
    </row>
    <row r="3094" spans="1:8" ht="15.75" thickBot="1" x14ac:dyDescent="0.3">
      <c r="A3094" s="1">
        <v>2015</v>
      </c>
      <c r="B3094" s="1" t="s">
        <v>16</v>
      </c>
      <c r="C3094" s="1" t="s">
        <v>26</v>
      </c>
      <c r="D3094" s="1" t="s">
        <v>22</v>
      </c>
      <c r="E3094" s="1">
        <v>98421.13</v>
      </c>
      <c r="F3094" s="1">
        <v>3145.65</v>
      </c>
      <c r="G3094" s="1">
        <v>5904</v>
      </c>
      <c r="H3094" s="1">
        <v>16.670245600000001</v>
      </c>
    </row>
    <row r="3095" spans="1:8" ht="15.75" thickBot="1" x14ac:dyDescent="0.3">
      <c r="A3095" s="1">
        <v>2016</v>
      </c>
      <c r="B3095" s="1" t="s">
        <v>30</v>
      </c>
      <c r="C3095" s="1" t="s">
        <v>26</v>
      </c>
      <c r="D3095" s="1" t="s">
        <v>24</v>
      </c>
      <c r="E3095" s="1">
        <v>28968137.34</v>
      </c>
      <c r="F3095" s="1">
        <v>993919.03</v>
      </c>
      <c r="G3095" s="1">
        <v>201524</v>
      </c>
      <c r="H3095" s="1">
        <v>143.7453472</v>
      </c>
    </row>
    <row r="3096" spans="1:8" ht="15.75" thickBot="1" x14ac:dyDescent="0.3">
      <c r="A3096" s="1">
        <v>2016</v>
      </c>
      <c r="B3096" s="1" t="s">
        <v>12</v>
      </c>
      <c r="C3096" s="1" t="s">
        <v>18</v>
      </c>
      <c r="D3096" s="1" t="s">
        <v>31</v>
      </c>
      <c r="E3096" s="1">
        <v>59807.1</v>
      </c>
      <c r="F3096" s="1">
        <v>2074.17</v>
      </c>
      <c r="G3096" s="1">
        <v>1152</v>
      </c>
      <c r="H3096" s="1">
        <v>51.915885420000002</v>
      </c>
    </row>
    <row r="3097" spans="1:8" ht="15.75" thickBot="1" x14ac:dyDescent="0.3">
      <c r="A3097" s="1">
        <v>2015</v>
      </c>
      <c r="B3097" s="1" t="s">
        <v>35</v>
      </c>
      <c r="C3097" s="1" t="s">
        <v>26</v>
      </c>
      <c r="D3097" s="1" t="s">
        <v>19</v>
      </c>
      <c r="E3097" s="1">
        <v>-1636.54</v>
      </c>
      <c r="F3097" s="1">
        <v>180.83</v>
      </c>
      <c r="G3097" s="1">
        <v>214</v>
      </c>
      <c r="H3097" s="1">
        <v>-7.6473831780000001</v>
      </c>
    </row>
    <row r="3098" spans="1:8" ht="15.75" thickBot="1" x14ac:dyDescent="0.3">
      <c r="A3098" s="1">
        <v>2017</v>
      </c>
      <c r="B3098" s="1" t="s">
        <v>11</v>
      </c>
      <c r="C3098" s="1" t="s">
        <v>23</v>
      </c>
      <c r="D3098" s="1" t="s">
        <v>13</v>
      </c>
      <c r="E3098" s="1">
        <v>2462303.34</v>
      </c>
      <c r="F3098" s="1">
        <v>71845.86</v>
      </c>
      <c r="G3098" s="1">
        <v>96124</v>
      </c>
      <c r="H3098" s="1">
        <v>25.615905909999999</v>
      </c>
    </row>
    <row r="3099" spans="1:8" ht="15.75" thickBot="1" x14ac:dyDescent="0.3">
      <c r="A3099" s="1">
        <v>2017</v>
      </c>
      <c r="B3099" s="1" t="s">
        <v>30</v>
      </c>
      <c r="C3099" s="1" t="s">
        <v>25</v>
      </c>
      <c r="D3099" s="1" t="s">
        <v>32</v>
      </c>
      <c r="E3099" s="1">
        <v>32238210.34</v>
      </c>
      <c r="F3099" s="1">
        <v>1278645.8899999999</v>
      </c>
      <c r="G3099" s="1">
        <v>748861</v>
      </c>
      <c r="H3099" s="1">
        <v>43.049658530000002</v>
      </c>
    </row>
    <row r="3100" spans="1:8" ht="15.75" thickBot="1" x14ac:dyDescent="0.3">
      <c r="A3100" s="1">
        <v>2016</v>
      </c>
      <c r="B3100" s="1" t="s">
        <v>14</v>
      </c>
      <c r="C3100" s="1" t="s">
        <v>15</v>
      </c>
      <c r="D3100" s="1" t="s">
        <v>19</v>
      </c>
      <c r="E3100" s="1">
        <v>34501616.359999999</v>
      </c>
      <c r="F3100" s="1">
        <v>1070150.8</v>
      </c>
      <c r="G3100" s="1">
        <v>199513</v>
      </c>
      <c r="H3100" s="1">
        <v>172.9291643</v>
      </c>
    </row>
    <row r="3101" spans="1:8" ht="15.75" thickBot="1" x14ac:dyDescent="0.3">
      <c r="A3101" s="1">
        <v>2015</v>
      </c>
      <c r="B3101" s="1" t="s">
        <v>20</v>
      </c>
      <c r="C3101" s="1" t="s">
        <v>18</v>
      </c>
      <c r="D3101" s="1" t="s">
        <v>31</v>
      </c>
      <c r="E3101" s="1">
        <v>7213.21</v>
      </c>
      <c r="F3101" s="1">
        <v>295.02999999999997</v>
      </c>
      <c r="G3101" s="1">
        <v>292</v>
      </c>
      <c r="H3101" s="1">
        <v>24.702773969999999</v>
      </c>
    </row>
    <row r="3102" spans="1:8" ht="15.75" thickBot="1" x14ac:dyDescent="0.3">
      <c r="A3102" s="1">
        <v>2017</v>
      </c>
      <c r="B3102" s="1" t="s">
        <v>30</v>
      </c>
      <c r="C3102" s="1" t="s">
        <v>25</v>
      </c>
      <c r="D3102" s="1" t="s">
        <v>29</v>
      </c>
      <c r="E3102" s="1">
        <v>15939594.550000001</v>
      </c>
      <c r="F3102" s="1">
        <v>547997.91</v>
      </c>
      <c r="G3102" s="1">
        <v>87700</v>
      </c>
      <c r="H3102" s="1">
        <v>181.75136319999999</v>
      </c>
    </row>
    <row r="3103" spans="1:8" ht="15.75" thickBot="1" x14ac:dyDescent="0.3">
      <c r="A3103" s="1">
        <v>2015</v>
      </c>
      <c r="B3103" s="1" t="s">
        <v>16</v>
      </c>
      <c r="C3103" s="1" t="s">
        <v>9</v>
      </c>
      <c r="D3103" s="1" t="s">
        <v>31</v>
      </c>
      <c r="E3103" s="1">
        <v>8283.8799999999992</v>
      </c>
      <c r="F3103" s="1">
        <v>300.51</v>
      </c>
      <c r="G3103" s="1">
        <v>1281</v>
      </c>
      <c r="H3103" s="1">
        <v>6.4667291179999999</v>
      </c>
    </row>
    <row r="3104" spans="1:8" ht="15.75" thickBot="1" x14ac:dyDescent="0.3">
      <c r="A3104" s="1">
        <v>2015</v>
      </c>
      <c r="B3104" s="1" t="s">
        <v>14</v>
      </c>
      <c r="C3104" s="1" t="s">
        <v>12</v>
      </c>
      <c r="D3104" s="1" t="s">
        <v>19</v>
      </c>
      <c r="E3104" s="1">
        <v>33836047.159999996</v>
      </c>
      <c r="F3104" s="1">
        <v>1159066</v>
      </c>
      <c r="G3104" s="1">
        <v>226109</v>
      </c>
      <c r="H3104" s="1">
        <v>149.64484899999999</v>
      </c>
    </row>
    <row r="3105" spans="1:8" ht="15.75" thickBot="1" x14ac:dyDescent="0.3">
      <c r="A3105" s="1">
        <v>2016</v>
      </c>
      <c r="B3105" s="1" t="s">
        <v>11</v>
      </c>
      <c r="C3105" s="1" t="s">
        <v>15</v>
      </c>
      <c r="D3105" s="1" t="s">
        <v>24</v>
      </c>
      <c r="E3105" s="1">
        <v>3858889.5</v>
      </c>
      <c r="F3105" s="1">
        <v>119111.4</v>
      </c>
      <c r="G3105" s="1">
        <v>13453</v>
      </c>
      <c r="H3105" s="1">
        <v>286.84230280000003</v>
      </c>
    </row>
    <row r="3106" spans="1:8" ht="15.75" thickBot="1" x14ac:dyDescent="0.3">
      <c r="A3106" s="1">
        <v>2015</v>
      </c>
      <c r="B3106" s="1" t="s">
        <v>12</v>
      </c>
      <c r="C3106" s="1" t="s">
        <v>15</v>
      </c>
      <c r="D3106" s="1" t="s">
        <v>31</v>
      </c>
      <c r="E3106" s="1">
        <v>245194.1</v>
      </c>
      <c r="F3106" s="1">
        <v>8821.35</v>
      </c>
      <c r="G3106" s="1">
        <v>3934</v>
      </c>
      <c r="H3106" s="1">
        <v>62.326919169999996</v>
      </c>
    </row>
    <row r="3107" spans="1:8" ht="15.75" thickBot="1" x14ac:dyDescent="0.3">
      <c r="A3107" s="1">
        <v>2016</v>
      </c>
      <c r="B3107" s="1" t="s">
        <v>16</v>
      </c>
      <c r="C3107" s="1" t="s">
        <v>26</v>
      </c>
      <c r="D3107" s="1" t="s">
        <v>27</v>
      </c>
      <c r="E3107" s="1">
        <v>607791674.89999998</v>
      </c>
      <c r="F3107" s="1">
        <v>24648859.949999999</v>
      </c>
      <c r="G3107" s="1">
        <v>13930687</v>
      </c>
      <c r="H3107" s="1">
        <v>43.629698589999997</v>
      </c>
    </row>
    <row r="3108" spans="1:8" ht="15.75" thickBot="1" x14ac:dyDescent="0.3">
      <c r="A3108" s="1">
        <v>2017</v>
      </c>
      <c r="B3108" s="1" t="s">
        <v>16</v>
      </c>
      <c r="C3108" s="1" t="s">
        <v>28</v>
      </c>
      <c r="D3108" s="1" t="s">
        <v>10</v>
      </c>
      <c r="E3108" s="1">
        <v>25051828.120000001</v>
      </c>
      <c r="F3108" s="1">
        <v>918332.31</v>
      </c>
      <c r="G3108" s="1">
        <v>423777</v>
      </c>
      <c r="H3108" s="1">
        <v>59.115591739999999</v>
      </c>
    </row>
    <row r="3109" spans="1:8" ht="15.75" thickBot="1" x14ac:dyDescent="0.3">
      <c r="A3109" s="1">
        <v>2017</v>
      </c>
      <c r="B3109" s="1" t="s">
        <v>17</v>
      </c>
      <c r="C3109" s="1" t="s">
        <v>18</v>
      </c>
      <c r="D3109" s="1" t="s">
        <v>29</v>
      </c>
      <c r="E3109" s="1">
        <v>4381597.53</v>
      </c>
      <c r="F3109" s="1">
        <v>146829.97</v>
      </c>
      <c r="G3109" s="1">
        <v>9944</v>
      </c>
      <c r="H3109" s="1">
        <v>440.62726570000001</v>
      </c>
    </row>
    <row r="3110" spans="1:8" ht="15.75" thickBot="1" x14ac:dyDescent="0.3">
      <c r="A3110" s="1">
        <v>2014</v>
      </c>
      <c r="B3110" s="1" t="s">
        <v>12</v>
      </c>
      <c r="C3110" s="1" t="s">
        <v>33</v>
      </c>
      <c r="D3110" s="1" t="s">
        <v>31</v>
      </c>
      <c r="E3110" s="1">
        <v>397659.19</v>
      </c>
      <c r="F3110" s="1">
        <v>12697.69</v>
      </c>
      <c r="G3110" s="1">
        <v>6982</v>
      </c>
      <c r="H3110" s="1">
        <v>56.954911199999998</v>
      </c>
    </row>
    <row r="3111" spans="1:8" ht="15.75" thickBot="1" x14ac:dyDescent="0.3">
      <c r="A3111" s="1">
        <v>2016</v>
      </c>
      <c r="B3111" s="1" t="s">
        <v>35</v>
      </c>
      <c r="C3111" s="1" t="s">
        <v>15</v>
      </c>
      <c r="D3111" s="1" t="s">
        <v>10</v>
      </c>
      <c r="E3111" s="1">
        <v>-2</v>
      </c>
      <c r="F3111" s="1">
        <v>0</v>
      </c>
      <c r="G3111" s="1">
        <v>77</v>
      </c>
      <c r="H3111" s="1">
        <v>-2.5974025969999998E-2</v>
      </c>
    </row>
    <row r="3112" spans="1:8" ht="15.75" thickBot="1" x14ac:dyDescent="0.3">
      <c r="A3112" s="1">
        <v>2014</v>
      </c>
      <c r="B3112" s="1" t="s">
        <v>12</v>
      </c>
      <c r="C3112" s="1" t="s">
        <v>33</v>
      </c>
      <c r="D3112" s="1" t="s">
        <v>24</v>
      </c>
      <c r="E3112" s="1">
        <v>3610210.9</v>
      </c>
      <c r="F3112" s="1">
        <v>111617.85</v>
      </c>
      <c r="G3112" s="1">
        <v>9988</v>
      </c>
      <c r="H3112" s="1">
        <v>361.45483580000001</v>
      </c>
    </row>
    <row r="3113" spans="1:8" ht="15.75" thickBot="1" x14ac:dyDescent="0.3">
      <c r="A3113" s="1">
        <v>2017</v>
      </c>
      <c r="B3113" s="1" t="s">
        <v>11</v>
      </c>
      <c r="C3113" s="1" t="s">
        <v>18</v>
      </c>
      <c r="D3113" s="1" t="s">
        <v>34</v>
      </c>
      <c r="E3113" s="1">
        <v>44910.75</v>
      </c>
      <c r="F3113" s="1">
        <v>978.4</v>
      </c>
      <c r="G3113" s="1">
        <v>974</v>
      </c>
      <c r="H3113" s="1">
        <v>46.109599590000002</v>
      </c>
    </row>
    <row r="3114" spans="1:8" ht="15.75" thickBot="1" x14ac:dyDescent="0.3">
      <c r="A3114" s="1">
        <v>2017</v>
      </c>
      <c r="B3114" s="1" t="s">
        <v>17</v>
      </c>
      <c r="C3114" s="1" t="s">
        <v>33</v>
      </c>
      <c r="D3114" s="1" t="s">
        <v>22</v>
      </c>
      <c r="E3114" s="1">
        <v>1218131.57</v>
      </c>
      <c r="F3114" s="1">
        <v>42553.27</v>
      </c>
      <c r="G3114" s="1">
        <v>67873</v>
      </c>
      <c r="H3114" s="1">
        <v>17.947218629999998</v>
      </c>
    </row>
    <row r="3115" spans="1:8" ht="15.75" thickBot="1" x14ac:dyDescent="0.3">
      <c r="A3115" s="1">
        <v>2014</v>
      </c>
      <c r="B3115" s="1" t="s">
        <v>14</v>
      </c>
      <c r="C3115" s="1" t="s">
        <v>9</v>
      </c>
      <c r="D3115" s="1" t="s">
        <v>10</v>
      </c>
      <c r="E3115" s="1">
        <v>4778.5600000000004</v>
      </c>
      <c r="F3115" s="1">
        <v>271.98</v>
      </c>
      <c r="G3115" s="1">
        <v>637</v>
      </c>
      <c r="H3115" s="1">
        <v>7.5016640499999996</v>
      </c>
    </row>
    <row r="3116" spans="1:8" ht="15.75" thickBot="1" x14ac:dyDescent="0.3">
      <c r="A3116" s="1">
        <v>2015</v>
      </c>
      <c r="B3116" s="1" t="s">
        <v>14</v>
      </c>
      <c r="C3116" s="1" t="s">
        <v>21</v>
      </c>
      <c r="D3116" s="1" t="s">
        <v>29</v>
      </c>
      <c r="E3116" s="1">
        <v>13202105.869999999</v>
      </c>
      <c r="F3116" s="1">
        <v>443597.29</v>
      </c>
      <c r="G3116" s="1">
        <v>81273</v>
      </c>
      <c r="H3116" s="1">
        <v>162.44147340000001</v>
      </c>
    </row>
    <row r="3117" spans="1:8" ht="15.75" thickBot="1" x14ac:dyDescent="0.3">
      <c r="A3117" s="1">
        <v>2015</v>
      </c>
      <c r="B3117" s="1" t="s">
        <v>11</v>
      </c>
      <c r="C3117" s="1" t="s">
        <v>28</v>
      </c>
      <c r="D3117" s="1" t="s">
        <v>19</v>
      </c>
      <c r="E3117" s="1">
        <v>84868871.030000001</v>
      </c>
      <c r="F3117" s="1">
        <v>2033455.73</v>
      </c>
      <c r="G3117" s="1">
        <v>90621</v>
      </c>
      <c r="H3117" s="1">
        <v>936.5254304</v>
      </c>
    </row>
    <row r="3118" spans="1:8" ht="15.75" thickBot="1" x14ac:dyDescent="0.3">
      <c r="A3118" s="1">
        <v>2014</v>
      </c>
      <c r="B3118" s="1" t="s">
        <v>35</v>
      </c>
      <c r="C3118" s="1" t="s">
        <v>33</v>
      </c>
      <c r="D3118" s="1" t="s">
        <v>29</v>
      </c>
      <c r="E3118" s="1">
        <v>5902.15</v>
      </c>
      <c r="F3118" s="1">
        <v>25.86</v>
      </c>
      <c r="G3118" s="1">
        <v>25</v>
      </c>
      <c r="H3118" s="1">
        <v>236.08600000000001</v>
      </c>
    </row>
    <row r="3119" spans="1:8" ht="15.75" thickBot="1" x14ac:dyDescent="0.3">
      <c r="A3119" s="1">
        <v>2014</v>
      </c>
      <c r="B3119" s="1" t="s">
        <v>12</v>
      </c>
      <c r="C3119" s="1" t="s">
        <v>18</v>
      </c>
      <c r="D3119" s="1" t="s">
        <v>24</v>
      </c>
      <c r="E3119" s="1">
        <v>1259128.6000000001</v>
      </c>
      <c r="F3119" s="1">
        <v>38436.19</v>
      </c>
      <c r="G3119" s="1">
        <v>3123</v>
      </c>
      <c r="H3119" s="1">
        <v>403.1791867</v>
      </c>
    </row>
    <row r="3120" spans="1:8" ht="15.75" thickBot="1" x14ac:dyDescent="0.3">
      <c r="A3120" s="1">
        <v>2017</v>
      </c>
      <c r="B3120" s="1" t="s">
        <v>35</v>
      </c>
      <c r="C3120" s="1" t="s">
        <v>28</v>
      </c>
      <c r="D3120" s="1" t="s">
        <v>19</v>
      </c>
      <c r="E3120" s="1">
        <v>120104.24</v>
      </c>
      <c r="F3120" s="1">
        <v>2487.06</v>
      </c>
      <c r="G3120" s="1">
        <v>1931</v>
      </c>
      <c r="H3120" s="1">
        <v>62.197949250000001</v>
      </c>
    </row>
    <row r="3121" spans="1:8" ht="15.75" thickBot="1" x14ac:dyDescent="0.3">
      <c r="A3121" s="1">
        <v>2017</v>
      </c>
      <c r="B3121" s="1" t="s">
        <v>35</v>
      </c>
      <c r="C3121" s="1" t="s">
        <v>15</v>
      </c>
      <c r="D3121" s="1" t="s">
        <v>31</v>
      </c>
      <c r="E3121" s="1">
        <v>162.6</v>
      </c>
      <c r="F3121" s="1">
        <v>7.72</v>
      </c>
      <c r="G3121" s="1">
        <v>17</v>
      </c>
      <c r="H3121" s="1">
        <v>9.5647058820000002</v>
      </c>
    </row>
    <row r="3122" spans="1:8" ht="15.75" thickBot="1" x14ac:dyDescent="0.3">
      <c r="A3122" s="1">
        <v>2014</v>
      </c>
      <c r="B3122" s="1" t="s">
        <v>17</v>
      </c>
      <c r="C3122" s="1" t="s">
        <v>28</v>
      </c>
      <c r="D3122" s="1" t="s">
        <v>31</v>
      </c>
      <c r="E3122" s="1">
        <v>6298959.3700000001</v>
      </c>
      <c r="F3122" s="1">
        <v>202834.46</v>
      </c>
      <c r="G3122" s="1">
        <v>80514</v>
      </c>
      <c r="H3122" s="1">
        <v>78.234336510000006</v>
      </c>
    </row>
    <row r="3123" spans="1:8" ht="15.75" thickBot="1" x14ac:dyDescent="0.3">
      <c r="A3123" s="1">
        <v>2016</v>
      </c>
      <c r="B3123" s="1" t="s">
        <v>11</v>
      </c>
      <c r="C3123" s="1" t="s">
        <v>9</v>
      </c>
      <c r="D3123" s="1" t="s">
        <v>13</v>
      </c>
      <c r="E3123" s="1">
        <v>23</v>
      </c>
      <c r="F3123" s="1">
        <v>0.91</v>
      </c>
      <c r="G3123" s="1">
        <v>5</v>
      </c>
      <c r="H3123" s="1">
        <v>4.5999999999999996</v>
      </c>
    </row>
    <row r="3124" spans="1:8" ht="15.75" thickBot="1" x14ac:dyDescent="0.3">
      <c r="A3124" s="1">
        <v>2017</v>
      </c>
      <c r="B3124" s="1" t="s">
        <v>8</v>
      </c>
      <c r="C3124" s="1" t="s">
        <v>33</v>
      </c>
      <c r="D3124" s="1" t="s">
        <v>19</v>
      </c>
      <c r="E3124" s="1">
        <v>1657.48</v>
      </c>
      <c r="F3124" s="1">
        <v>16.940000000000001</v>
      </c>
      <c r="G3124" s="1">
        <v>20</v>
      </c>
      <c r="H3124" s="1">
        <v>82.873999999999995</v>
      </c>
    </row>
    <row r="3125" spans="1:8" ht="15.75" thickBot="1" x14ac:dyDescent="0.3">
      <c r="A3125" s="1">
        <v>2017</v>
      </c>
      <c r="B3125" s="1" t="s">
        <v>14</v>
      </c>
      <c r="C3125" s="1" t="s">
        <v>15</v>
      </c>
      <c r="D3125" s="1" t="s">
        <v>22</v>
      </c>
      <c r="E3125" s="1">
        <v>3822.96</v>
      </c>
      <c r="F3125" s="1">
        <v>147.59</v>
      </c>
      <c r="G3125" s="1">
        <v>246</v>
      </c>
      <c r="H3125" s="1">
        <v>15.540487799999999</v>
      </c>
    </row>
    <row r="3126" spans="1:8" ht="15.75" thickBot="1" x14ac:dyDescent="0.3">
      <c r="A3126" s="1">
        <v>2015</v>
      </c>
      <c r="B3126" s="1" t="s">
        <v>14</v>
      </c>
      <c r="C3126" s="1" t="s">
        <v>12</v>
      </c>
      <c r="D3126" s="1" t="s">
        <v>29</v>
      </c>
      <c r="E3126" s="1">
        <v>13985444.539999999</v>
      </c>
      <c r="F3126" s="1">
        <v>458046.42</v>
      </c>
      <c r="G3126" s="1">
        <v>55203</v>
      </c>
      <c r="H3126" s="1">
        <v>253.34573370000001</v>
      </c>
    </row>
    <row r="3127" spans="1:8" ht="15.75" thickBot="1" x14ac:dyDescent="0.3">
      <c r="A3127" s="1">
        <v>2017</v>
      </c>
      <c r="B3127" s="1" t="s">
        <v>12</v>
      </c>
      <c r="C3127" s="1" t="s">
        <v>26</v>
      </c>
      <c r="D3127" s="1" t="s">
        <v>22</v>
      </c>
      <c r="E3127" s="1">
        <v>3570.48</v>
      </c>
      <c r="F3127" s="1">
        <v>216.7</v>
      </c>
      <c r="G3127" s="1">
        <v>382</v>
      </c>
      <c r="H3127" s="1">
        <v>9.3468062829999994</v>
      </c>
    </row>
    <row r="3128" spans="1:8" ht="15.75" thickBot="1" x14ac:dyDescent="0.3">
      <c r="A3128" s="1">
        <v>2017</v>
      </c>
      <c r="B3128" s="1" t="s">
        <v>11</v>
      </c>
      <c r="C3128" s="1" t="s">
        <v>26</v>
      </c>
      <c r="D3128" s="1" t="s">
        <v>31</v>
      </c>
      <c r="E3128" s="1">
        <v>53430566.340000004</v>
      </c>
      <c r="F3128" s="1">
        <v>1590437.4</v>
      </c>
      <c r="G3128" s="1">
        <v>1104446</v>
      </c>
      <c r="H3128" s="1">
        <v>48.377708230000003</v>
      </c>
    </row>
    <row r="3129" spans="1:8" ht="15.75" thickBot="1" x14ac:dyDescent="0.3">
      <c r="A3129" s="1">
        <v>2015</v>
      </c>
      <c r="B3129" s="1" t="s">
        <v>35</v>
      </c>
      <c r="C3129" s="1" t="s">
        <v>26</v>
      </c>
      <c r="D3129" s="1" t="s">
        <v>27</v>
      </c>
      <c r="E3129" s="1">
        <v>16975.77</v>
      </c>
      <c r="F3129" s="1">
        <v>601.03</v>
      </c>
      <c r="G3129" s="1">
        <v>533</v>
      </c>
      <c r="H3129" s="1">
        <v>31.849474669999999</v>
      </c>
    </row>
    <row r="3130" spans="1:8" ht="15.75" thickBot="1" x14ac:dyDescent="0.3">
      <c r="A3130" s="1">
        <v>2017</v>
      </c>
      <c r="B3130" s="1" t="s">
        <v>30</v>
      </c>
      <c r="C3130" s="1" t="s">
        <v>26</v>
      </c>
      <c r="D3130" s="1" t="s">
        <v>29</v>
      </c>
      <c r="E3130" s="1">
        <v>11349149.77</v>
      </c>
      <c r="F3130" s="1">
        <v>399270.49</v>
      </c>
      <c r="G3130" s="1">
        <v>69553</v>
      </c>
      <c r="H3130" s="1">
        <v>163.1726851</v>
      </c>
    </row>
    <row r="3131" spans="1:8" ht="15.75" thickBot="1" x14ac:dyDescent="0.3">
      <c r="A3131" s="1">
        <v>2017</v>
      </c>
      <c r="B3131" s="1" t="s">
        <v>20</v>
      </c>
      <c r="C3131" s="1" t="s">
        <v>23</v>
      </c>
      <c r="D3131" s="1" t="s">
        <v>27</v>
      </c>
      <c r="E3131" s="1">
        <v>8061799.46</v>
      </c>
      <c r="F3131" s="1">
        <v>353619.04</v>
      </c>
      <c r="G3131" s="1">
        <v>328975</v>
      </c>
      <c r="H3131" s="1">
        <v>24.505811869999999</v>
      </c>
    </row>
    <row r="3132" spans="1:8" ht="15.75" thickBot="1" x14ac:dyDescent="0.3">
      <c r="A3132" s="1">
        <v>2017</v>
      </c>
      <c r="B3132" s="1" t="s">
        <v>17</v>
      </c>
      <c r="C3132" s="1" t="s">
        <v>21</v>
      </c>
      <c r="D3132" s="1" t="s">
        <v>29</v>
      </c>
      <c r="E3132" s="1">
        <v>24920230.100000001</v>
      </c>
      <c r="F3132" s="1">
        <v>863119.11</v>
      </c>
      <c r="G3132" s="1">
        <v>78321</v>
      </c>
      <c r="H3132" s="1">
        <v>318.18069359999998</v>
      </c>
    </row>
    <row r="3133" spans="1:8" ht="15.75" thickBot="1" x14ac:dyDescent="0.3">
      <c r="A3133" s="1">
        <v>2017</v>
      </c>
      <c r="B3133" s="1" t="s">
        <v>12</v>
      </c>
      <c r="C3133" s="1" t="s">
        <v>15</v>
      </c>
      <c r="D3133" s="1" t="s">
        <v>22</v>
      </c>
      <c r="E3133" s="1">
        <v>176.59</v>
      </c>
      <c r="F3133" s="1">
        <v>12.62</v>
      </c>
      <c r="G3133" s="1">
        <v>35</v>
      </c>
      <c r="H3133" s="1">
        <v>5.0454285710000004</v>
      </c>
    </row>
    <row r="3134" spans="1:8" ht="15.75" thickBot="1" x14ac:dyDescent="0.3">
      <c r="A3134" s="1">
        <v>2015</v>
      </c>
      <c r="B3134" s="1" t="s">
        <v>17</v>
      </c>
      <c r="C3134" s="1" t="s">
        <v>21</v>
      </c>
      <c r="D3134" s="1" t="s">
        <v>13</v>
      </c>
      <c r="E3134" s="1">
        <v>472103.9</v>
      </c>
      <c r="F3134" s="1">
        <v>15177.12</v>
      </c>
      <c r="G3134" s="1">
        <v>9436</v>
      </c>
      <c r="H3134" s="1">
        <v>50.032206440000003</v>
      </c>
    </row>
    <row r="3135" spans="1:8" ht="15.75" thickBot="1" x14ac:dyDescent="0.3">
      <c r="A3135" s="1">
        <v>2015</v>
      </c>
      <c r="B3135" s="1" t="s">
        <v>16</v>
      </c>
      <c r="C3135" s="1" t="s">
        <v>23</v>
      </c>
      <c r="D3135" s="1" t="s">
        <v>31</v>
      </c>
      <c r="E3135" s="1">
        <v>1822212.12</v>
      </c>
      <c r="F3135" s="1">
        <v>70197.05</v>
      </c>
      <c r="G3135" s="1">
        <v>38509</v>
      </c>
      <c r="H3135" s="1">
        <v>47.319123320000003</v>
      </c>
    </row>
    <row r="3136" spans="1:8" ht="15.75" thickBot="1" x14ac:dyDescent="0.3">
      <c r="A3136" s="1">
        <v>2015</v>
      </c>
      <c r="B3136" s="1" t="s">
        <v>40</v>
      </c>
      <c r="C3136" s="1" t="s">
        <v>26</v>
      </c>
      <c r="D3136" s="1" t="s">
        <v>27</v>
      </c>
      <c r="E3136" s="1">
        <v>71382.16</v>
      </c>
      <c r="F3136" s="1">
        <v>2224.79</v>
      </c>
      <c r="G3136" s="1">
        <v>968</v>
      </c>
      <c r="H3136" s="1">
        <v>73.741900830000006</v>
      </c>
    </row>
    <row r="3137" spans="1:8" ht="15.75" thickBot="1" x14ac:dyDescent="0.3">
      <c r="A3137" s="1">
        <v>2016</v>
      </c>
      <c r="B3137" s="1" t="s">
        <v>16</v>
      </c>
      <c r="C3137" s="1" t="s">
        <v>26</v>
      </c>
      <c r="D3137" s="1" t="s">
        <v>24</v>
      </c>
      <c r="E3137" s="1">
        <v>33924220.140000001</v>
      </c>
      <c r="F3137" s="1">
        <v>1243123.54</v>
      </c>
      <c r="G3137" s="1">
        <v>200068</v>
      </c>
      <c r="H3137" s="1">
        <v>169.56344910000001</v>
      </c>
    </row>
    <row r="3138" spans="1:8" ht="15.75" thickBot="1" x14ac:dyDescent="0.3">
      <c r="A3138" s="1">
        <v>2016</v>
      </c>
      <c r="B3138" s="1" t="s">
        <v>12</v>
      </c>
      <c r="C3138" s="1" t="s">
        <v>9</v>
      </c>
      <c r="D3138" s="1" t="s">
        <v>32</v>
      </c>
      <c r="E3138" s="1">
        <v>81200.66</v>
      </c>
      <c r="F3138" s="1">
        <v>2479.16</v>
      </c>
      <c r="G3138" s="1">
        <v>6361</v>
      </c>
      <c r="H3138" s="1">
        <v>12.76539223</v>
      </c>
    </row>
    <row r="3139" spans="1:8" ht="15.75" thickBot="1" x14ac:dyDescent="0.3">
      <c r="A3139" s="1">
        <v>2017</v>
      </c>
      <c r="B3139" s="1" t="s">
        <v>20</v>
      </c>
      <c r="C3139" s="1" t="s">
        <v>9</v>
      </c>
      <c r="D3139" s="1" t="s">
        <v>10</v>
      </c>
      <c r="E3139" s="1">
        <v>1715049.1</v>
      </c>
      <c r="F3139" s="1">
        <v>70521.53</v>
      </c>
      <c r="G3139" s="1">
        <v>64563</v>
      </c>
      <c r="H3139" s="1">
        <v>26.563962329999999</v>
      </c>
    </row>
    <row r="3140" spans="1:8" ht="15.75" thickBot="1" x14ac:dyDescent="0.3">
      <c r="A3140" s="1">
        <v>2014</v>
      </c>
      <c r="B3140" s="1" t="s">
        <v>12</v>
      </c>
      <c r="C3140" s="1" t="s">
        <v>9</v>
      </c>
      <c r="D3140" s="1" t="s">
        <v>27</v>
      </c>
      <c r="E3140" s="1">
        <v>52391.68</v>
      </c>
      <c r="F3140" s="1">
        <v>2092.41</v>
      </c>
      <c r="G3140" s="1">
        <v>3194</v>
      </c>
      <c r="H3140" s="1">
        <v>16.40315592</v>
      </c>
    </row>
    <row r="3141" spans="1:8" ht="15.75" thickBot="1" x14ac:dyDescent="0.3">
      <c r="A3141" s="1">
        <v>2016</v>
      </c>
      <c r="B3141" s="1" t="s">
        <v>11</v>
      </c>
      <c r="C3141" s="1" t="s">
        <v>25</v>
      </c>
      <c r="D3141" s="1" t="s">
        <v>29</v>
      </c>
      <c r="E3141" s="1">
        <v>4078325.05</v>
      </c>
      <c r="F3141" s="1">
        <v>119192.64</v>
      </c>
      <c r="G3141" s="1">
        <v>9573</v>
      </c>
      <c r="H3141" s="1">
        <v>426.02371770000002</v>
      </c>
    </row>
    <row r="3142" spans="1:8" ht="15.75" thickBot="1" x14ac:dyDescent="0.3">
      <c r="A3142" s="1">
        <v>2016</v>
      </c>
      <c r="B3142" s="1" t="s">
        <v>12</v>
      </c>
      <c r="C3142" s="1" t="s">
        <v>26</v>
      </c>
      <c r="D3142" s="1" t="s">
        <v>24</v>
      </c>
      <c r="E3142" s="1">
        <v>1445341.94</v>
      </c>
      <c r="F3142" s="1">
        <v>48332.77</v>
      </c>
      <c r="G3142" s="1">
        <v>6410</v>
      </c>
      <c r="H3142" s="1">
        <v>225.4823619</v>
      </c>
    </row>
    <row r="3143" spans="1:8" ht="15.75" thickBot="1" x14ac:dyDescent="0.3">
      <c r="A3143" s="1">
        <v>2014</v>
      </c>
      <c r="B3143" s="1" t="s">
        <v>20</v>
      </c>
      <c r="C3143" s="1" t="s">
        <v>15</v>
      </c>
      <c r="D3143" s="1" t="s">
        <v>24</v>
      </c>
      <c r="E3143" s="1">
        <v>1022136.16</v>
      </c>
      <c r="F3143" s="1">
        <v>34331.71</v>
      </c>
      <c r="G3143" s="1">
        <v>9500</v>
      </c>
      <c r="H3143" s="1">
        <v>107.59327999999999</v>
      </c>
    </row>
    <row r="3144" spans="1:8" ht="15.75" thickBot="1" x14ac:dyDescent="0.3">
      <c r="A3144" s="1">
        <v>2015</v>
      </c>
      <c r="B3144" s="1" t="s">
        <v>12</v>
      </c>
      <c r="C3144" s="1" t="s">
        <v>21</v>
      </c>
      <c r="D3144" s="1" t="s">
        <v>32</v>
      </c>
      <c r="E3144" s="1">
        <v>10976296.619999999</v>
      </c>
      <c r="F3144" s="1">
        <v>401720.01</v>
      </c>
      <c r="G3144" s="1">
        <v>238149</v>
      </c>
      <c r="H3144" s="1">
        <v>46.090038669999998</v>
      </c>
    </row>
    <row r="3145" spans="1:8" ht="15.75" thickBot="1" x14ac:dyDescent="0.3">
      <c r="A3145" s="1">
        <v>2014</v>
      </c>
      <c r="B3145" s="1" t="s">
        <v>20</v>
      </c>
      <c r="C3145" s="1" t="s">
        <v>28</v>
      </c>
      <c r="D3145" s="1" t="s">
        <v>36</v>
      </c>
      <c r="E3145" s="1">
        <v>3937032.75</v>
      </c>
      <c r="F3145" s="1">
        <v>47222.97</v>
      </c>
      <c r="G3145" s="1">
        <v>235694</v>
      </c>
      <c r="H3145" s="1">
        <v>16.704000740000001</v>
      </c>
    </row>
    <row r="3146" spans="1:8" ht="15.75" thickBot="1" x14ac:dyDescent="0.3">
      <c r="A3146" s="1">
        <v>2015</v>
      </c>
      <c r="B3146" s="1" t="s">
        <v>17</v>
      </c>
      <c r="C3146" s="1" t="s">
        <v>18</v>
      </c>
      <c r="D3146" s="1" t="s">
        <v>13</v>
      </c>
      <c r="E3146" s="1">
        <v>19560.02</v>
      </c>
      <c r="F3146" s="1">
        <v>581.87</v>
      </c>
      <c r="G3146" s="1">
        <v>357</v>
      </c>
      <c r="H3146" s="1">
        <v>54.789971989999998</v>
      </c>
    </row>
    <row r="3147" spans="1:8" ht="15.75" thickBot="1" x14ac:dyDescent="0.3">
      <c r="A3147" s="1">
        <v>2017</v>
      </c>
      <c r="B3147" s="1" t="s">
        <v>11</v>
      </c>
      <c r="C3147" s="1" t="s">
        <v>9</v>
      </c>
      <c r="D3147" s="1" t="s">
        <v>32</v>
      </c>
      <c r="E3147" s="1">
        <v>247640645.5</v>
      </c>
      <c r="F3147" s="1">
        <v>6561438.9500000002</v>
      </c>
      <c r="G3147" s="1">
        <v>3670848</v>
      </c>
      <c r="H3147" s="1">
        <v>67.461427290000003</v>
      </c>
    </row>
    <row r="3148" spans="1:8" ht="15.75" thickBot="1" x14ac:dyDescent="0.3">
      <c r="A3148" s="1">
        <v>2014</v>
      </c>
      <c r="B3148" s="1" t="s">
        <v>14</v>
      </c>
      <c r="C3148" s="1" t="s">
        <v>26</v>
      </c>
      <c r="D3148" s="1" t="s">
        <v>27</v>
      </c>
      <c r="E3148" s="1">
        <v>290581381.30000001</v>
      </c>
      <c r="F3148" s="1">
        <v>12783051.380000001</v>
      </c>
      <c r="G3148" s="1">
        <v>10586450</v>
      </c>
      <c r="H3148" s="1">
        <v>27.448425230000002</v>
      </c>
    </row>
    <row r="3149" spans="1:8" ht="15.75" thickBot="1" x14ac:dyDescent="0.3">
      <c r="A3149" s="1">
        <v>2014</v>
      </c>
      <c r="B3149" s="1" t="s">
        <v>40</v>
      </c>
      <c r="C3149" s="1" t="s">
        <v>18</v>
      </c>
      <c r="D3149" s="1" t="s">
        <v>13</v>
      </c>
      <c r="E3149" s="1">
        <v>535</v>
      </c>
      <c r="F3149" s="1">
        <v>0</v>
      </c>
      <c r="G3149" s="1">
        <v>5</v>
      </c>
      <c r="H3149" s="1">
        <v>107</v>
      </c>
    </row>
    <row r="3150" spans="1:8" ht="15.75" thickBot="1" x14ac:dyDescent="0.3">
      <c r="A3150" s="1">
        <v>2017</v>
      </c>
      <c r="B3150" s="1" t="s">
        <v>12</v>
      </c>
      <c r="C3150" s="1" t="s">
        <v>26</v>
      </c>
      <c r="D3150" s="1" t="s">
        <v>10</v>
      </c>
      <c r="E3150" s="1">
        <v>5189336.57</v>
      </c>
      <c r="F3150" s="1">
        <v>158839.45000000001</v>
      </c>
      <c r="G3150" s="1">
        <v>165549</v>
      </c>
      <c r="H3150" s="1">
        <v>31.346227219999999</v>
      </c>
    </row>
    <row r="3151" spans="1:8" ht="15.75" thickBot="1" x14ac:dyDescent="0.3">
      <c r="A3151" s="1">
        <v>2017</v>
      </c>
      <c r="B3151" s="1" t="s">
        <v>17</v>
      </c>
      <c r="C3151" s="1" t="s">
        <v>26</v>
      </c>
      <c r="D3151" s="1" t="s">
        <v>27</v>
      </c>
      <c r="E3151" s="1">
        <v>646261261.89999998</v>
      </c>
      <c r="F3151" s="1">
        <v>23363595.23</v>
      </c>
      <c r="G3151" s="1">
        <v>11933390</v>
      </c>
      <c r="H3151" s="1">
        <v>54.155714500000002</v>
      </c>
    </row>
    <row r="3152" spans="1:8" ht="15.75" thickBot="1" x14ac:dyDescent="0.3">
      <c r="A3152" s="1">
        <v>2015</v>
      </c>
      <c r="B3152" s="1" t="s">
        <v>8</v>
      </c>
      <c r="C3152" s="1" t="s">
        <v>28</v>
      </c>
      <c r="D3152" s="1" t="s">
        <v>32</v>
      </c>
      <c r="E3152" s="1">
        <v>330.84</v>
      </c>
      <c r="F3152" s="1">
        <v>11.46</v>
      </c>
      <c r="G3152" s="1">
        <v>12</v>
      </c>
      <c r="H3152" s="1">
        <v>27.57</v>
      </c>
    </row>
    <row r="3153" spans="1:8" ht="15.75" thickBot="1" x14ac:dyDescent="0.3">
      <c r="A3153" s="1">
        <v>2014</v>
      </c>
      <c r="B3153" s="1" t="s">
        <v>12</v>
      </c>
      <c r="C3153" s="1" t="s">
        <v>25</v>
      </c>
      <c r="D3153" s="1" t="s">
        <v>31</v>
      </c>
      <c r="E3153" s="1">
        <v>269569.31</v>
      </c>
      <c r="F3153" s="1">
        <v>8706.7199999999993</v>
      </c>
      <c r="G3153" s="1">
        <v>4934</v>
      </c>
      <c r="H3153" s="1">
        <v>54.63504459</v>
      </c>
    </row>
    <row r="3154" spans="1:8" ht="15.75" thickBot="1" x14ac:dyDescent="0.3">
      <c r="A3154" s="1">
        <v>2017</v>
      </c>
      <c r="B3154" s="1" t="s">
        <v>14</v>
      </c>
      <c r="C3154" s="1" t="s">
        <v>33</v>
      </c>
      <c r="D3154" s="1" t="s">
        <v>32</v>
      </c>
      <c r="E3154" s="1">
        <v>159430325.80000001</v>
      </c>
      <c r="F3154" s="1">
        <v>5767343.9400000004</v>
      </c>
      <c r="G3154" s="1">
        <v>3173611</v>
      </c>
      <c r="H3154" s="1">
        <v>50.236253210000001</v>
      </c>
    </row>
    <row r="3155" spans="1:8" ht="15.75" thickBot="1" x14ac:dyDescent="0.3">
      <c r="A3155" s="1">
        <v>2017</v>
      </c>
      <c r="B3155" s="1" t="s">
        <v>30</v>
      </c>
      <c r="C3155" s="1" t="s">
        <v>15</v>
      </c>
      <c r="D3155" s="1" t="s">
        <v>29</v>
      </c>
      <c r="E3155" s="1">
        <v>12763172.25</v>
      </c>
      <c r="F3155" s="1">
        <v>415111.12</v>
      </c>
      <c r="G3155" s="1">
        <v>51482</v>
      </c>
      <c r="H3155" s="1">
        <v>247.9152374</v>
      </c>
    </row>
    <row r="3156" spans="1:8" ht="15.75" thickBot="1" x14ac:dyDescent="0.3">
      <c r="A3156" s="1">
        <v>2017</v>
      </c>
      <c r="B3156" s="1" t="s">
        <v>14</v>
      </c>
      <c r="C3156" s="1" t="s">
        <v>25</v>
      </c>
      <c r="D3156" s="1" t="s">
        <v>31</v>
      </c>
      <c r="E3156" s="1">
        <v>2227370.25</v>
      </c>
      <c r="F3156" s="1">
        <v>86814.73</v>
      </c>
      <c r="G3156" s="1">
        <v>54376</v>
      </c>
      <c r="H3156" s="1">
        <v>40.962377699999998</v>
      </c>
    </row>
    <row r="3157" spans="1:8" ht="15.75" thickBot="1" x14ac:dyDescent="0.3">
      <c r="A3157" s="1">
        <v>2015</v>
      </c>
      <c r="B3157" s="1" t="s">
        <v>17</v>
      </c>
      <c r="C3157" s="1" t="s">
        <v>9</v>
      </c>
      <c r="D3157" s="1" t="s">
        <v>13</v>
      </c>
      <c r="E3157" s="1">
        <v>622.52</v>
      </c>
      <c r="F3157" s="1">
        <v>19.66</v>
      </c>
      <c r="G3157" s="1">
        <v>85</v>
      </c>
      <c r="H3157" s="1">
        <v>7.3237647060000004</v>
      </c>
    </row>
    <row r="3158" spans="1:8" ht="15.75" thickBot="1" x14ac:dyDescent="0.3">
      <c r="A3158" s="1">
        <v>2014</v>
      </c>
      <c r="B3158" s="1" t="s">
        <v>30</v>
      </c>
      <c r="C3158" s="1" t="s">
        <v>28</v>
      </c>
      <c r="D3158" s="1" t="s">
        <v>13</v>
      </c>
      <c r="E3158" s="1">
        <v>399302.46</v>
      </c>
      <c r="F3158" s="1">
        <v>10275.209999999999</v>
      </c>
      <c r="G3158" s="1">
        <v>3652</v>
      </c>
      <c r="H3158" s="1">
        <v>109.33802300000001</v>
      </c>
    </row>
    <row r="3159" spans="1:8" ht="15.75" thickBot="1" x14ac:dyDescent="0.3">
      <c r="A3159" s="1">
        <v>2014</v>
      </c>
      <c r="B3159" s="1" t="s">
        <v>14</v>
      </c>
      <c r="C3159" s="1" t="s">
        <v>23</v>
      </c>
      <c r="D3159" s="1" t="s">
        <v>13</v>
      </c>
      <c r="E3159" s="1">
        <v>60861.8</v>
      </c>
      <c r="F3159" s="1">
        <v>2058.94</v>
      </c>
      <c r="G3159" s="1">
        <v>1311</v>
      </c>
      <c r="H3159" s="1">
        <v>46.423951180000003</v>
      </c>
    </row>
    <row r="3160" spans="1:8" ht="15.75" thickBot="1" x14ac:dyDescent="0.3">
      <c r="A3160" s="1">
        <v>2015</v>
      </c>
      <c r="B3160" s="1" t="s">
        <v>35</v>
      </c>
      <c r="C3160" s="1" t="s">
        <v>21</v>
      </c>
      <c r="D3160" s="1" t="s">
        <v>29</v>
      </c>
      <c r="E3160" s="1">
        <v>18905.62</v>
      </c>
      <c r="F3160" s="1">
        <v>529.19000000000005</v>
      </c>
      <c r="G3160" s="1">
        <v>15</v>
      </c>
      <c r="H3160" s="1">
        <v>1260.374667</v>
      </c>
    </row>
    <row r="3161" spans="1:8" ht="15.75" thickBot="1" x14ac:dyDescent="0.3">
      <c r="A3161" s="1">
        <v>2015</v>
      </c>
      <c r="B3161" s="1" t="s">
        <v>16</v>
      </c>
      <c r="C3161" s="1" t="s">
        <v>18</v>
      </c>
      <c r="D3161" s="1" t="s">
        <v>13</v>
      </c>
      <c r="E3161" s="1">
        <v>22919.1</v>
      </c>
      <c r="F3161" s="1">
        <v>727.02</v>
      </c>
      <c r="G3161" s="1">
        <v>339</v>
      </c>
      <c r="H3161" s="1">
        <v>67.607964600000003</v>
      </c>
    </row>
    <row r="3162" spans="1:8" ht="15.75" thickBot="1" x14ac:dyDescent="0.3">
      <c r="A3162" s="1">
        <v>2015</v>
      </c>
      <c r="B3162" s="1" t="s">
        <v>12</v>
      </c>
      <c r="C3162" s="1" t="s">
        <v>18</v>
      </c>
      <c r="D3162" s="1" t="s">
        <v>22</v>
      </c>
      <c r="E3162" s="1">
        <v>87.7</v>
      </c>
      <c r="F3162" s="1">
        <v>2.2000000000000002</v>
      </c>
      <c r="G3162" s="1">
        <v>12</v>
      </c>
      <c r="H3162" s="1">
        <v>7.3083333330000002</v>
      </c>
    </row>
    <row r="3163" spans="1:8" ht="15.75" thickBot="1" x14ac:dyDescent="0.3">
      <c r="A3163" s="1">
        <v>2017</v>
      </c>
      <c r="B3163" s="1" t="s">
        <v>35</v>
      </c>
      <c r="C3163" s="1" t="s">
        <v>28</v>
      </c>
      <c r="D3163" s="1" t="s">
        <v>13</v>
      </c>
      <c r="E3163" s="1">
        <v>224.94</v>
      </c>
      <c r="F3163" s="1">
        <v>14.08</v>
      </c>
      <c r="G3163" s="1">
        <v>52</v>
      </c>
      <c r="H3163" s="1">
        <v>4.3257692309999998</v>
      </c>
    </row>
    <row r="3164" spans="1:8" ht="15.75" thickBot="1" x14ac:dyDescent="0.3">
      <c r="A3164" s="1">
        <v>2015</v>
      </c>
      <c r="B3164" s="1" t="s">
        <v>30</v>
      </c>
      <c r="C3164" s="1" t="s">
        <v>15</v>
      </c>
      <c r="D3164" s="1" t="s">
        <v>29</v>
      </c>
      <c r="E3164" s="1">
        <v>8385292.6600000001</v>
      </c>
      <c r="F3164" s="1">
        <v>261546.81</v>
      </c>
      <c r="G3164" s="1">
        <v>34264</v>
      </c>
      <c r="H3164" s="1">
        <v>244.72602910000001</v>
      </c>
    </row>
    <row r="3165" spans="1:8" ht="15.75" thickBot="1" x14ac:dyDescent="0.3">
      <c r="A3165" s="1">
        <v>2014</v>
      </c>
      <c r="B3165" s="1" t="s">
        <v>17</v>
      </c>
      <c r="C3165" s="1" t="s">
        <v>9</v>
      </c>
      <c r="D3165" s="1" t="s">
        <v>32</v>
      </c>
      <c r="E3165" s="1">
        <v>317465.07</v>
      </c>
      <c r="F3165" s="1">
        <v>12363.3</v>
      </c>
      <c r="G3165" s="1">
        <v>50531</v>
      </c>
      <c r="H3165" s="1">
        <v>6.2825803960000002</v>
      </c>
    </row>
    <row r="3166" spans="1:8" ht="15.75" thickBot="1" x14ac:dyDescent="0.3">
      <c r="A3166" s="1">
        <v>2017</v>
      </c>
      <c r="B3166" s="1" t="s">
        <v>30</v>
      </c>
      <c r="C3166" s="1" t="s">
        <v>18</v>
      </c>
      <c r="D3166" s="1" t="s">
        <v>27</v>
      </c>
      <c r="E3166" s="1">
        <v>60772528.990000002</v>
      </c>
      <c r="F3166" s="1">
        <v>2040166.21</v>
      </c>
      <c r="G3166" s="1">
        <v>579428</v>
      </c>
      <c r="H3166" s="1">
        <v>104.8836594</v>
      </c>
    </row>
    <row r="3167" spans="1:8" ht="15.75" thickBot="1" x14ac:dyDescent="0.3">
      <c r="A3167" s="1">
        <v>2017</v>
      </c>
      <c r="B3167" s="1" t="s">
        <v>20</v>
      </c>
      <c r="C3167" s="1" t="s">
        <v>9</v>
      </c>
      <c r="D3167" s="1" t="s">
        <v>10</v>
      </c>
      <c r="E3167" s="1">
        <v>3059.1</v>
      </c>
      <c r="F3167" s="1">
        <v>270.45</v>
      </c>
      <c r="G3167" s="1">
        <v>1231</v>
      </c>
      <c r="H3167" s="1">
        <v>2.4850528029999999</v>
      </c>
    </row>
    <row r="3168" spans="1:8" ht="15.75" thickBot="1" x14ac:dyDescent="0.3">
      <c r="A3168" s="1">
        <v>2017</v>
      </c>
      <c r="B3168" s="1" t="s">
        <v>30</v>
      </c>
      <c r="C3168" s="1" t="s">
        <v>28</v>
      </c>
      <c r="D3168" s="1" t="s">
        <v>24</v>
      </c>
      <c r="E3168" s="1">
        <v>85063177.269999996</v>
      </c>
      <c r="F3168" s="1">
        <v>2758594.68</v>
      </c>
      <c r="G3168" s="1">
        <v>315657</v>
      </c>
      <c r="H3168" s="1">
        <v>269.47977479999997</v>
      </c>
    </row>
    <row r="3169" spans="1:8" ht="15.75" thickBot="1" x14ac:dyDescent="0.3">
      <c r="A3169" s="1">
        <v>2014</v>
      </c>
      <c r="B3169" s="1" t="s">
        <v>8</v>
      </c>
      <c r="C3169" s="1" t="s">
        <v>21</v>
      </c>
      <c r="D3169" s="1" t="s">
        <v>32</v>
      </c>
      <c r="E3169" s="1">
        <v>133.05000000000001</v>
      </c>
      <c r="F3169" s="1">
        <v>6.83</v>
      </c>
      <c r="G3169" s="1">
        <v>8</v>
      </c>
      <c r="H3169" s="1">
        <v>16.631250000000001</v>
      </c>
    </row>
    <row r="3170" spans="1:8" ht="15.75" thickBot="1" x14ac:dyDescent="0.3">
      <c r="A3170" s="1">
        <v>2017</v>
      </c>
      <c r="B3170" s="1" t="s">
        <v>11</v>
      </c>
      <c r="C3170" s="1" t="s">
        <v>9</v>
      </c>
      <c r="D3170" s="1" t="s">
        <v>32</v>
      </c>
      <c r="E3170" s="1">
        <v>171842.04</v>
      </c>
      <c r="F3170" s="1">
        <v>4960.82</v>
      </c>
      <c r="G3170" s="1">
        <v>63683</v>
      </c>
      <c r="H3170" s="1">
        <v>2.6983973739999998</v>
      </c>
    </row>
    <row r="3171" spans="1:8" ht="15.75" thickBot="1" x14ac:dyDescent="0.3">
      <c r="A3171" s="1">
        <v>2014</v>
      </c>
      <c r="B3171" s="1" t="s">
        <v>14</v>
      </c>
      <c r="C3171" s="1" t="s">
        <v>15</v>
      </c>
      <c r="D3171" s="1" t="s">
        <v>10</v>
      </c>
      <c r="E3171" s="1">
        <v>2345709.66</v>
      </c>
      <c r="F3171" s="1">
        <v>87441.39</v>
      </c>
      <c r="G3171" s="1">
        <v>42757</v>
      </c>
      <c r="H3171" s="1">
        <v>54.86141825</v>
      </c>
    </row>
    <row r="3172" spans="1:8" ht="15.75" thickBot="1" x14ac:dyDescent="0.3">
      <c r="A3172" s="1">
        <v>2017</v>
      </c>
      <c r="B3172" s="1" t="s">
        <v>11</v>
      </c>
      <c r="C3172" s="1" t="s">
        <v>18</v>
      </c>
      <c r="D3172" s="1" t="s">
        <v>22</v>
      </c>
      <c r="E3172" s="1">
        <v>1136689.6000000001</v>
      </c>
      <c r="F3172" s="1">
        <v>37490.480000000003</v>
      </c>
      <c r="G3172" s="1">
        <v>87189</v>
      </c>
      <c r="H3172" s="1">
        <v>13.03707578</v>
      </c>
    </row>
    <row r="3173" spans="1:8" ht="15.75" thickBot="1" x14ac:dyDescent="0.3">
      <c r="A3173" s="1">
        <v>2015</v>
      </c>
      <c r="B3173" s="1" t="s">
        <v>12</v>
      </c>
      <c r="C3173" s="1" t="s">
        <v>21</v>
      </c>
      <c r="D3173" s="1" t="s">
        <v>19</v>
      </c>
      <c r="E3173" s="1">
        <v>7070858.1500000004</v>
      </c>
      <c r="F3173" s="1">
        <v>209768.17</v>
      </c>
      <c r="G3173" s="1">
        <v>30149</v>
      </c>
      <c r="H3173" s="1">
        <v>234.53043719999999</v>
      </c>
    </row>
    <row r="3174" spans="1:8" ht="15.75" thickBot="1" x14ac:dyDescent="0.3">
      <c r="A3174" s="1">
        <v>2014</v>
      </c>
      <c r="B3174" s="1" t="s">
        <v>35</v>
      </c>
      <c r="C3174" s="1" t="s">
        <v>25</v>
      </c>
      <c r="D3174" s="1" t="s">
        <v>24</v>
      </c>
      <c r="E3174" s="1">
        <v>1006.9</v>
      </c>
      <c r="F3174" s="1">
        <v>50.94</v>
      </c>
      <c r="G3174" s="1">
        <v>27</v>
      </c>
      <c r="H3174" s="1">
        <v>37.292592589999998</v>
      </c>
    </row>
    <row r="3175" spans="1:8" ht="15.75" thickBot="1" x14ac:dyDescent="0.3">
      <c r="A3175" s="1">
        <v>2016</v>
      </c>
      <c r="B3175" s="1" t="s">
        <v>20</v>
      </c>
      <c r="C3175" s="1" t="s">
        <v>9</v>
      </c>
      <c r="D3175" s="1" t="s">
        <v>19</v>
      </c>
      <c r="E3175" s="1">
        <v>63163.68</v>
      </c>
      <c r="F3175" s="1">
        <v>659.08</v>
      </c>
      <c r="G3175" s="1">
        <v>1762</v>
      </c>
      <c r="H3175" s="1">
        <v>35.847718499999999</v>
      </c>
    </row>
    <row r="3176" spans="1:8" ht="15.75" thickBot="1" x14ac:dyDescent="0.3">
      <c r="A3176" s="1">
        <v>2014</v>
      </c>
      <c r="B3176" s="1" t="s">
        <v>12</v>
      </c>
      <c r="C3176" s="1" t="s">
        <v>18</v>
      </c>
      <c r="D3176" s="1" t="s">
        <v>22</v>
      </c>
      <c r="E3176" s="1">
        <v>15561.91</v>
      </c>
      <c r="F3176" s="1">
        <v>625.27</v>
      </c>
      <c r="G3176" s="1">
        <v>1326</v>
      </c>
      <c r="H3176" s="1">
        <v>11.73598039</v>
      </c>
    </row>
    <row r="3177" spans="1:8" ht="15.75" thickBot="1" x14ac:dyDescent="0.3">
      <c r="A3177" s="1">
        <v>2015</v>
      </c>
      <c r="B3177" s="1" t="s">
        <v>8</v>
      </c>
      <c r="C3177" s="1" t="s">
        <v>12</v>
      </c>
      <c r="D3177" s="1" t="s">
        <v>24</v>
      </c>
      <c r="E3177" s="1">
        <v>400</v>
      </c>
      <c r="F3177" s="1">
        <v>26.46</v>
      </c>
      <c r="G3177" s="1">
        <v>2</v>
      </c>
      <c r="H3177" s="1">
        <v>200</v>
      </c>
    </row>
    <row r="3178" spans="1:8" ht="15.75" thickBot="1" x14ac:dyDescent="0.3">
      <c r="A3178" s="1">
        <v>2014</v>
      </c>
      <c r="B3178" s="1" t="s">
        <v>14</v>
      </c>
      <c r="C3178" s="1" t="s">
        <v>33</v>
      </c>
      <c r="D3178" s="1" t="s">
        <v>24</v>
      </c>
      <c r="E3178" s="1">
        <v>22278041.420000002</v>
      </c>
      <c r="F3178" s="1">
        <v>738234.04</v>
      </c>
      <c r="G3178" s="1">
        <v>129966</v>
      </c>
      <c r="H3178" s="1">
        <v>171.4143808</v>
      </c>
    </row>
    <row r="3179" spans="1:8" ht="15.75" thickBot="1" x14ac:dyDescent="0.3">
      <c r="A3179" s="1">
        <v>2015</v>
      </c>
      <c r="B3179" s="1" t="s">
        <v>17</v>
      </c>
      <c r="C3179" s="1" t="s">
        <v>26</v>
      </c>
      <c r="D3179" s="1" t="s">
        <v>22</v>
      </c>
      <c r="E3179" s="1">
        <v>1132848.8999999999</v>
      </c>
      <c r="F3179" s="1">
        <v>43036.01</v>
      </c>
      <c r="G3179" s="1">
        <v>68589</v>
      </c>
      <c r="H3179" s="1">
        <v>16.516480779999998</v>
      </c>
    </row>
    <row r="3180" spans="1:8" ht="15.75" thickBot="1" x14ac:dyDescent="0.3">
      <c r="A3180" s="1">
        <v>2017</v>
      </c>
      <c r="B3180" s="1" t="s">
        <v>12</v>
      </c>
      <c r="C3180" s="1" t="s">
        <v>18</v>
      </c>
      <c r="D3180" s="1" t="s">
        <v>32</v>
      </c>
      <c r="E3180" s="1">
        <v>6737486.3300000001</v>
      </c>
      <c r="F3180" s="1">
        <v>218953.8</v>
      </c>
      <c r="G3180" s="1">
        <v>86355</v>
      </c>
      <c r="H3180" s="1">
        <v>78.020801689999999</v>
      </c>
    </row>
    <row r="3181" spans="1:8" ht="15.75" thickBot="1" x14ac:dyDescent="0.3">
      <c r="A3181" s="1">
        <v>2014</v>
      </c>
      <c r="B3181" s="1" t="s">
        <v>14</v>
      </c>
      <c r="C3181" s="1" t="s">
        <v>23</v>
      </c>
      <c r="D3181" s="1" t="s">
        <v>32</v>
      </c>
      <c r="E3181" s="1">
        <v>16259666.789999999</v>
      </c>
      <c r="F3181" s="1">
        <v>695770.04</v>
      </c>
      <c r="G3181" s="1">
        <v>520504</v>
      </c>
      <c r="H3181" s="1">
        <v>31.23831285</v>
      </c>
    </row>
    <row r="3182" spans="1:8" ht="15.75" thickBot="1" x14ac:dyDescent="0.3">
      <c r="A3182" s="1">
        <v>2016</v>
      </c>
      <c r="B3182" s="1" t="s">
        <v>20</v>
      </c>
      <c r="C3182" s="1" t="s">
        <v>12</v>
      </c>
      <c r="D3182" s="1" t="s">
        <v>29</v>
      </c>
      <c r="E3182" s="1">
        <v>926426.37</v>
      </c>
      <c r="F3182" s="1">
        <v>31177.08</v>
      </c>
      <c r="G3182" s="1">
        <v>8062</v>
      </c>
      <c r="H3182" s="1">
        <v>114.9127226</v>
      </c>
    </row>
    <row r="3183" spans="1:8" ht="15.75" thickBot="1" x14ac:dyDescent="0.3">
      <c r="A3183" s="1">
        <v>2016</v>
      </c>
      <c r="B3183" s="1" t="s">
        <v>35</v>
      </c>
      <c r="C3183" s="1" t="s">
        <v>18</v>
      </c>
      <c r="D3183" s="1" t="s">
        <v>32</v>
      </c>
      <c r="E3183" s="1">
        <v>7336.58</v>
      </c>
      <c r="F3183" s="1">
        <v>277.08</v>
      </c>
      <c r="G3183" s="1">
        <v>468</v>
      </c>
      <c r="H3183" s="1">
        <v>15.67645299</v>
      </c>
    </row>
    <row r="3184" spans="1:8" ht="15.75" thickBot="1" x14ac:dyDescent="0.3">
      <c r="A3184" s="1">
        <v>2017</v>
      </c>
      <c r="B3184" s="1" t="s">
        <v>12</v>
      </c>
      <c r="C3184" s="1" t="s">
        <v>28</v>
      </c>
      <c r="D3184" s="1" t="s">
        <v>29</v>
      </c>
      <c r="E3184" s="1">
        <v>7842885.5800000001</v>
      </c>
      <c r="F3184" s="1">
        <v>233092.57</v>
      </c>
      <c r="G3184" s="1">
        <v>11270</v>
      </c>
      <c r="H3184" s="1">
        <v>695.90821470000003</v>
      </c>
    </row>
    <row r="3185" spans="1:8" ht="15.75" thickBot="1" x14ac:dyDescent="0.3">
      <c r="A3185" s="1">
        <v>2017</v>
      </c>
      <c r="B3185" s="1" t="s">
        <v>11</v>
      </c>
      <c r="C3185" s="1" t="s">
        <v>12</v>
      </c>
      <c r="D3185" s="1" t="s">
        <v>13</v>
      </c>
      <c r="E3185" s="1">
        <v>3007947.05</v>
      </c>
      <c r="F3185" s="1">
        <v>96812.27</v>
      </c>
      <c r="G3185" s="1">
        <v>314855</v>
      </c>
      <c r="H3185" s="1">
        <v>9.5534358669999992</v>
      </c>
    </row>
    <row r="3186" spans="1:8" ht="15.75" thickBot="1" x14ac:dyDescent="0.3">
      <c r="A3186" s="1">
        <v>2015</v>
      </c>
      <c r="B3186" s="1" t="s">
        <v>12</v>
      </c>
      <c r="C3186" s="1" t="s">
        <v>23</v>
      </c>
      <c r="D3186" s="1" t="s">
        <v>31</v>
      </c>
      <c r="E3186" s="1">
        <v>105709.59</v>
      </c>
      <c r="F3186" s="1">
        <v>3672.6</v>
      </c>
      <c r="G3186" s="1">
        <v>2060</v>
      </c>
      <c r="H3186" s="1">
        <v>51.31533495</v>
      </c>
    </row>
    <row r="3187" spans="1:8" ht="15.75" thickBot="1" x14ac:dyDescent="0.3">
      <c r="A3187" s="1">
        <v>2015</v>
      </c>
      <c r="B3187" s="1" t="s">
        <v>14</v>
      </c>
      <c r="C3187" s="1" t="s">
        <v>18</v>
      </c>
      <c r="D3187" s="1" t="s">
        <v>24</v>
      </c>
      <c r="E3187" s="1">
        <v>10107595.880000001</v>
      </c>
      <c r="F3187" s="1">
        <v>321864.03000000003</v>
      </c>
      <c r="G3187" s="1">
        <v>33454</v>
      </c>
      <c r="H3187" s="1">
        <v>302.13415079999999</v>
      </c>
    </row>
    <row r="3188" spans="1:8" ht="15.75" thickBot="1" x14ac:dyDescent="0.3">
      <c r="A3188" s="1">
        <v>2016</v>
      </c>
      <c r="B3188" s="1" t="s">
        <v>16</v>
      </c>
      <c r="C3188" s="1" t="s">
        <v>33</v>
      </c>
      <c r="D3188" s="1" t="s">
        <v>27</v>
      </c>
      <c r="E3188" s="1">
        <v>513360264.30000001</v>
      </c>
      <c r="F3188" s="1">
        <v>19876633.469999999</v>
      </c>
      <c r="G3188" s="1">
        <v>9881010</v>
      </c>
      <c r="H3188" s="1">
        <v>51.954229810000001</v>
      </c>
    </row>
    <row r="3189" spans="1:8" ht="15.75" thickBot="1" x14ac:dyDescent="0.3">
      <c r="A3189" s="1">
        <v>2017</v>
      </c>
      <c r="B3189" s="1" t="s">
        <v>8</v>
      </c>
      <c r="C3189" s="1" t="s">
        <v>33</v>
      </c>
      <c r="D3189" s="1" t="s">
        <v>27</v>
      </c>
      <c r="E3189" s="1">
        <v>8465.5300000000007</v>
      </c>
      <c r="F3189" s="1">
        <v>348.05</v>
      </c>
      <c r="G3189" s="1">
        <v>308</v>
      </c>
      <c r="H3189" s="1">
        <v>27.48548701</v>
      </c>
    </row>
    <row r="3190" spans="1:8" ht="15.75" thickBot="1" x14ac:dyDescent="0.3">
      <c r="A3190" s="1">
        <v>2016</v>
      </c>
      <c r="B3190" s="1" t="s">
        <v>30</v>
      </c>
      <c r="C3190" s="1" t="s">
        <v>25</v>
      </c>
      <c r="D3190" s="1" t="s">
        <v>19</v>
      </c>
      <c r="E3190" s="1">
        <v>283726316.89999998</v>
      </c>
      <c r="F3190" s="1">
        <v>7422201.7800000003</v>
      </c>
      <c r="G3190" s="1">
        <v>2204245</v>
      </c>
      <c r="H3190" s="1">
        <v>128.71814019999999</v>
      </c>
    </row>
    <row r="3191" spans="1:8" ht="15.75" thickBot="1" x14ac:dyDescent="0.3">
      <c r="A3191" s="1">
        <v>2017</v>
      </c>
      <c r="B3191" s="1" t="s">
        <v>16</v>
      </c>
      <c r="C3191" s="1" t="s">
        <v>33</v>
      </c>
      <c r="D3191" s="1" t="s">
        <v>13</v>
      </c>
      <c r="E3191" s="1">
        <v>9236793.3599999994</v>
      </c>
      <c r="F3191" s="1">
        <v>318463.5</v>
      </c>
      <c r="G3191" s="1">
        <v>218452</v>
      </c>
      <c r="H3191" s="1">
        <v>42.282942519999999</v>
      </c>
    </row>
    <row r="3192" spans="1:8" ht="15.75" thickBot="1" x14ac:dyDescent="0.3">
      <c r="A3192" s="1">
        <v>2017</v>
      </c>
      <c r="B3192" s="1" t="s">
        <v>35</v>
      </c>
      <c r="C3192" s="1" t="s">
        <v>12</v>
      </c>
      <c r="D3192" s="1" t="s">
        <v>32</v>
      </c>
      <c r="E3192" s="1">
        <v>49280.23</v>
      </c>
      <c r="F3192" s="1">
        <v>2022.81</v>
      </c>
      <c r="G3192" s="1">
        <v>1477</v>
      </c>
      <c r="H3192" s="1">
        <v>33.365084629999998</v>
      </c>
    </row>
    <row r="3193" spans="1:8" ht="15.75" thickBot="1" x14ac:dyDescent="0.3">
      <c r="A3193" s="1">
        <v>2014</v>
      </c>
      <c r="B3193" s="1" t="s">
        <v>20</v>
      </c>
      <c r="C3193" s="1" t="s">
        <v>12</v>
      </c>
      <c r="D3193" s="1" t="s">
        <v>10</v>
      </c>
      <c r="E3193" s="1">
        <v>153867.28</v>
      </c>
      <c r="F3193" s="1">
        <v>5959.53</v>
      </c>
      <c r="G3193" s="1">
        <v>4131</v>
      </c>
      <c r="H3193" s="1">
        <v>37.246981359999999</v>
      </c>
    </row>
    <row r="3194" spans="1:8" ht="15.75" thickBot="1" x14ac:dyDescent="0.3">
      <c r="A3194" s="1">
        <v>2015</v>
      </c>
      <c r="B3194" s="1" t="s">
        <v>8</v>
      </c>
      <c r="C3194" s="1" t="s">
        <v>12</v>
      </c>
      <c r="D3194" s="1" t="s">
        <v>27</v>
      </c>
      <c r="E3194" s="1">
        <v>5663.17</v>
      </c>
      <c r="F3194" s="1">
        <v>222.58</v>
      </c>
      <c r="G3194" s="1">
        <v>168</v>
      </c>
      <c r="H3194" s="1">
        <v>33.709345239999998</v>
      </c>
    </row>
    <row r="3195" spans="1:8" ht="15.75" thickBot="1" x14ac:dyDescent="0.3">
      <c r="A3195" s="1">
        <v>2016</v>
      </c>
      <c r="B3195" s="1" t="s">
        <v>11</v>
      </c>
      <c r="C3195" s="1" t="s">
        <v>12</v>
      </c>
      <c r="D3195" s="1" t="s">
        <v>32</v>
      </c>
      <c r="E3195" s="1">
        <v>68615343.329999998</v>
      </c>
      <c r="F3195" s="1">
        <v>2615943.77</v>
      </c>
      <c r="G3195" s="1">
        <v>1810195</v>
      </c>
      <c r="H3195" s="1">
        <v>37.904945779999998</v>
      </c>
    </row>
    <row r="3196" spans="1:8" ht="15.75" thickBot="1" x14ac:dyDescent="0.3">
      <c r="A3196" s="1">
        <v>2017</v>
      </c>
      <c r="B3196" s="1" t="s">
        <v>12</v>
      </c>
      <c r="C3196" s="1" t="s">
        <v>33</v>
      </c>
      <c r="D3196" s="1" t="s">
        <v>24</v>
      </c>
      <c r="E3196" s="1">
        <v>4965856.5199999996</v>
      </c>
      <c r="F3196" s="1">
        <v>155925.34</v>
      </c>
      <c r="G3196" s="1">
        <v>12641</v>
      </c>
      <c r="H3196" s="1">
        <v>392.83731669999997</v>
      </c>
    </row>
    <row r="3197" spans="1:8" ht="15.75" thickBot="1" x14ac:dyDescent="0.3">
      <c r="A3197" s="1">
        <v>2015</v>
      </c>
      <c r="B3197" s="1" t="s">
        <v>8</v>
      </c>
      <c r="C3197" s="1" t="s">
        <v>23</v>
      </c>
      <c r="D3197" s="1" t="s">
        <v>29</v>
      </c>
      <c r="E3197" s="1">
        <v>23</v>
      </c>
      <c r="F3197" s="1">
        <v>0.97</v>
      </c>
      <c r="G3197" s="1">
        <v>1</v>
      </c>
      <c r="H3197" s="1">
        <v>23</v>
      </c>
    </row>
    <row r="3198" spans="1:8" ht="15.75" thickBot="1" x14ac:dyDescent="0.3">
      <c r="A3198" s="1">
        <v>2016</v>
      </c>
      <c r="B3198" s="1" t="s">
        <v>14</v>
      </c>
      <c r="C3198" s="1" t="s">
        <v>18</v>
      </c>
      <c r="D3198" s="1" t="s">
        <v>13</v>
      </c>
      <c r="E3198" s="1">
        <v>59536.99</v>
      </c>
      <c r="F3198" s="1">
        <v>1901.55</v>
      </c>
      <c r="G3198" s="1">
        <v>1791</v>
      </c>
      <c r="H3198" s="1">
        <v>33.242317139999997</v>
      </c>
    </row>
    <row r="3199" spans="1:8" ht="15.75" thickBot="1" x14ac:dyDescent="0.3">
      <c r="A3199" s="1">
        <v>2015</v>
      </c>
      <c r="B3199" s="1" t="s">
        <v>8</v>
      </c>
      <c r="C3199" s="1" t="s">
        <v>18</v>
      </c>
      <c r="D3199" s="1" t="s">
        <v>19</v>
      </c>
      <c r="E3199" s="1">
        <v>573</v>
      </c>
      <c r="F3199" s="1">
        <v>7.09</v>
      </c>
      <c r="G3199" s="1">
        <v>10</v>
      </c>
      <c r="H3199" s="1">
        <v>57.3</v>
      </c>
    </row>
    <row r="3200" spans="1:8" ht="15.75" thickBot="1" x14ac:dyDescent="0.3">
      <c r="A3200" s="1">
        <v>2014</v>
      </c>
      <c r="B3200" s="1" t="s">
        <v>11</v>
      </c>
      <c r="C3200" s="1" t="s">
        <v>26</v>
      </c>
      <c r="D3200" s="1" t="s">
        <v>13</v>
      </c>
      <c r="E3200" s="1">
        <v>8535.7099999999991</v>
      </c>
      <c r="F3200" s="1">
        <v>223.31</v>
      </c>
      <c r="G3200" s="1">
        <v>170</v>
      </c>
      <c r="H3200" s="1">
        <v>50.21005882</v>
      </c>
    </row>
    <row r="3201" spans="1:8" ht="15.75" thickBot="1" x14ac:dyDescent="0.3">
      <c r="A3201" s="1">
        <v>2016</v>
      </c>
      <c r="B3201" s="1" t="s">
        <v>11</v>
      </c>
      <c r="C3201" s="1" t="s">
        <v>15</v>
      </c>
      <c r="D3201" s="1" t="s">
        <v>27</v>
      </c>
      <c r="E3201" s="1">
        <v>161828069.30000001</v>
      </c>
      <c r="F3201" s="1">
        <v>4398967.58</v>
      </c>
      <c r="G3201" s="1">
        <v>2248179</v>
      </c>
      <c r="H3201" s="1">
        <v>71.981843679999997</v>
      </c>
    </row>
    <row r="3202" spans="1:8" ht="15.75" thickBot="1" x14ac:dyDescent="0.3">
      <c r="A3202" s="1">
        <v>2016</v>
      </c>
      <c r="B3202" s="1" t="s">
        <v>8</v>
      </c>
      <c r="C3202" s="1" t="s">
        <v>12</v>
      </c>
      <c r="D3202" s="1" t="s">
        <v>13</v>
      </c>
      <c r="E3202" s="1">
        <v>34.94</v>
      </c>
      <c r="F3202" s="1">
        <v>1.92</v>
      </c>
      <c r="G3202" s="1">
        <v>3</v>
      </c>
      <c r="H3202" s="1">
        <v>11.64666667</v>
      </c>
    </row>
    <row r="3203" spans="1:8" ht="15.75" thickBot="1" x14ac:dyDescent="0.3">
      <c r="A3203" s="1">
        <v>2015</v>
      </c>
      <c r="B3203" s="1" t="s">
        <v>14</v>
      </c>
      <c r="C3203" s="1" t="s">
        <v>33</v>
      </c>
      <c r="D3203" s="1" t="s">
        <v>32</v>
      </c>
      <c r="E3203" s="1">
        <v>106327744.3</v>
      </c>
      <c r="F3203" s="1">
        <v>4014596.7</v>
      </c>
      <c r="G3203" s="1">
        <v>2314887</v>
      </c>
      <c r="H3203" s="1">
        <v>45.932153210000003</v>
      </c>
    </row>
    <row r="3204" spans="1:8" ht="15.75" thickBot="1" x14ac:dyDescent="0.3">
      <c r="A3204" s="1">
        <v>2016</v>
      </c>
      <c r="B3204" s="1" t="s">
        <v>20</v>
      </c>
      <c r="C3204" s="1" t="s">
        <v>18</v>
      </c>
      <c r="D3204" s="1" t="s">
        <v>32</v>
      </c>
      <c r="E3204" s="1">
        <v>2138581.2599999998</v>
      </c>
      <c r="F3204" s="1">
        <v>79910.22</v>
      </c>
      <c r="G3204" s="1">
        <v>58529</v>
      </c>
      <c r="H3204" s="1">
        <v>36.538831350000002</v>
      </c>
    </row>
    <row r="3205" spans="1:8" ht="15.75" thickBot="1" x14ac:dyDescent="0.3">
      <c r="A3205" s="1">
        <v>2015</v>
      </c>
      <c r="B3205" s="1" t="s">
        <v>16</v>
      </c>
      <c r="C3205" s="1" t="s">
        <v>12</v>
      </c>
      <c r="D3205" s="1" t="s">
        <v>29</v>
      </c>
      <c r="E3205" s="1">
        <v>13190101.15</v>
      </c>
      <c r="F3205" s="1">
        <v>463560.16</v>
      </c>
      <c r="G3205" s="1">
        <v>45086</v>
      </c>
      <c r="H3205" s="1">
        <v>292.5542552</v>
      </c>
    </row>
    <row r="3206" spans="1:8" ht="15.75" thickBot="1" x14ac:dyDescent="0.3">
      <c r="A3206" s="1">
        <v>2017</v>
      </c>
      <c r="B3206" s="1" t="s">
        <v>17</v>
      </c>
      <c r="C3206" s="1" t="s">
        <v>23</v>
      </c>
      <c r="D3206" s="1" t="s">
        <v>34</v>
      </c>
      <c r="E3206" s="1">
        <v>939140.34</v>
      </c>
      <c r="F3206" s="1">
        <v>32556.57</v>
      </c>
      <c r="G3206" s="1">
        <v>24490</v>
      </c>
      <c r="H3206" s="1">
        <v>38.347910980000002</v>
      </c>
    </row>
    <row r="3207" spans="1:8" ht="15.75" thickBot="1" x14ac:dyDescent="0.3">
      <c r="A3207" s="1">
        <v>2016</v>
      </c>
      <c r="B3207" s="1" t="s">
        <v>11</v>
      </c>
      <c r="C3207" s="1" t="s">
        <v>15</v>
      </c>
      <c r="D3207" s="1" t="s">
        <v>31</v>
      </c>
      <c r="E3207" s="1">
        <v>21128565.719999999</v>
      </c>
      <c r="F3207" s="1">
        <v>607173.29</v>
      </c>
      <c r="G3207" s="1">
        <v>383568</v>
      </c>
      <c r="H3207" s="1">
        <v>55.084276369999998</v>
      </c>
    </row>
    <row r="3208" spans="1:8" ht="15.75" thickBot="1" x14ac:dyDescent="0.3">
      <c r="A3208" s="1">
        <v>2014</v>
      </c>
      <c r="B3208" s="1" t="s">
        <v>8</v>
      </c>
      <c r="C3208" s="1" t="s">
        <v>15</v>
      </c>
      <c r="D3208" s="1" t="s">
        <v>32</v>
      </c>
      <c r="E3208" s="1">
        <v>234.56</v>
      </c>
      <c r="F3208" s="1">
        <v>10.37</v>
      </c>
      <c r="G3208" s="1">
        <v>9</v>
      </c>
      <c r="H3208" s="1">
        <v>26.062222219999999</v>
      </c>
    </row>
    <row r="3209" spans="1:8" ht="15.75" thickBot="1" x14ac:dyDescent="0.3">
      <c r="A3209" s="1">
        <v>2017</v>
      </c>
      <c r="B3209" s="1" t="s">
        <v>30</v>
      </c>
      <c r="C3209" s="1" t="s">
        <v>15</v>
      </c>
      <c r="D3209" s="1" t="s">
        <v>34</v>
      </c>
      <c r="E3209" s="1">
        <v>162955.82999999999</v>
      </c>
      <c r="F3209" s="1">
        <v>5451.46</v>
      </c>
      <c r="G3209" s="1">
        <v>2186</v>
      </c>
      <c r="H3209" s="1">
        <v>74.545210429999997</v>
      </c>
    </row>
    <row r="3210" spans="1:8" ht="15.75" thickBot="1" x14ac:dyDescent="0.3">
      <c r="A3210" s="1">
        <v>2015</v>
      </c>
      <c r="B3210" s="1" t="s">
        <v>8</v>
      </c>
      <c r="C3210" s="1" t="s">
        <v>18</v>
      </c>
      <c r="D3210" s="1" t="s">
        <v>27</v>
      </c>
      <c r="E3210" s="1">
        <v>2180.69</v>
      </c>
      <c r="F3210" s="1">
        <v>59.86</v>
      </c>
      <c r="G3210" s="1">
        <v>22</v>
      </c>
      <c r="H3210" s="1">
        <v>99.122272730000006</v>
      </c>
    </row>
    <row r="3211" spans="1:8" ht="15.75" thickBot="1" x14ac:dyDescent="0.3">
      <c r="A3211" s="1">
        <v>2016</v>
      </c>
      <c r="B3211" s="1" t="s">
        <v>35</v>
      </c>
      <c r="C3211" s="1" t="s">
        <v>25</v>
      </c>
      <c r="D3211" s="1" t="s">
        <v>29</v>
      </c>
      <c r="E3211" s="1">
        <v>3747.09</v>
      </c>
      <c r="F3211" s="1">
        <v>90.07</v>
      </c>
      <c r="G3211" s="1">
        <v>19</v>
      </c>
      <c r="H3211" s="1">
        <v>197.21526320000001</v>
      </c>
    </row>
    <row r="3212" spans="1:8" ht="15.75" thickBot="1" x14ac:dyDescent="0.3">
      <c r="A3212" s="1">
        <v>2016</v>
      </c>
      <c r="B3212" s="1" t="s">
        <v>14</v>
      </c>
      <c r="C3212" s="1" t="s">
        <v>23</v>
      </c>
      <c r="D3212" s="1" t="s">
        <v>10</v>
      </c>
      <c r="E3212" s="1">
        <v>2357903.5099999998</v>
      </c>
      <c r="F3212" s="1">
        <v>89705.81</v>
      </c>
      <c r="G3212" s="1">
        <v>50407</v>
      </c>
      <c r="H3212" s="1">
        <v>46.777302949999999</v>
      </c>
    </row>
    <row r="3213" spans="1:8" ht="15.75" thickBot="1" x14ac:dyDescent="0.3">
      <c r="A3213" s="1">
        <v>2017</v>
      </c>
      <c r="B3213" s="1" t="s">
        <v>30</v>
      </c>
      <c r="C3213" s="1" t="s">
        <v>25</v>
      </c>
      <c r="D3213" s="1" t="s">
        <v>31</v>
      </c>
      <c r="E3213" s="1">
        <v>169.99</v>
      </c>
      <c r="F3213" s="1">
        <v>9.7899999999999991</v>
      </c>
      <c r="G3213" s="1">
        <v>14</v>
      </c>
      <c r="H3213" s="1">
        <v>12.14214286</v>
      </c>
    </row>
    <row r="3214" spans="1:8" ht="15.75" thickBot="1" x14ac:dyDescent="0.3">
      <c r="A3214" s="1">
        <v>2015</v>
      </c>
      <c r="B3214" s="1" t="s">
        <v>20</v>
      </c>
      <c r="C3214" s="1" t="s">
        <v>28</v>
      </c>
      <c r="D3214" s="1" t="s">
        <v>36</v>
      </c>
      <c r="E3214" s="1">
        <v>5053196.0999999996</v>
      </c>
      <c r="F3214" s="1">
        <v>53825.14</v>
      </c>
      <c r="G3214" s="1">
        <v>285722</v>
      </c>
      <c r="H3214" s="1">
        <v>17.68570884</v>
      </c>
    </row>
    <row r="3215" spans="1:8" ht="15.75" thickBot="1" x14ac:dyDescent="0.3">
      <c r="A3215" s="1">
        <v>2015</v>
      </c>
      <c r="B3215" s="1" t="s">
        <v>16</v>
      </c>
      <c r="C3215" s="1" t="s">
        <v>33</v>
      </c>
      <c r="D3215" s="1" t="s">
        <v>19</v>
      </c>
      <c r="E3215" s="1">
        <v>87112469.780000001</v>
      </c>
      <c r="F3215" s="1">
        <v>2799840.59</v>
      </c>
      <c r="G3215" s="1">
        <v>380378</v>
      </c>
      <c r="H3215" s="1">
        <v>229.01553129999999</v>
      </c>
    </row>
    <row r="3216" spans="1:8" ht="15.75" thickBot="1" x14ac:dyDescent="0.3">
      <c r="A3216" s="1">
        <v>2017</v>
      </c>
      <c r="B3216" s="1" t="s">
        <v>8</v>
      </c>
      <c r="C3216" s="1" t="s">
        <v>28</v>
      </c>
      <c r="D3216" s="1" t="s">
        <v>29</v>
      </c>
      <c r="E3216" s="1">
        <v>523.5</v>
      </c>
      <c r="F3216" s="1">
        <v>16.079999999999998</v>
      </c>
      <c r="G3216" s="1">
        <v>3</v>
      </c>
      <c r="H3216" s="1">
        <v>174.5</v>
      </c>
    </row>
    <row r="3217" spans="1:8" ht="15.75" thickBot="1" x14ac:dyDescent="0.3">
      <c r="A3217" s="1">
        <v>2017</v>
      </c>
      <c r="B3217" s="1" t="s">
        <v>20</v>
      </c>
      <c r="C3217" s="1" t="s">
        <v>33</v>
      </c>
      <c r="D3217" s="1" t="s">
        <v>10</v>
      </c>
      <c r="E3217" s="1">
        <v>1858006.61</v>
      </c>
      <c r="F3217" s="1">
        <v>81833.66</v>
      </c>
      <c r="G3217" s="1">
        <v>84713</v>
      </c>
      <c r="H3217" s="1">
        <v>21.93295728</v>
      </c>
    </row>
    <row r="3218" spans="1:8" ht="15.75" thickBot="1" x14ac:dyDescent="0.3">
      <c r="A3218" s="1">
        <v>2017</v>
      </c>
      <c r="B3218" s="1" t="s">
        <v>30</v>
      </c>
      <c r="C3218" s="1" t="s">
        <v>28</v>
      </c>
      <c r="D3218" s="1" t="s">
        <v>36</v>
      </c>
      <c r="E3218" s="1">
        <v>460372006.69999999</v>
      </c>
      <c r="F3218" s="1">
        <v>1974225.89</v>
      </c>
      <c r="G3218" s="1">
        <v>8410994</v>
      </c>
      <c r="H3218" s="1">
        <v>54.734554170000003</v>
      </c>
    </row>
    <row r="3219" spans="1:8" ht="15.75" thickBot="1" x14ac:dyDescent="0.3">
      <c r="A3219" s="1">
        <v>2017</v>
      </c>
      <c r="B3219" s="1" t="s">
        <v>16</v>
      </c>
      <c r="C3219" s="1" t="s">
        <v>15</v>
      </c>
      <c r="D3219" s="1" t="s">
        <v>13</v>
      </c>
      <c r="E3219" s="1">
        <v>2709413.33</v>
      </c>
      <c r="F3219" s="1">
        <v>89714.38</v>
      </c>
      <c r="G3219" s="1">
        <v>55990</v>
      </c>
      <c r="H3219" s="1">
        <v>48.391022149999998</v>
      </c>
    </row>
    <row r="3220" spans="1:8" ht="15.75" thickBot="1" x14ac:dyDescent="0.3">
      <c r="A3220" s="1">
        <v>2015</v>
      </c>
      <c r="B3220" s="1" t="s">
        <v>12</v>
      </c>
      <c r="C3220" s="1" t="s">
        <v>28</v>
      </c>
      <c r="D3220" s="1" t="s">
        <v>24</v>
      </c>
      <c r="E3220" s="1">
        <v>9798372.5099999998</v>
      </c>
      <c r="F3220" s="1">
        <v>295164.75</v>
      </c>
      <c r="G3220" s="1">
        <v>13745</v>
      </c>
      <c r="H3220" s="1">
        <v>712.86813459999996</v>
      </c>
    </row>
    <row r="3221" spans="1:8" ht="15.75" thickBot="1" x14ac:dyDescent="0.3">
      <c r="A3221" s="1">
        <v>2016</v>
      </c>
      <c r="B3221" s="1" t="s">
        <v>16</v>
      </c>
      <c r="C3221" s="1" t="s">
        <v>25</v>
      </c>
      <c r="D3221" s="1" t="s">
        <v>19</v>
      </c>
      <c r="E3221" s="1">
        <v>97760909.599999994</v>
      </c>
      <c r="F3221" s="1">
        <v>3088195.54</v>
      </c>
      <c r="G3221" s="1">
        <v>505849</v>
      </c>
      <c r="H3221" s="1">
        <v>193.26105140000001</v>
      </c>
    </row>
    <row r="3222" spans="1:8" ht="15.75" thickBot="1" x14ac:dyDescent="0.3">
      <c r="A3222" s="1">
        <v>2015</v>
      </c>
      <c r="B3222" s="1" t="s">
        <v>20</v>
      </c>
      <c r="C3222" s="1" t="s">
        <v>12</v>
      </c>
      <c r="D3222" s="1" t="s">
        <v>10</v>
      </c>
      <c r="E3222" s="1">
        <v>241699.64</v>
      </c>
      <c r="F3222" s="1">
        <v>9483.1299999999992</v>
      </c>
      <c r="G3222" s="1">
        <v>6977</v>
      </c>
      <c r="H3222" s="1">
        <v>34.642344850000001</v>
      </c>
    </row>
    <row r="3223" spans="1:8" ht="15.75" thickBot="1" x14ac:dyDescent="0.3">
      <c r="A3223" s="1">
        <v>2017</v>
      </c>
      <c r="B3223" s="1" t="s">
        <v>12</v>
      </c>
      <c r="C3223" s="1" t="s">
        <v>12</v>
      </c>
      <c r="D3223" s="1" t="s">
        <v>32</v>
      </c>
      <c r="E3223" s="1">
        <v>12681363.27</v>
      </c>
      <c r="F3223" s="1">
        <v>435993.96</v>
      </c>
      <c r="G3223" s="1">
        <v>197461</v>
      </c>
      <c r="H3223" s="1">
        <v>64.222116110000002</v>
      </c>
    </row>
    <row r="3224" spans="1:8" ht="15.75" thickBot="1" x14ac:dyDescent="0.3">
      <c r="A3224" s="1">
        <v>2014</v>
      </c>
      <c r="B3224" s="1" t="s">
        <v>35</v>
      </c>
      <c r="C3224" s="1" t="s">
        <v>25</v>
      </c>
      <c r="D3224" s="1" t="s">
        <v>27</v>
      </c>
      <c r="E3224" s="1">
        <v>33380.53</v>
      </c>
      <c r="F3224" s="1">
        <v>1337.54</v>
      </c>
      <c r="G3224" s="1">
        <v>638</v>
      </c>
      <c r="H3224" s="1">
        <v>52.320579940000002</v>
      </c>
    </row>
    <row r="3225" spans="1:8" ht="15.75" thickBot="1" x14ac:dyDescent="0.3">
      <c r="A3225" s="1">
        <v>2015</v>
      </c>
      <c r="B3225" s="1" t="s">
        <v>30</v>
      </c>
      <c r="C3225" s="1" t="s">
        <v>28</v>
      </c>
      <c r="D3225" s="1" t="s">
        <v>27</v>
      </c>
      <c r="E3225" s="1">
        <v>666010109.89999998</v>
      </c>
      <c r="F3225" s="1">
        <v>22576289.989999998</v>
      </c>
      <c r="G3225" s="1">
        <v>8104577</v>
      </c>
      <c r="H3225" s="1">
        <v>82.177035259999997</v>
      </c>
    </row>
    <row r="3226" spans="1:8" ht="15.75" thickBot="1" x14ac:dyDescent="0.3">
      <c r="A3226" s="1">
        <v>2015</v>
      </c>
      <c r="B3226" s="1" t="s">
        <v>11</v>
      </c>
      <c r="C3226" s="1" t="s">
        <v>33</v>
      </c>
      <c r="D3226" s="1" t="s">
        <v>27</v>
      </c>
      <c r="E3226" s="1">
        <v>357419587.30000001</v>
      </c>
      <c r="F3226" s="1">
        <v>10065369.119999999</v>
      </c>
      <c r="G3226" s="1">
        <v>4709464</v>
      </c>
      <c r="H3226" s="1">
        <v>75.893899450000006</v>
      </c>
    </row>
    <row r="3227" spans="1:8" ht="15.75" thickBot="1" x14ac:dyDescent="0.3">
      <c r="A3227" s="1">
        <v>2014</v>
      </c>
      <c r="B3227" s="1" t="s">
        <v>14</v>
      </c>
      <c r="C3227" s="1" t="s">
        <v>26</v>
      </c>
      <c r="D3227" s="1" t="s">
        <v>22</v>
      </c>
      <c r="E3227" s="1">
        <v>12911.97</v>
      </c>
      <c r="F3227" s="1">
        <v>485.9</v>
      </c>
      <c r="G3227" s="1">
        <v>1138</v>
      </c>
      <c r="H3227" s="1">
        <v>11.346195079999999</v>
      </c>
    </row>
    <row r="3228" spans="1:8" ht="15.75" thickBot="1" x14ac:dyDescent="0.3">
      <c r="A3228" s="1">
        <v>2014</v>
      </c>
      <c r="B3228" s="1" t="s">
        <v>40</v>
      </c>
      <c r="C3228" s="1" t="s">
        <v>26</v>
      </c>
      <c r="D3228" s="1" t="s">
        <v>19</v>
      </c>
      <c r="E3228" s="1">
        <v>18117.68</v>
      </c>
      <c r="F3228" s="1">
        <v>383.98</v>
      </c>
      <c r="G3228" s="1">
        <v>132</v>
      </c>
      <c r="H3228" s="1">
        <v>137.25515150000001</v>
      </c>
    </row>
    <row r="3229" spans="1:8" ht="15.75" thickBot="1" x14ac:dyDescent="0.3">
      <c r="A3229" s="1">
        <v>2015</v>
      </c>
      <c r="B3229" s="1" t="s">
        <v>17</v>
      </c>
      <c r="C3229" s="1" t="s">
        <v>15</v>
      </c>
      <c r="D3229" s="1" t="s">
        <v>13</v>
      </c>
      <c r="E3229" s="1">
        <v>122901.46</v>
      </c>
      <c r="F3229" s="1">
        <v>3739.44</v>
      </c>
      <c r="G3229" s="1">
        <v>2258</v>
      </c>
      <c r="H3229" s="1">
        <v>54.429344550000003</v>
      </c>
    </row>
    <row r="3230" spans="1:8" ht="15.75" thickBot="1" x14ac:dyDescent="0.3">
      <c r="A3230" s="1">
        <v>2014</v>
      </c>
      <c r="B3230" s="1" t="s">
        <v>11</v>
      </c>
      <c r="C3230" s="1" t="s">
        <v>12</v>
      </c>
      <c r="D3230" s="1" t="s">
        <v>31</v>
      </c>
      <c r="E3230" s="1">
        <v>9410791.7100000009</v>
      </c>
      <c r="F3230" s="1">
        <v>350473.84</v>
      </c>
      <c r="G3230" s="1">
        <v>385086</v>
      </c>
      <c r="H3230" s="1">
        <v>24.43815592</v>
      </c>
    </row>
    <row r="3231" spans="1:8" ht="15.75" thickBot="1" x14ac:dyDescent="0.3">
      <c r="A3231" s="1">
        <v>2014</v>
      </c>
      <c r="B3231" s="1" t="s">
        <v>17</v>
      </c>
      <c r="C3231" s="1" t="s">
        <v>26</v>
      </c>
      <c r="D3231" s="1" t="s">
        <v>24</v>
      </c>
      <c r="E3231" s="1">
        <v>20619851.07</v>
      </c>
      <c r="F3231" s="1">
        <v>680356.75</v>
      </c>
      <c r="G3231" s="1">
        <v>93261</v>
      </c>
      <c r="H3231" s="1">
        <v>221.09832700000001</v>
      </c>
    </row>
    <row r="3232" spans="1:8" ht="15.75" thickBot="1" x14ac:dyDescent="0.3">
      <c r="A3232" s="1">
        <v>2016</v>
      </c>
      <c r="B3232" s="1" t="s">
        <v>20</v>
      </c>
      <c r="C3232" s="1" t="s">
        <v>21</v>
      </c>
      <c r="D3232" s="1" t="s">
        <v>24</v>
      </c>
      <c r="E3232" s="1">
        <v>1309315.33</v>
      </c>
      <c r="F3232" s="1">
        <v>46004.46</v>
      </c>
      <c r="G3232" s="1">
        <v>14141</v>
      </c>
      <c r="H3232" s="1">
        <v>92.590009899999998</v>
      </c>
    </row>
    <row r="3233" spans="1:8" ht="15.75" thickBot="1" x14ac:dyDescent="0.3">
      <c r="A3233" s="1">
        <v>2014</v>
      </c>
      <c r="B3233" s="1" t="s">
        <v>14</v>
      </c>
      <c r="C3233" s="1" t="s">
        <v>9</v>
      </c>
      <c r="D3233" s="1" t="s">
        <v>24</v>
      </c>
      <c r="E3233" s="1">
        <v>78362.92</v>
      </c>
      <c r="F3233" s="1">
        <v>1434.72</v>
      </c>
      <c r="G3233" s="1">
        <v>1523</v>
      </c>
      <c r="H3233" s="1">
        <v>51.453000660000001</v>
      </c>
    </row>
    <row r="3234" spans="1:8" ht="15.75" thickBot="1" x14ac:dyDescent="0.3">
      <c r="A3234" s="1">
        <v>2017</v>
      </c>
      <c r="B3234" s="1" t="s">
        <v>17</v>
      </c>
      <c r="C3234" s="1" t="s">
        <v>12</v>
      </c>
      <c r="D3234" s="1" t="s">
        <v>10</v>
      </c>
      <c r="E3234" s="1">
        <v>37545712.619999997</v>
      </c>
      <c r="F3234" s="1">
        <v>1388270.53</v>
      </c>
      <c r="G3234" s="1">
        <v>737197</v>
      </c>
      <c r="H3234" s="1">
        <v>50.930365449999996</v>
      </c>
    </row>
    <row r="3235" spans="1:8" ht="15.75" thickBot="1" x14ac:dyDescent="0.3">
      <c r="A3235" s="1">
        <v>2017</v>
      </c>
      <c r="B3235" s="1" t="s">
        <v>16</v>
      </c>
      <c r="C3235" s="1" t="s">
        <v>28</v>
      </c>
      <c r="D3235" s="1" t="s">
        <v>24</v>
      </c>
      <c r="E3235" s="1">
        <v>148256509.5</v>
      </c>
      <c r="F3235" s="1">
        <v>4813056.2300000004</v>
      </c>
      <c r="G3235" s="1">
        <v>318467</v>
      </c>
      <c r="H3235" s="1">
        <v>465.5317804</v>
      </c>
    </row>
    <row r="3236" spans="1:8" ht="15.75" thickBot="1" x14ac:dyDescent="0.3">
      <c r="A3236" s="1">
        <v>2014</v>
      </c>
      <c r="B3236" s="1" t="s">
        <v>40</v>
      </c>
      <c r="C3236" s="1" t="s">
        <v>25</v>
      </c>
      <c r="D3236" s="1" t="s">
        <v>32</v>
      </c>
      <c r="E3236" s="1">
        <v>664.52</v>
      </c>
      <c r="F3236" s="1">
        <v>46.23</v>
      </c>
      <c r="G3236" s="1">
        <v>57</v>
      </c>
      <c r="H3236" s="1">
        <v>11.65824561</v>
      </c>
    </row>
    <row r="3237" spans="1:8" ht="15.75" thickBot="1" x14ac:dyDescent="0.3">
      <c r="A3237" s="1">
        <v>2017</v>
      </c>
      <c r="B3237" s="1" t="s">
        <v>16</v>
      </c>
      <c r="C3237" s="1" t="s">
        <v>9</v>
      </c>
      <c r="D3237" s="1" t="s">
        <v>10</v>
      </c>
      <c r="E3237" s="1">
        <v>22086678.93</v>
      </c>
      <c r="F3237" s="1">
        <v>787567.88</v>
      </c>
      <c r="G3237" s="1">
        <v>352286</v>
      </c>
      <c r="H3237" s="1">
        <v>62.695307020000001</v>
      </c>
    </row>
    <row r="3238" spans="1:8" ht="15.75" thickBot="1" x14ac:dyDescent="0.3">
      <c r="A3238" s="1">
        <v>2017</v>
      </c>
      <c r="B3238" s="1" t="s">
        <v>12</v>
      </c>
      <c r="C3238" s="1" t="s">
        <v>12</v>
      </c>
      <c r="D3238" s="1" t="s">
        <v>29</v>
      </c>
      <c r="E3238" s="1">
        <v>3789348.89</v>
      </c>
      <c r="F3238" s="1">
        <v>120714.27</v>
      </c>
      <c r="G3238" s="1">
        <v>10513</v>
      </c>
      <c r="H3238" s="1">
        <v>360.44410629999999</v>
      </c>
    </row>
    <row r="3239" spans="1:8" ht="15.75" thickBot="1" x14ac:dyDescent="0.3">
      <c r="A3239" s="1">
        <v>2016</v>
      </c>
      <c r="B3239" s="1" t="s">
        <v>30</v>
      </c>
      <c r="C3239" s="1" t="s">
        <v>9</v>
      </c>
      <c r="D3239" s="1" t="s">
        <v>29</v>
      </c>
      <c r="E3239" s="1">
        <v>108135.29</v>
      </c>
      <c r="F3239" s="1">
        <v>1426.81</v>
      </c>
      <c r="G3239" s="1">
        <v>939</v>
      </c>
      <c r="H3239" s="1">
        <v>115.16005319999999</v>
      </c>
    </row>
    <row r="3240" spans="1:8" ht="15.75" thickBot="1" x14ac:dyDescent="0.3">
      <c r="A3240" s="1">
        <v>2015</v>
      </c>
      <c r="B3240" s="1" t="s">
        <v>14</v>
      </c>
      <c r="C3240" s="1" t="s">
        <v>26</v>
      </c>
      <c r="D3240" s="1" t="s">
        <v>22</v>
      </c>
      <c r="E3240" s="1">
        <v>13236.69</v>
      </c>
      <c r="F3240" s="1">
        <v>376.09</v>
      </c>
      <c r="G3240" s="1">
        <v>755</v>
      </c>
      <c r="H3240" s="1">
        <v>17.532039739999998</v>
      </c>
    </row>
    <row r="3241" spans="1:8" ht="15.75" thickBot="1" x14ac:dyDescent="0.3">
      <c r="A3241" s="1">
        <v>2017</v>
      </c>
      <c r="B3241" s="1" t="s">
        <v>20</v>
      </c>
      <c r="C3241" s="1" t="s">
        <v>9</v>
      </c>
      <c r="D3241" s="1" t="s">
        <v>34</v>
      </c>
      <c r="E3241" s="1">
        <v>633.51</v>
      </c>
      <c r="F3241" s="1">
        <v>24.57</v>
      </c>
      <c r="G3241" s="1">
        <v>27</v>
      </c>
      <c r="H3241" s="1">
        <v>23.463333330000001</v>
      </c>
    </row>
    <row r="3242" spans="1:8" ht="15.75" thickBot="1" x14ac:dyDescent="0.3">
      <c r="A3242" s="1">
        <v>2015</v>
      </c>
      <c r="B3242" s="1" t="s">
        <v>16</v>
      </c>
      <c r="C3242" s="1" t="s">
        <v>9</v>
      </c>
      <c r="D3242" s="1" t="s">
        <v>13</v>
      </c>
      <c r="E3242" s="1">
        <v>1151.1300000000001</v>
      </c>
      <c r="F3242" s="1">
        <v>48.45</v>
      </c>
      <c r="G3242" s="1">
        <v>82</v>
      </c>
      <c r="H3242" s="1">
        <v>14.038170729999999</v>
      </c>
    </row>
    <row r="3243" spans="1:8" ht="15.75" thickBot="1" x14ac:dyDescent="0.3">
      <c r="A3243" s="1">
        <v>2014</v>
      </c>
      <c r="B3243" s="1" t="s">
        <v>12</v>
      </c>
      <c r="C3243" s="1" t="s">
        <v>9</v>
      </c>
      <c r="D3243" s="1" t="s">
        <v>24</v>
      </c>
      <c r="E3243" s="1">
        <v>6952.2</v>
      </c>
      <c r="F3243" s="1">
        <v>160.88</v>
      </c>
      <c r="G3243" s="1">
        <v>263</v>
      </c>
      <c r="H3243" s="1">
        <v>26.434220530000001</v>
      </c>
    </row>
    <row r="3244" spans="1:8" ht="15.75" thickBot="1" x14ac:dyDescent="0.3">
      <c r="A3244" s="1">
        <v>2017</v>
      </c>
      <c r="B3244" s="1" t="s">
        <v>8</v>
      </c>
      <c r="C3244" s="1" t="s">
        <v>25</v>
      </c>
      <c r="D3244" s="1" t="s">
        <v>13</v>
      </c>
      <c r="E3244" s="1">
        <v>230.04</v>
      </c>
      <c r="F3244" s="1">
        <v>10.85</v>
      </c>
      <c r="G3244" s="1">
        <v>15</v>
      </c>
      <c r="H3244" s="1">
        <v>15.336</v>
      </c>
    </row>
    <row r="3245" spans="1:8" ht="15.75" thickBot="1" x14ac:dyDescent="0.3">
      <c r="A3245" s="1">
        <v>2015</v>
      </c>
      <c r="B3245" s="1" t="s">
        <v>16</v>
      </c>
      <c r="C3245" s="1" t="s">
        <v>15</v>
      </c>
      <c r="D3245" s="1" t="s">
        <v>32</v>
      </c>
      <c r="E3245" s="1">
        <v>99213115.599999994</v>
      </c>
      <c r="F3245" s="1">
        <v>3605501.08</v>
      </c>
      <c r="G3245" s="1">
        <v>1475735</v>
      </c>
      <c r="H3245" s="1">
        <v>67.229628349999999</v>
      </c>
    </row>
    <row r="3246" spans="1:8" ht="15.75" thickBot="1" x14ac:dyDescent="0.3">
      <c r="A3246" s="1">
        <v>2014</v>
      </c>
      <c r="B3246" s="1" t="s">
        <v>11</v>
      </c>
      <c r="C3246" s="1" t="s">
        <v>33</v>
      </c>
      <c r="D3246" s="1" t="s">
        <v>10</v>
      </c>
      <c r="E3246" s="1">
        <v>171956152.5</v>
      </c>
      <c r="F3246" s="1">
        <v>3684097.74</v>
      </c>
      <c r="G3246" s="1">
        <v>2128116</v>
      </c>
      <c r="H3246" s="1">
        <v>80.802058009999996</v>
      </c>
    </row>
    <row r="3247" spans="1:8" ht="15.75" thickBot="1" x14ac:dyDescent="0.3">
      <c r="A3247" s="1">
        <v>2014</v>
      </c>
      <c r="B3247" s="1" t="s">
        <v>8</v>
      </c>
      <c r="C3247" s="1" t="s">
        <v>18</v>
      </c>
      <c r="D3247" s="1" t="s">
        <v>29</v>
      </c>
      <c r="E3247" s="1">
        <v>0</v>
      </c>
      <c r="F3247" s="1">
        <v>0</v>
      </c>
      <c r="G3247" s="1">
        <v>1</v>
      </c>
      <c r="H3247" s="1">
        <v>0</v>
      </c>
    </row>
    <row r="3248" spans="1:8" ht="15.75" thickBot="1" x14ac:dyDescent="0.3">
      <c r="A3248" s="1">
        <v>2016</v>
      </c>
      <c r="B3248" s="1" t="s">
        <v>30</v>
      </c>
      <c r="C3248" s="1" t="s">
        <v>18</v>
      </c>
      <c r="D3248" s="1" t="s">
        <v>29</v>
      </c>
      <c r="E3248" s="1">
        <v>5375819.7999999998</v>
      </c>
      <c r="F3248" s="1">
        <v>167508.31</v>
      </c>
      <c r="G3248" s="1">
        <v>20763</v>
      </c>
      <c r="H3248" s="1">
        <v>258.91344220000002</v>
      </c>
    </row>
    <row r="3249" spans="1:8" ht="15.75" thickBot="1" x14ac:dyDescent="0.3">
      <c r="A3249" s="1">
        <v>2017</v>
      </c>
      <c r="B3249" s="1" t="s">
        <v>14</v>
      </c>
      <c r="C3249" s="1" t="s">
        <v>23</v>
      </c>
      <c r="D3249" s="1" t="s">
        <v>10</v>
      </c>
      <c r="E3249" s="1">
        <v>6285585.3899999997</v>
      </c>
      <c r="F3249" s="1">
        <v>263812.49</v>
      </c>
      <c r="G3249" s="1">
        <v>183249</v>
      </c>
      <c r="H3249" s="1">
        <v>34.30078958</v>
      </c>
    </row>
    <row r="3250" spans="1:8" ht="15.75" thickBot="1" x14ac:dyDescent="0.3">
      <c r="A3250" s="1">
        <v>2016</v>
      </c>
      <c r="B3250" s="1" t="s">
        <v>14</v>
      </c>
      <c r="C3250" s="1" t="s">
        <v>12</v>
      </c>
      <c r="D3250" s="1" t="s">
        <v>13</v>
      </c>
      <c r="E3250" s="1">
        <v>697565.31</v>
      </c>
      <c r="F3250" s="1">
        <v>28144.03</v>
      </c>
      <c r="G3250" s="1">
        <v>30732</v>
      </c>
      <c r="H3250" s="1">
        <v>22.698337559999999</v>
      </c>
    </row>
    <row r="3251" spans="1:8" ht="15.75" thickBot="1" x14ac:dyDescent="0.3">
      <c r="A3251" s="1">
        <v>2017</v>
      </c>
      <c r="B3251" s="1" t="s">
        <v>16</v>
      </c>
      <c r="C3251" s="1" t="s">
        <v>25</v>
      </c>
      <c r="D3251" s="1" t="s">
        <v>27</v>
      </c>
      <c r="E3251" s="1">
        <v>710405068.39999998</v>
      </c>
      <c r="F3251" s="1">
        <v>28792824.559999999</v>
      </c>
      <c r="G3251" s="1">
        <v>16260642</v>
      </c>
      <c r="H3251" s="1">
        <v>43.688623630000002</v>
      </c>
    </row>
    <row r="3252" spans="1:8" ht="15.75" thickBot="1" x14ac:dyDescent="0.3">
      <c r="A3252" s="1">
        <v>2015</v>
      </c>
      <c r="B3252" s="1" t="s">
        <v>40</v>
      </c>
      <c r="C3252" s="1" t="s">
        <v>9</v>
      </c>
      <c r="D3252" s="1" t="s">
        <v>27</v>
      </c>
      <c r="E3252" s="1">
        <v>10424.15</v>
      </c>
      <c r="F3252" s="1">
        <v>384.69</v>
      </c>
      <c r="G3252" s="1">
        <v>118</v>
      </c>
      <c r="H3252" s="1">
        <v>88.340254239999993</v>
      </c>
    </row>
    <row r="3253" spans="1:8" ht="15.75" thickBot="1" x14ac:dyDescent="0.3">
      <c r="A3253" s="1">
        <v>2016</v>
      </c>
      <c r="B3253" s="1" t="s">
        <v>30</v>
      </c>
      <c r="C3253" s="1" t="s">
        <v>26</v>
      </c>
      <c r="D3253" s="1" t="s">
        <v>32</v>
      </c>
      <c r="E3253" s="1">
        <v>16015649.1</v>
      </c>
      <c r="F3253" s="1">
        <v>665609.97</v>
      </c>
      <c r="G3253" s="1">
        <v>457469</v>
      </c>
      <c r="H3253" s="1">
        <v>35.009255490000001</v>
      </c>
    </row>
    <row r="3254" spans="1:8" ht="15.75" thickBot="1" x14ac:dyDescent="0.3">
      <c r="A3254" s="1">
        <v>2014</v>
      </c>
      <c r="B3254" s="1" t="s">
        <v>35</v>
      </c>
      <c r="C3254" s="1" t="s">
        <v>28</v>
      </c>
      <c r="D3254" s="1" t="s">
        <v>13</v>
      </c>
      <c r="E3254" s="1">
        <v>-350.01</v>
      </c>
      <c r="F3254" s="1">
        <v>0</v>
      </c>
      <c r="G3254" s="1">
        <v>8</v>
      </c>
      <c r="H3254" s="1">
        <v>-43.751249999999999</v>
      </c>
    </row>
    <row r="3255" spans="1:8" ht="15.75" thickBot="1" x14ac:dyDescent="0.3">
      <c r="A3255" s="1">
        <v>2015</v>
      </c>
      <c r="B3255" s="1" t="s">
        <v>17</v>
      </c>
      <c r="C3255" s="1" t="s">
        <v>33</v>
      </c>
      <c r="D3255" s="1" t="s">
        <v>13</v>
      </c>
      <c r="E3255" s="1">
        <v>398563.38</v>
      </c>
      <c r="F3255" s="1">
        <v>12473.83</v>
      </c>
      <c r="G3255" s="1">
        <v>7549</v>
      </c>
      <c r="H3255" s="1">
        <v>52.796844620000002</v>
      </c>
    </row>
    <row r="3256" spans="1:8" ht="15.75" thickBot="1" x14ac:dyDescent="0.3">
      <c r="A3256" s="1">
        <v>2016</v>
      </c>
      <c r="B3256" s="1" t="s">
        <v>30</v>
      </c>
      <c r="C3256" s="1" t="s">
        <v>28</v>
      </c>
      <c r="D3256" s="1" t="s">
        <v>24</v>
      </c>
      <c r="E3256" s="1">
        <v>73042478.530000001</v>
      </c>
      <c r="F3256" s="1">
        <v>2248385.06</v>
      </c>
      <c r="G3256" s="1">
        <v>288025</v>
      </c>
      <c r="H3256" s="1">
        <v>253.5977034</v>
      </c>
    </row>
    <row r="3257" spans="1:8" ht="15.75" thickBot="1" x14ac:dyDescent="0.3">
      <c r="A3257" s="1">
        <v>2014</v>
      </c>
      <c r="B3257" s="1" t="s">
        <v>12</v>
      </c>
      <c r="C3257" s="1" t="s">
        <v>26</v>
      </c>
      <c r="D3257" s="1" t="s">
        <v>29</v>
      </c>
      <c r="E3257" s="1">
        <v>687446.36</v>
      </c>
      <c r="F3257" s="1">
        <v>22337.72</v>
      </c>
      <c r="G3257" s="1">
        <v>2771</v>
      </c>
      <c r="H3257" s="1">
        <v>248.08601949999999</v>
      </c>
    </row>
    <row r="3258" spans="1:8" ht="15.75" thickBot="1" x14ac:dyDescent="0.3">
      <c r="A3258" s="1">
        <v>2017</v>
      </c>
      <c r="B3258" s="1" t="s">
        <v>12</v>
      </c>
      <c r="C3258" s="1" t="s">
        <v>9</v>
      </c>
      <c r="D3258" s="1" t="s">
        <v>19</v>
      </c>
      <c r="E3258" s="1">
        <v>20913.22</v>
      </c>
      <c r="F3258" s="1">
        <v>633.33000000000004</v>
      </c>
      <c r="G3258" s="1">
        <v>2199</v>
      </c>
      <c r="H3258" s="1">
        <v>9.5103319689999992</v>
      </c>
    </row>
    <row r="3259" spans="1:8" ht="15.75" thickBot="1" x14ac:dyDescent="0.3">
      <c r="A3259" s="1">
        <v>2015</v>
      </c>
      <c r="B3259" s="1" t="s">
        <v>12</v>
      </c>
      <c r="C3259" s="1" t="s">
        <v>18</v>
      </c>
      <c r="D3259" s="1" t="s">
        <v>10</v>
      </c>
      <c r="E3259" s="1">
        <v>894418.13</v>
      </c>
      <c r="F3259" s="1">
        <v>22702.51</v>
      </c>
      <c r="G3259" s="1">
        <v>9949</v>
      </c>
      <c r="H3259" s="1">
        <v>89.900304550000001</v>
      </c>
    </row>
    <row r="3260" spans="1:8" ht="15.75" thickBot="1" x14ac:dyDescent="0.3">
      <c r="A3260" s="1">
        <v>2017</v>
      </c>
      <c r="B3260" s="1" t="s">
        <v>14</v>
      </c>
      <c r="C3260" s="1" t="s">
        <v>9</v>
      </c>
      <c r="D3260" s="1" t="s">
        <v>34</v>
      </c>
      <c r="E3260" s="1">
        <v>89.98</v>
      </c>
      <c r="F3260" s="1">
        <v>7.32</v>
      </c>
      <c r="G3260" s="1">
        <v>59</v>
      </c>
      <c r="H3260" s="1">
        <v>1.5250847460000001</v>
      </c>
    </row>
    <row r="3261" spans="1:8" ht="15.75" thickBot="1" x14ac:dyDescent="0.3">
      <c r="A3261" s="1">
        <v>2015</v>
      </c>
      <c r="B3261" s="1" t="s">
        <v>20</v>
      </c>
      <c r="C3261" s="1" t="s">
        <v>18</v>
      </c>
      <c r="D3261" s="1" t="s">
        <v>10</v>
      </c>
      <c r="E3261" s="1">
        <v>82499.23</v>
      </c>
      <c r="F3261" s="1">
        <v>3131.96</v>
      </c>
      <c r="G3261" s="1">
        <v>2109</v>
      </c>
      <c r="H3261" s="1">
        <v>39.117700329999998</v>
      </c>
    </row>
    <row r="3262" spans="1:8" ht="15.75" thickBot="1" x14ac:dyDescent="0.3">
      <c r="A3262" s="1">
        <v>2016</v>
      </c>
      <c r="B3262" s="1" t="s">
        <v>16</v>
      </c>
      <c r="C3262" s="1" t="s">
        <v>18</v>
      </c>
      <c r="D3262" s="1" t="s">
        <v>19</v>
      </c>
      <c r="E3262" s="1">
        <v>12548729.550000001</v>
      </c>
      <c r="F3262" s="1">
        <v>406467.67</v>
      </c>
      <c r="G3262" s="1">
        <v>55404</v>
      </c>
      <c r="H3262" s="1">
        <v>226.49501029999999</v>
      </c>
    </row>
    <row r="3263" spans="1:8" ht="15.75" thickBot="1" x14ac:dyDescent="0.3">
      <c r="A3263" s="1">
        <v>2014</v>
      </c>
      <c r="B3263" s="1" t="s">
        <v>17</v>
      </c>
      <c r="C3263" s="1" t="s">
        <v>9</v>
      </c>
      <c r="D3263" s="1" t="s">
        <v>27</v>
      </c>
      <c r="E3263" s="1">
        <v>79205533.799999997</v>
      </c>
      <c r="F3263" s="1">
        <v>2502496.04</v>
      </c>
      <c r="G3263" s="1">
        <v>873835</v>
      </c>
      <c r="H3263" s="1">
        <v>90.641292460000003</v>
      </c>
    </row>
    <row r="3264" spans="1:8" ht="15.75" thickBot="1" x14ac:dyDescent="0.3">
      <c r="A3264" s="1">
        <v>2014</v>
      </c>
      <c r="B3264" s="1" t="s">
        <v>16</v>
      </c>
      <c r="C3264" s="1" t="s">
        <v>26</v>
      </c>
      <c r="D3264" s="1" t="s">
        <v>10</v>
      </c>
      <c r="E3264" s="1">
        <v>5682364.4699999997</v>
      </c>
      <c r="F3264" s="1">
        <v>198726.3</v>
      </c>
      <c r="G3264" s="1">
        <v>100284</v>
      </c>
      <c r="H3264" s="1">
        <v>56.66272257</v>
      </c>
    </row>
    <row r="3265" spans="1:8" ht="15.75" thickBot="1" x14ac:dyDescent="0.3">
      <c r="A3265" s="1">
        <v>2017</v>
      </c>
      <c r="B3265" s="1" t="s">
        <v>20</v>
      </c>
      <c r="C3265" s="1" t="s">
        <v>18</v>
      </c>
      <c r="D3265" s="1" t="s">
        <v>10</v>
      </c>
      <c r="E3265" s="1">
        <v>352521.73</v>
      </c>
      <c r="F3265" s="1">
        <v>14301.5</v>
      </c>
      <c r="G3265" s="1">
        <v>12826</v>
      </c>
      <c r="H3265" s="1">
        <v>27.48493139</v>
      </c>
    </row>
    <row r="3266" spans="1:8" ht="15.75" thickBot="1" x14ac:dyDescent="0.3">
      <c r="A3266" s="1">
        <v>2017</v>
      </c>
      <c r="B3266" s="1" t="s">
        <v>12</v>
      </c>
      <c r="C3266" s="1" t="s">
        <v>18</v>
      </c>
      <c r="D3266" s="1" t="s">
        <v>29</v>
      </c>
      <c r="E3266" s="1">
        <v>1865193.59</v>
      </c>
      <c r="F3266" s="1">
        <v>55910.55</v>
      </c>
      <c r="G3266" s="1">
        <v>4264</v>
      </c>
      <c r="H3266" s="1">
        <v>437.42814019999997</v>
      </c>
    </row>
    <row r="3267" spans="1:8" ht="15.75" thickBot="1" x14ac:dyDescent="0.3">
      <c r="A3267" s="1">
        <v>2015</v>
      </c>
      <c r="B3267" s="1" t="s">
        <v>16</v>
      </c>
      <c r="C3267" s="1" t="s">
        <v>15</v>
      </c>
      <c r="D3267" s="1" t="s">
        <v>10</v>
      </c>
      <c r="E3267" s="1">
        <v>11619145.949999999</v>
      </c>
      <c r="F3267" s="1">
        <v>421417.25</v>
      </c>
      <c r="G3267" s="1">
        <v>194333</v>
      </c>
      <c r="H3267" s="1">
        <v>59.789875879999997</v>
      </c>
    </row>
    <row r="3268" spans="1:8" ht="15.75" thickBot="1" x14ac:dyDescent="0.3">
      <c r="A3268" s="1">
        <v>2015</v>
      </c>
      <c r="B3268" s="1" t="s">
        <v>30</v>
      </c>
      <c r="C3268" s="1" t="s">
        <v>21</v>
      </c>
      <c r="D3268" s="1" t="s">
        <v>27</v>
      </c>
      <c r="E3268" s="1">
        <v>690296076.60000002</v>
      </c>
      <c r="F3268" s="1">
        <v>24917269.550000001</v>
      </c>
      <c r="G3268" s="1">
        <v>10920198</v>
      </c>
      <c r="H3268" s="1">
        <v>63.212780260000002</v>
      </c>
    </row>
    <row r="3269" spans="1:8" ht="15.75" thickBot="1" x14ac:dyDescent="0.3">
      <c r="A3269" s="1">
        <v>2016</v>
      </c>
      <c r="B3269" s="1" t="s">
        <v>20</v>
      </c>
      <c r="C3269" s="1" t="s">
        <v>21</v>
      </c>
      <c r="D3269" s="1" t="s">
        <v>13</v>
      </c>
      <c r="E3269" s="1">
        <v>112707.44</v>
      </c>
      <c r="F3269" s="1">
        <v>3155.2</v>
      </c>
      <c r="G3269" s="1">
        <v>2770</v>
      </c>
      <c r="H3269" s="1">
        <v>40.688606499999999</v>
      </c>
    </row>
    <row r="3270" spans="1:8" ht="15.75" thickBot="1" x14ac:dyDescent="0.3">
      <c r="A3270" s="1">
        <v>2017</v>
      </c>
      <c r="B3270" s="1" t="s">
        <v>30</v>
      </c>
      <c r="C3270" s="1" t="s">
        <v>15</v>
      </c>
      <c r="D3270" s="1" t="s">
        <v>32</v>
      </c>
      <c r="E3270" s="1">
        <v>28558035.09</v>
      </c>
      <c r="F3270" s="1">
        <v>1051762.18</v>
      </c>
      <c r="G3270" s="1">
        <v>518446</v>
      </c>
      <c r="H3270" s="1">
        <v>55.083914409999998</v>
      </c>
    </row>
    <row r="3271" spans="1:8" ht="15.75" thickBot="1" x14ac:dyDescent="0.3">
      <c r="A3271" s="1">
        <v>2014</v>
      </c>
      <c r="B3271" s="1" t="s">
        <v>17</v>
      </c>
      <c r="C3271" s="1" t="s">
        <v>33</v>
      </c>
      <c r="D3271" s="1" t="s">
        <v>24</v>
      </c>
      <c r="E3271" s="1">
        <v>24009401.710000001</v>
      </c>
      <c r="F3271" s="1">
        <v>788488.81</v>
      </c>
      <c r="G3271" s="1">
        <v>110428</v>
      </c>
      <c r="H3271" s="1">
        <v>217.42132169999999</v>
      </c>
    </row>
    <row r="3272" spans="1:8" ht="15.75" thickBot="1" x14ac:dyDescent="0.3">
      <c r="A3272" s="1">
        <v>2015</v>
      </c>
      <c r="B3272" s="1" t="s">
        <v>8</v>
      </c>
      <c r="C3272" s="1" t="s">
        <v>23</v>
      </c>
      <c r="D3272" s="1" t="s">
        <v>32</v>
      </c>
      <c r="E3272" s="1">
        <v>923.48</v>
      </c>
      <c r="F3272" s="1">
        <v>36.090000000000003</v>
      </c>
      <c r="G3272" s="1">
        <v>26</v>
      </c>
      <c r="H3272" s="1">
        <v>35.518461539999997</v>
      </c>
    </row>
    <row r="3273" spans="1:8" ht="15.75" thickBot="1" x14ac:dyDescent="0.3">
      <c r="A3273" s="1">
        <v>2016</v>
      </c>
      <c r="B3273" s="1" t="s">
        <v>14</v>
      </c>
      <c r="C3273" s="1" t="s">
        <v>15</v>
      </c>
      <c r="D3273" s="1" t="s">
        <v>31</v>
      </c>
      <c r="E3273" s="1">
        <v>921301.82</v>
      </c>
      <c r="F3273" s="1">
        <v>35978.410000000003</v>
      </c>
      <c r="G3273" s="1">
        <v>21168</v>
      </c>
      <c r="H3273" s="1">
        <v>43.52332861</v>
      </c>
    </row>
    <row r="3274" spans="1:8" ht="15.75" thickBot="1" x14ac:dyDescent="0.3">
      <c r="A3274" s="1">
        <v>2016</v>
      </c>
      <c r="B3274" s="1" t="s">
        <v>40</v>
      </c>
      <c r="C3274" s="1" t="s">
        <v>28</v>
      </c>
      <c r="D3274" s="1" t="s">
        <v>36</v>
      </c>
      <c r="E3274" s="1">
        <v>234365.76</v>
      </c>
      <c r="F3274" s="1">
        <v>761.16</v>
      </c>
      <c r="G3274" s="1">
        <v>4274</v>
      </c>
      <c r="H3274" s="1">
        <v>54.835226949999999</v>
      </c>
    </row>
    <row r="3275" spans="1:8" ht="15.75" thickBot="1" x14ac:dyDescent="0.3">
      <c r="A3275" s="1">
        <v>2016</v>
      </c>
      <c r="B3275" s="1" t="s">
        <v>12</v>
      </c>
      <c r="C3275" s="1" t="s">
        <v>9</v>
      </c>
      <c r="D3275" s="1" t="s">
        <v>29</v>
      </c>
      <c r="E3275" s="1">
        <v>4744038.75</v>
      </c>
      <c r="F3275" s="1">
        <v>146212.69</v>
      </c>
      <c r="G3275" s="1">
        <v>14175</v>
      </c>
      <c r="H3275" s="1">
        <v>334.67645499999998</v>
      </c>
    </row>
    <row r="3276" spans="1:8" ht="15.75" thickBot="1" x14ac:dyDescent="0.3">
      <c r="A3276" s="1">
        <v>2014</v>
      </c>
      <c r="B3276" s="1" t="s">
        <v>12</v>
      </c>
      <c r="C3276" s="1" t="s">
        <v>9</v>
      </c>
      <c r="D3276" s="1" t="s">
        <v>31</v>
      </c>
      <c r="E3276" s="1">
        <v>361.24</v>
      </c>
      <c r="F3276" s="1">
        <v>10.19</v>
      </c>
      <c r="G3276" s="1">
        <v>97</v>
      </c>
      <c r="H3276" s="1">
        <v>3.7241237109999998</v>
      </c>
    </row>
    <row r="3277" spans="1:8" ht="15.75" thickBot="1" x14ac:dyDescent="0.3">
      <c r="A3277" s="1">
        <v>2014</v>
      </c>
      <c r="B3277" s="1" t="s">
        <v>12</v>
      </c>
      <c r="C3277" s="1" t="s">
        <v>12</v>
      </c>
      <c r="D3277" s="1" t="s">
        <v>24</v>
      </c>
      <c r="E3277" s="1">
        <v>3602049.84</v>
      </c>
      <c r="F3277" s="1">
        <v>114024.72</v>
      </c>
      <c r="G3277" s="1">
        <v>10179</v>
      </c>
      <c r="H3277" s="1">
        <v>353.8706985</v>
      </c>
    </row>
    <row r="3278" spans="1:8" ht="15.75" thickBot="1" x14ac:dyDescent="0.3">
      <c r="A3278" s="1">
        <v>2015</v>
      </c>
      <c r="B3278" s="1" t="s">
        <v>11</v>
      </c>
      <c r="C3278" s="1" t="s">
        <v>12</v>
      </c>
      <c r="D3278" s="1" t="s">
        <v>27</v>
      </c>
      <c r="E3278" s="1">
        <v>178931874.90000001</v>
      </c>
      <c r="F3278" s="1">
        <v>5401055.96</v>
      </c>
      <c r="G3278" s="1">
        <v>2313726</v>
      </c>
      <c r="H3278" s="1">
        <v>77.334945840000003</v>
      </c>
    </row>
    <row r="3279" spans="1:8" ht="15.75" thickBot="1" x14ac:dyDescent="0.3">
      <c r="A3279" s="1">
        <v>2017</v>
      </c>
      <c r="B3279" s="1" t="s">
        <v>11</v>
      </c>
      <c r="C3279" s="1" t="s">
        <v>33</v>
      </c>
      <c r="D3279" s="1" t="s">
        <v>34</v>
      </c>
      <c r="E3279" s="1">
        <v>1131392.93</v>
      </c>
      <c r="F3279" s="1">
        <v>26973.08</v>
      </c>
      <c r="G3279" s="1">
        <v>24937</v>
      </c>
      <c r="H3279" s="1">
        <v>45.370049729999998</v>
      </c>
    </row>
    <row r="3280" spans="1:8" ht="15.75" thickBot="1" x14ac:dyDescent="0.3">
      <c r="A3280" s="1">
        <v>2015</v>
      </c>
      <c r="B3280" s="1" t="s">
        <v>40</v>
      </c>
      <c r="C3280" s="1" t="s">
        <v>12</v>
      </c>
      <c r="D3280" s="1" t="s">
        <v>13</v>
      </c>
      <c r="E3280" s="1">
        <v>596.9</v>
      </c>
      <c r="F3280" s="1">
        <v>2.2599999999999998</v>
      </c>
      <c r="G3280" s="1">
        <v>21</v>
      </c>
      <c r="H3280" s="1">
        <v>28.423809519999999</v>
      </c>
    </row>
    <row r="3281" spans="1:8" ht="15.75" thickBot="1" x14ac:dyDescent="0.3">
      <c r="A3281" s="1">
        <v>2014</v>
      </c>
      <c r="B3281" s="1" t="s">
        <v>16</v>
      </c>
      <c r="C3281" s="1" t="s">
        <v>33</v>
      </c>
      <c r="D3281" s="1" t="s">
        <v>29</v>
      </c>
      <c r="E3281" s="1">
        <v>15767543.17</v>
      </c>
      <c r="F3281" s="1">
        <v>521981.62</v>
      </c>
      <c r="G3281" s="1">
        <v>60044</v>
      </c>
      <c r="H3281" s="1">
        <v>262.59981299999998</v>
      </c>
    </row>
    <row r="3282" spans="1:8" ht="15.75" thickBot="1" x14ac:dyDescent="0.3">
      <c r="A3282" s="1">
        <v>2016</v>
      </c>
      <c r="B3282" s="1" t="s">
        <v>35</v>
      </c>
      <c r="C3282" s="1" t="s">
        <v>33</v>
      </c>
      <c r="D3282" s="1" t="s">
        <v>29</v>
      </c>
      <c r="E3282" s="1">
        <v>4218.16</v>
      </c>
      <c r="F3282" s="1">
        <v>100.19</v>
      </c>
      <c r="G3282" s="1">
        <v>35</v>
      </c>
      <c r="H3282" s="1">
        <v>120.51885710000001</v>
      </c>
    </row>
    <row r="3283" spans="1:8" ht="15.75" thickBot="1" x14ac:dyDescent="0.3">
      <c r="A3283" s="1">
        <v>2017</v>
      </c>
      <c r="B3283" s="1" t="s">
        <v>14</v>
      </c>
      <c r="C3283" s="1" t="s">
        <v>21</v>
      </c>
      <c r="D3283" s="1" t="s">
        <v>13</v>
      </c>
      <c r="E3283" s="1">
        <v>7298095.5499999998</v>
      </c>
      <c r="F3283" s="1">
        <v>256269.65</v>
      </c>
      <c r="G3283" s="1">
        <v>251396</v>
      </c>
      <c r="H3283" s="1">
        <v>29.030277130000002</v>
      </c>
    </row>
    <row r="3284" spans="1:8" ht="15.75" thickBot="1" x14ac:dyDescent="0.3">
      <c r="A3284" s="1">
        <v>2014</v>
      </c>
      <c r="B3284" s="1" t="s">
        <v>16</v>
      </c>
      <c r="C3284" s="1" t="s">
        <v>25</v>
      </c>
      <c r="D3284" s="1" t="s">
        <v>13</v>
      </c>
      <c r="E3284" s="1">
        <v>83137.399999999994</v>
      </c>
      <c r="F3284" s="1">
        <v>2716.92</v>
      </c>
      <c r="G3284" s="1">
        <v>1267</v>
      </c>
      <c r="H3284" s="1">
        <v>65.617521699999998</v>
      </c>
    </row>
    <row r="3285" spans="1:8" ht="15.75" thickBot="1" x14ac:dyDescent="0.3">
      <c r="A3285" s="1">
        <v>2015</v>
      </c>
      <c r="B3285" s="1" t="s">
        <v>14</v>
      </c>
      <c r="C3285" s="1" t="s">
        <v>9</v>
      </c>
      <c r="D3285" s="1" t="s">
        <v>13</v>
      </c>
      <c r="E3285" s="1">
        <v>2.98</v>
      </c>
      <c r="F3285" s="1">
        <v>0.39</v>
      </c>
      <c r="G3285" s="1">
        <v>1</v>
      </c>
      <c r="H3285" s="1">
        <v>2.98</v>
      </c>
    </row>
    <row r="3286" spans="1:8" ht="15.75" thickBot="1" x14ac:dyDescent="0.3">
      <c r="A3286" s="1">
        <v>2017</v>
      </c>
      <c r="B3286" s="1" t="s">
        <v>35</v>
      </c>
      <c r="C3286" s="1" t="s">
        <v>9</v>
      </c>
      <c r="D3286" s="1" t="s">
        <v>34</v>
      </c>
      <c r="E3286" s="1">
        <v>0</v>
      </c>
      <c r="F3286" s="1">
        <v>0</v>
      </c>
      <c r="G3286" s="1">
        <v>1</v>
      </c>
      <c r="H3286" s="1">
        <v>0</v>
      </c>
    </row>
    <row r="3287" spans="1:8" ht="15.75" thickBot="1" x14ac:dyDescent="0.3">
      <c r="A3287" s="1">
        <v>2016</v>
      </c>
      <c r="B3287" s="1" t="s">
        <v>12</v>
      </c>
      <c r="C3287" s="1" t="s">
        <v>15</v>
      </c>
      <c r="D3287" s="1" t="s">
        <v>31</v>
      </c>
      <c r="E3287" s="1">
        <v>286589.56</v>
      </c>
      <c r="F3287" s="1">
        <v>9067.6299999999992</v>
      </c>
      <c r="G3287" s="1">
        <v>5294</v>
      </c>
      <c r="H3287" s="1">
        <v>54.134786550000001</v>
      </c>
    </row>
    <row r="3288" spans="1:8" ht="15.75" thickBot="1" x14ac:dyDescent="0.3">
      <c r="A3288" s="1">
        <v>2015</v>
      </c>
      <c r="B3288" s="1" t="s">
        <v>16</v>
      </c>
      <c r="C3288" s="1" t="s">
        <v>33</v>
      </c>
      <c r="D3288" s="1" t="s">
        <v>29</v>
      </c>
      <c r="E3288" s="1">
        <v>23970018.16</v>
      </c>
      <c r="F3288" s="1">
        <v>808640.98</v>
      </c>
      <c r="G3288" s="1">
        <v>87813</v>
      </c>
      <c r="H3288" s="1">
        <v>272.96662409999999</v>
      </c>
    </row>
    <row r="3289" spans="1:8" ht="15.75" thickBot="1" x14ac:dyDescent="0.3">
      <c r="A3289" s="1">
        <v>2017</v>
      </c>
      <c r="B3289" s="1" t="s">
        <v>35</v>
      </c>
      <c r="C3289" s="1" t="s">
        <v>25</v>
      </c>
      <c r="D3289" s="1" t="s">
        <v>34</v>
      </c>
      <c r="E3289" s="1">
        <v>0</v>
      </c>
      <c r="F3289" s="1">
        <v>0</v>
      </c>
      <c r="G3289" s="1">
        <v>4</v>
      </c>
      <c r="H3289" s="1">
        <v>0</v>
      </c>
    </row>
    <row r="3290" spans="1:8" ht="15.75" thickBot="1" x14ac:dyDescent="0.3">
      <c r="A3290" s="1">
        <v>2016</v>
      </c>
      <c r="B3290" s="1" t="s">
        <v>11</v>
      </c>
      <c r="C3290" s="1" t="s">
        <v>26</v>
      </c>
      <c r="D3290" s="1" t="s">
        <v>31</v>
      </c>
      <c r="E3290" s="1">
        <v>25826992.350000001</v>
      </c>
      <c r="F3290" s="1">
        <v>774608.29</v>
      </c>
      <c r="G3290" s="1">
        <v>560431</v>
      </c>
      <c r="H3290" s="1">
        <v>46.084160850000004</v>
      </c>
    </row>
    <row r="3291" spans="1:8" ht="15.75" thickBot="1" x14ac:dyDescent="0.3">
      <c r="A3291" s="1">
        <v>2014</v>
      </c>
      <c r="B3291" s="1" t="s">
        <v>20</v>
      </c>
      <c r="C3291" s="1" t="s">
        <v>23</v>
      </c>
      <c r="D3291" s="1" t="s">
        <v>13</v>
      </c>
      <c r="E3291" s="1">
        <v>2994.18</v>
      </c>
      <c r="F3291" s="1">
        <v>197.94</v>
      </c>
      <c r="G3291" s="1">
        <v>10122</v>
      </c>
      <c r="H3291" s="1">
        <v>0.29580912860000003</v>
      </c>
    </row>
    <row r="3292" spans="1:8" ht="15.75" thickBot="1" x14ac:dyDescent="0.3">
      <c r="A3292" s="1">
        <v>2017</v>
      </c>
      <c r="B3292" s="1" t="s">
        <v>20</v>
      </c>
      <c r="C3292" s="1" t="s">
        <v>25</v>
      </c>
      <c r="D3292" s="1" t="s">
        <v>27</v>
      </c>
      <c r="E3292" s="1">
        <v>8847555.6899999995</v>
      </c>
      <c r="F3292" s="1">
        <v>358146.53</v>
      </c>
      <c r="G3292" s="1">
        <v>272682</v>
      </c>
      <c r="H3292" s="1">
        <v>32.446423639999999</v>
      </c>
    </row>
    <row r="3293" spans="1:8" ht="15.75" thickBot="1" x14ac:dyDescent="0.3">
      <c r="A3293" s="1">
        <v>2015</v>
      </c>
      <c r="B3293" s="1" t="s">
        <v>11</v>
      </c>
      <c r="C3293" s="1" t="s">
        <v>25</v>
      </c>
      <c r="D3293" s="1" t="s">
        <v>31</v>
      </c>
      <c r="E3293" s="1">
        <v>25103666.09</v>
      </c>
      <c r="F3293" s="1">
        <v>742947.3</v>
      </c>
      <c r="G3293" s="1">
        <v>511653</v>
      </c>
      <c r="H3293" s="1">
        <v>49.063850090000003</v>
      </c>
    </row>
    <row r="3294" spans="1:8" ht="15.75" thickBot="1" x14ac:dyDescent="0.3">
      <c r="A3294" s="1">
        <v>2016</v>
      </c>
      <c r="B3294" s="1" t="s">
        <v>8</v>
      </c>
      <c r="C3294" s="1" t="s">
        <v>23</v>
      </c>
      <c r="D3294" s="1" t="s">
        <v>27</v>
      </c>
      <c r="E3294" s="1">
        <v>17114.57</v>
      </c>
      <c r="F3294" s="1">
        <v>811.76</v>
      </c>
      <c r="G3294" s="1">
        <v>971</v>
      </c>
      <c r="H3294" s="1">
        <v>17.625715759999999</v>
      </c>
    </row>
    <row r="3295" spans="1:8" ht="15.75" thickBot="1" x14ac:dyDescent="0.3">
      <c r="A3295" s="1">
        <v>2017</v>
      </c>
      <c r="B3295" s="1" t="s">
        <v>20</v>
      </c>
      <c r="C3295" s="1" t="s">
        <v>28</v>
      </c>
      <c r="D3295" s="1" t="s">
        <v>32</v>
      </c>
      <c r="E3295" s="1">
        <v>4296205.59</v>
      </c>
      <c r="F3295" s="1">
        <v>174793.60000000001</v>
      </c>
      <c r="G3295" s="1">
        <v>256545</v>
      </c>
      <c r="H3295" s="1">
        <v>16.74640157</v>
      </c>
    </row>
    <row r="3296" spans="1:8" ht="15.75" thickBot="1" x14ac:dyDescent="0.3">
      <c r="A3296" s="1">
        <v>2017</v>
      </c>
      <c r="B3296" s="1" t="s">
        <v>14</v>
      </c>
      <c r="C3296" s="1" t="s">
        <v>26</v>
      </c>
      <c r="D3296" s="1" t="s">
        <v>29</v>
      </c>
      <c r="E3296" s="1">
        <v>9639219.9000000004</v>
      </c>
      <c r="F3296" s="1">
        <v>344115.20000000001</v>
      </c>
      <c r="G3296" s="1">
        <v>82303</v>
      </c>
      <c r="H3296" s="1">
        <v>117.1186943</v>
      </c>
    </row>
    <row r="3297" spans="1:8" ht="15.75" thickBot="1" x14ac:dyDescent="0.3">
      <c r="A3297" s="1">
        <v>2014</v>
      </c>
      <c r="B3297" s="1" t="s">
        <v>20</v>
      </c>
      <c r="C3297" s="1" t="s">
        <v>26</v>
      </c>
      <c r="D3297" s="1" t="s">
        <v>19</v>
      </c>
      <c r="E3297" s="1">
        <v>1982233.6000000001</v>
      </c>
      <c r="F3297" s="1">
        <v>71898.820000000007</v>
      </c>
      <c r="G3297" s="1">
        <v>35830</v>
      </c>
      <c r="H3297" s="1">
        <v>55.323293329999998</v>
      </c>
    </row>
    <row r="3298" spans="1:8" ht="15.75" thickBot="1" x14ac:dyDescent="0.3">
      <c r="A3298" s="1">
        <v>2016</v>
      </c>
      <c r="B3298" s="1" t="s">
        <v>30</v>
      </c>
      <c r="C3298" s="1" t="s">
        <v>21</v>
      </c>
      <c r="D3298" s="1" t="s">
        <v>19</v>
      </c>
      <c r="E3298" s="1">
        <v>317864166</v>
      </c>
      <c r="F3298" s="1">
        <v>7801117.4299999997</v>
      </c>
      <c r="G3298" s="1">
        <v>2201372</v>
      </c>
      <c r="H3298" s="1">
        <v>144.39366269999999</v>
      </c>
    </row>
    <row r="3299" spans="1:8" ht="15.75" thickBot="1" x14ac:dyDescent="0.3">
      <c r="A3299" s="1">
        <v>2016</v>
      </c>
      <c r="B3299" s="1" t="s">
        <v>12</v>
      </c>
      <c r="C3299" s="1" t="s">
        <v>25</v>
      </c>
      <c r="D3299" s="1" t="s">
        <v>13</v>
      </c>
      <c r="E3299" s="1">
        <v>167635.95000000001</v>
      </c>
      <c r="F3299" s="1">
        <v>5824.12</v>
      </c>
      <c r="G3299" s="1">
        <v>4895</v>
      </c>
      <c r="H3299" s="1">
        <v>34.246363639999998</v>
      </c>
    </row>
    <row r="3300" spans="1:8" ht="15.75" thickBot="1" x14ac:dyDescent="0.3">
      <c r="A3300" s="1">
        <v>2017</v>
      </c>
      <c r="B3300" s="1" t="s">
        <v>20</v>
      </c>
      <c r="C3300" s="1" t="s">
        <v>28</v>
      </c>
      <c r="D3300" s="1" t="s">
        <v>34</v>
      </c>
      <c r="E3300" s="1">
        <v>189003.56</v>
      </c>
      <c r="F3300" s="1">
        <v>367.55</v>
      </c>
      <c r="G3300" s="1">
        <v>3064</v>
      </c>
      <c r="H3300" s="1">
        <v>61.685234989999998</v>
      </c>
    </row>
    <row r="3301" spans="1:8" ht="15.75" thickBot="1" x14ac:dyDescent="0.3">
      <c r="A3301" s="1">
        <v>2017</v>
      </c>
      <c r="B3301" s="1" t="s">
        <v>12</v>
      </c>
      <c r="C3301" s="1" t="s">
        <v>15</v>
      </c>
      <c r="D3301" s="1" t="s">
        <v>27</v>
      </c>
      <c r="E3301" s="1">
        <v>5705729</v>
      </c>
      <c r="F3301" s="1">
        <v>213866.7</v>
      </c>
      <c r="G3301" s="1">
        <v>108203</v>
      </c>
      <c r="H3301" s="1">
        <v>52.731707989999997</v>
      </c>
    </row>
    <row r="3302" spans="1:8" ht="15.75" thickBot="1" x14ac:dyDescent="0.3">
      <c r="A3302" s="1">
        <v>2016</v>
      </c>
      <c r="B3302" s="1" t="s">
        <v>12</v>
      </c>
      <c r="C3302" s="1" t="s">
        <v>33</v>
      </c>
      <c r="D3302" s="1" t="s">
        <v>24</v>
      </c>
      <c r="E3302" s="1">
        <v>4574308.37</v>
      </c>
      <c r="F3302" s="1">
        <v>142797.19</v>
      </c>
      <c r="G3302" s="1">
        <v>12449</v>
      </c>
      <c r="H3302" s="1">
        <v>367.44384050000002</v>
      </c>
    </row>
    <row r="3303" spans="1:8" ht="15.75" thickBot="1" x14ac:dyDescent="0.3">
      <c r="A3303" s="1">
        <v>2015</v>
      </c>
      <c r="B3303" s="1" t="s">
        <v>40</v>
      </c>
      <c r="C3303" s="1" t="s">
        <v>28</v>
      </c>
      <c r="D3303" s="1" t="s">
        <v>13</v>
      </c>
      <c r="E3303" s="1">
        <v>314.54000000000002</v>
      </c>
      <c r="F3303" s="1">
        <v>3.52</v>
      </c>
      <c r="G3303" s="1">
        <v>5</v>
      </c>
      <c r="H3303" s="1">
        <v>62.908000000000001</v>
      </c>
    </row>
    <row r="3304" spans="1:8" ht="15.75" thickBot="1" x14ac:dyDescent="0.3">
      <c r="A3304" s="1">
        <v>2015</v>
      </c>
      <c r="B3304" s="1" t="s">
        <v>17</v>
      </c>
      <c r="C3304" s="1" t="s">
        <v>28</v>
      </c>
      <c r="D3304" s="1" t="s">
        <v>31</v>
      </c>
      <c r="E3304" s="1">
        <v>12733996.800000001</v>
      </c>
      <c r="F3304" s="1">
        <v>403667.08</v>
      </c>
      <c r="G3304" s="1">
        <v>176327</v>
      </c>
      <c r="H3304" s="1">
        <v>72.218076640000007</v>
      </c>
    </row>
    <row r="3305" spans="1:8" ht="15.75" thickBot="1" x14ac:dyDescent="0.3">
      <c r="A3305" s="1">
        <v>2017</v>
      </c>
      <c r="B3305" s="1" t="s">
        <v>16</v>
      </c>
      <c r="C3305" s="1" t="s">
        <v>15</v>
      </c>
      <c r="D3305" s="1" t="s">
        <v>31</v>
      </c>
      <c r="E3305" s="1">
        <v>4651071.38</v>
      </c>
      <c r="F3305" s="1">
        <v>171944.4</v>
      </c>
      <c r="G3305" s="1">
        <v>90484</v>
      </c>
      <c r="H3305" s="1">
        <v>51.402141589999999</v>
      </c>
    </row>
    <row r="3306" spans="1:8" ht="15.75" thickBot="1" x14ac:dyDescent="0.3">
      <c r="A3306" s="1">
        <v>2016</v>
      </c>
      <c r="B3306" s="1" t="s">
        <v>8</v>
      </c>
      <c r="C3306" s="1" t="s">
        <v>23</v>
      </c>
      <c r="D3306" s="1" t="s">
        <v>32</v>
      </c>
      <c r="E3306" s="1">
        <v>893.25</v>
      </c>
      <c r="F3306" s="1">
        <v>38.54</v>
      </c>
      <c r="G3306" s="1">
        <v>22</v>
      </c>
      <c r="H3306" s="1">
        <v>40.602272730000003</v>
      </c>
    </row>
    <row r="3307" spans="1:8" ht="15.75" thickBot="1" x14ac:dyDescent="0.3">
      <c r="A3307" s="1">
        <v>2014</v>
      </c>
      <c r="B3307" s="1" t="s">
        <v>12</v>
      </c>
      <c r="C3307" s="1" t="s">
        <v>15</v>
      </c>
      <c r="D3307" s="1" t="s">
        <v>19</v>
      </c>
      <c r="E3307" s="1">
        <v>4554823.79</v>
      </c>
      <c r="F3307" s="1">
        <v>130973.78</v>
      </c>
      <c r="G3307" s="1">
        <v>17926</v>
      </c>
      <c r="H3307" s="1">
        <v>254.09035979999999</v>
      </c>
    </row>
    <row r="3308" spans="1:8" ht="15.75" thickBot="1" x14ac:dyDescent="0.3">
      <c r="A3308" s="1">
        <v>2014</v>
      </c>
      <c r="B3308" s="1" t="s">
        <v>40</v>
      </c>
      <c r="C3308" s="1" t="s">
        <v>26</v>
      </c>
      <c r="D3308" s="1" t="s">
        <v>32</v>
      </c>
      <c r="E3308" s="1">
        <v>448.58</v>
      </c>
      <c r="F3308" s="1">
        <v>27.51</v>
      </c>
      <c r="G3308" s="1">
        <v>25</v>
      </c>
      <c r="H3308" s="1">
        <v>17.943200000000001</v>
      </c>
    </row>
    <row r="3309" spans="1:8" ht="15.75" thickBot="1" x14ac:dyDescent="0.3">
      <c r="A3309" s="1">
        <v>2017</v>
      </c>
      <c r="B3309" s="1" t="s">
        <v>12</v>
      </c>
      <c r="C3309" s="1" t="s">
        <v>9</v>
      </c>
      <c r="D3309" s="1" t="s">
        <v>31</v>
      </c>
      <c r="E3309" s="1">
        <v>106334121.2</v>
      </c>
      <c r="F3309" s="1">
        <v>2453197.35</v>
      </c>
      <c r="G3309" s="1">
        <v>876991</v>
      </c>
      <c r="H3309" s="1">
        <v>121.24881689999999</v>
      </c>
    </row>
    <row r="3310" spans="1:8" ht="15.75" thickBot="1" x14ac:dyDescent="0.3">
      <c r="A3310" s="1">
        <v>2014</v>
      </c>
      <c r="B3310" s="1" t="s">
        <v>11</v>
      </c>
      <c r="C3310" s="1" t="s">
        <v>21</v>
      </c>
      <c r="D3310" s="1" t="s">
        <v>13</v>
      </c>
      <c r="E3310" s="1">
        <v>11951.8</v>
      </c>
      <c r="F3310" s="1">
        <v>295.06</v>
      </c>
      <c r="G3310" s="1">
        <v>214</v>
      </c>
      <c r="H3310" s="1">
        <v>55.849532709999998</v>
      </c>
    </row>
    <row r="3311" spans="1:8" ht="15.75" thickBot="1" x14ac:dyDescent="0.3">
      <c r="A3311" s="1">
        <v>2015</v>
      </c>
      <c r="B3311" s="1" t="s">
        <v>12</v>
      </c>
      <c r="C3311" s="1" t="s">
        <v>9</v>
      </c>
      <c r="D3311" s="1" t="s">
        <v>32</v>
      </c>
      <c r="E3311" s="1">
        <v>84268.46</v>
      </c>
      <c r="F3311" s="1">
        <v>2824.63</v>
      </c>
      <c r="G3311" s="1">
        <v>6668</v>
      </c>
      <c r="H3311" s="1">
        <v>12.63774145</v>
      </c>
    </row>
    <row r="3312" spans="1:8" ht="15.75" thickBot="1" x14ac:dyDescent="0.3">
      <c r="A3312" s="1">
        <v>2014</v>
      </c>
      <c r="B3312" s="1" t="s">
        <v>20</v>
      </c>
      <c r="C3312" s="1" t="s">
        <v>9</v>
      </c>
      <c r="D3312" s="1" t="s">
        <v>27</v>
      </c>
      <c r="E3312" s="1">
        <v>32793.15</v>
      </c>
      <c r="F3312" s="1">
        <v>1090.49</v>
      </c>
      <c r="G3312" s="1">
        <v>1594</v>
      </c>
      <c r="H3312" s="1">
        <v>20.572866999999999</v>
      </c>
    </row>
    <row r="3313" spans="1:8" ht="15.75" thickBot="1" x14ac:dyDescent="0.3">
      <c r="A3313" s="1">
        <v>2016</v>
      </c>
      <c r="B3313" s="1" t="s">
        <v>12</v>
      </c>
      <c r="C3313" s="1" t="s">
        <v>26</v>
      </c>
      <c r="D3313" s="1" t="s">
        <v>27</v>
      </c>
      <c r="E3313" s="1">
        <v>18963459.66</v>
      </c>
      <c r="F3313" s="1">
        <v>767959.34</v>
      </c>
      <c r="G3313" s="1">
        <v>524192</v>
      </c>
      <c r="H3313" s="1">
        <v>36.176552979999997</v>
      </c>
    </row>
    <row r="3314" spans="1:8" ht="15.75" thickBot="1" x14ac:dyDescent="0.3">
      <c r="A3314" s="1">
        <v>2014</v>
      </c>
      <c r="B3314" s="1" t="s">
        <v>12</v>
      </c>
      <c r="C3314" s="1" t="s">
        <v>12</v>
      </c>
      <c r="D3314" s="1" t="s">
        <v>10</v>
      </c>
      <c r="E3314" s="1">
        <v>2911175.9</v>
      </c>
      <c r="F3314" s="1">
        <v>68265.09</v>
      </c>
      <c r="G3314" s="1">
        <v>39763</v>
      </c>
      <c r="H3314" s="1">
        <v>73.213185620000004</v>
      </c>
    </row>
    <row r="3315" spans="1:8" ht="15.75" thickBot="1" x14ac:dyDescent="0.3">
      <c r="A3315" s="1">
        <v>2014</v>
      </c>
      <c r="B3315" s="1" t="s">
        <v>16</v>
      </c>
      <c r="C3315" s="1" t="s">
        <v>12</v>
      </c>
      <c r="D3315" s="1" t="s">
        <v>10</v>
      </c>
      <c r="E3315" s="1">
        <v>5960442</v>
      </c>
      <c r="F3315" s="1">
        <v>217421.26</v>
      </c>
      <c r="G3315" s="1">
        <v>99256</v>
      </c>
      <c r="H3315" s="1">
        <v>60.05120093</v>
      </c>
    </row>
    <row r="3316" spans="1:8" ht="15.75" thickBot="1" x14ac:dyDescent="0.3">
      <c r="A3316" s="1">
        <v>2015</v>
      </c>
      <c r="B3316" s="1" t="s">
        <v>17</v>
      </c>
      <c r="C3316" s="1" t="s">
        <v>9</v>
      </c>
      <c r="D3316" s="1" t="s">
        <v>24</v>
      </c>
      <c r="E3316" s="1">
        <v>6044219.5</v>
      </c>
      <c r="F3316" s="1">
        <v>194216.79</v>
      </c>
      <c r="G3316" s="1">
        <v>21092</v>
      </c>
      <c r="H3316" s="1">
        <v>286.5645505</v>
      </c>
    </row>
    <row r="3317" spans="1:8" ht="15.75" thickBot="1" x14ac:dyDescent="0.3">
      <c r="A3317" s="1">
        <v>2014</v>
      </c>
      <c r="B3317" s="1" t="s">
        <v>14</v>
      </c>
      <c r="C3317" s="1" t="s">
        <v>18</v>
      </c>
      <c r="D3317" s="1" t="s">
        <v>24</v>
      </c>
      <c r="E3317" s="1">
        <v>7099407.9500000002</v>
      </c>
      <c r="F3317" s="1">
        <v>221404.47</v>
      </c>
      <c r="G3317" s="1">
        <v>25273</v>
      </c>
      <c r="H3317" s="1">
        <v>280.908794</v>
      </c>
    </row>
    <row r="3318" spans="1:8" ht="15.75" thickBot="1" x14ac:dyDescent="0.3">
      <c r="A3318" s="1">
        <v>2014</v>
      </c>
      <c r="B3318" s="1" t="s">
        <v>8</v>
      </c>
      <c r="C3318" s="1" t="s">
        <v>25</v>
      </c>
      <c r="D3318" s="1" t="s">
        <v>27</v>
      </c>
      <c r="E3318" s="1">
        <v>11524.62</v>
      </c>
      <c r="F3318" s="1">
        <v>326.85000000000002</v>
      </c>
      <c r="G3318" s="1">
        <v>169</v>
      </c>
      <c r="H3318" s="1">
        <v>68.193017749999996</v>
      </c>
    </row>
    <row r="3319" spans="1:8" ht="15.75" thickBot="1" x14ac:dyDescent="0.3">
      <c r="A3319" s="1">
        <v>2016</v>
      </c>
      <c r="B3319" s="1" t="s">
        <v>40</v>
      </c>
      <c r="C3319" s="1" t="s">
        <v>25</v>
      </c>
      <c r="D3319" s="1" t="s">
        <v>19</v>
      </c>
      <c r="E3319" s="1">
        <v>43352.78</v>
      </c>
      <c r="F3319" s="1">
        <v>668.66</v>
      </c>
      <c r="G3319" s="1">
        <v>379</v>
      </c>
      <c r="H3319" s="1">
        <v>114.3872823</v>
      </c>
    </row>
    <row r="3320" spans="1:8" ht="15.75" thickBot="1" x14ac:dyDescent="0.3">
      <c r="A3320" s="1">
        <v>2017</v>
      </c>
      <c r="B3320" s="1" t="s">
        <v>16</v>
      </c>
      <c r="C3320" s="1" t="s">
        <v>26</v>
      </c>
      <c r="D3320" s="1" t="s">
        <v>29</v>
      </c>
      <c r="E3320" s="1">
        <v>22018843.109999999</v>
      </c>
      <c r="F3320" s="1">
        <v>811488.63</v>
      </c>
      <c r="G3320" s="1">
        <v>109031</v>
      </c>
      <c r="H3320" s="1">
        <v>201.9502995</v>
      </c>
    </row>
    <row r="3321" spans="1:8" ht="15.75" thickBot="1" x14ac:dyDescent="0.3">
      <c r="A3321" s="1">
        <v>2016</v>
      </c>
      <c r="B3321" s="1" t="s">
        <v>12</v>
      </c>
      <c r="C3321" s="1" t="s">
        <v>26</v>
      </c>
      <c r="D3321" s="1" t="s">
        <v>19</v>
      </c>
      <c r="E3321" s="1">
        <v>3720814.1</v>
      </c>
      <c r="F3321" s="1">
        <v>107020.29</v>
      </c>
      <c r="G3321" s="1">
        <v>20406</v>
      </c>
      <c r="H3321" s="1">
        <v>182.33921889999999</v>
      </c>
    </row>
    <row r="3322" spans="1:8" ht="15.75" thickBot="1" x14ac:dyDescent="0.3">
      <c r="A3322" s="1">
        <v>2016</v>
      </c>
      <c r="B3322" s="1" t="s">
        <v>16</v>
      </c>
      <c r="C3322" s="1" t="s">
        <v>23</v>
      </c>
      <c r="D3322" s="1" t="s">
        <v>10</v>
      </c>
      <c r="E3322" s="1">
        <v>8291626.96</v>
      </c>
      <c r="F3322" s="1">
        <v>302553.28000000003</v>
      </c>
      <c r="G3322" s="1">
        <v>150567</v>
      </c>
      <c r="H3322" s="1">
        <v>55.069350919999998</v>
      </c>
    </row>
    <row r="3323" spans="1:8" ht="15.75" thickBot="1" x14ac:dyDescent="0.3">
      <c r="A3323" s="1">
        <v>2017</v>
      </c>
      <c r="B3323" s="1" t="s">
        <v>17</v>
      </c>
      <c r="C3323" s="1" t="s">
        <v>26</v>
      </c>
      <c r="D3323" s="1" t="s">
        <v>34</v>
      </c>
      <c r="E3323" s="1">
        <v>1763672.64</v>
      </c>
      <c r="F3323" s="1">
        <v>61466.01</v>
      </c>
      <c r="G3323" s="1">
        <v>43939</v>
      </c>
      <c r="H3323" s="1">
        <v>40.1391165</v>
      </c>
    </row>
    <row r="3324" spans="1:8" ht="15.75" thickBot="1" x14ac:dyDescent="0.3">
      <c r="A3324" s="1">
        <v>2014</v>
      </c>
      <c r="B3324" s="1" t="s">
        <v>16</v>
      </c>
      <c r="C3324" s="1" t="s">
        <v>21</v>
      </c>
      <c r="D3324" s="1" t="s">
        <v>19</v>
      </c>
      <c r="E3324" s="1">
        <v>85302199.590000004</v>
      </c>
      <c r="F3324" s="1">
        <v>2636573.2799999998</v>
      </c>
      <c r="G3324" s="1">
        <v>394945</v>
      </c>
      <c r="H3324" s="1">
        <v>215.98500949999999</v>
      </c>
    </row>
    <row r="3325" spans="1:8" ht="15.75" thickBot="1" x14ac:dyDescent="0.3">
      <c r="A3325" s="1">
        <v>2017</v>
      </c>
      <c r="B3325" s="1" t="s">
        <v>14</v>
      </c>
      <c r="C3325" s="1" t="s">
        <v>9</v>
      </c>
      <c r="D3325" s="1" t="s">
        <v>22</v>
      </c>
      <c r="E3325" s="1">
        <v>24.95</v>
      </c>
      <c r="F3325" s="1">
        <v>0.77</v>
      </c>
      <c r="G3325" s="1">
        <v>16</v>
      </c>
      <c r="H3325" s="1">
        <v>1.559375</v>
      </c>
    </row>
    <row r="3326" spans="1:8" ht="15.75" thickBot="1" x14ac:dyDescent="0.3">
      <c r="A3326" s="1">
        <v>2014</v>
      </c>
      <c r="B3326" s="1" t="s">
        <v>17</v>
      </c>
      <c r="C3326" s="1" t="s">
        <v>15</v>
      </c>
      <c r="D3326" s="1" t="s">
        <v>32</v>
      </c>
      <c r="E3326" s="1">
        <v>69088948.640000001</v>
      </c>
      <c r="F3326" s="1">
        <v>2450728.9</v>
      </c>
      <c r="G3326" s="1">
        <v>1170152</v>
      </c>
      <c r="H3326" s="1">
        <v>59.042712950000002</v>
      </c>
    </row>
    <row r="3327" spans="1:8" ht="15.75" thickBot="1" x14ac:dyDescent="0.3">
      <c r="A3327" s="1">
        <v>2017</v>
      </c>
      <c r="B3327" s="1" t="s">
        <v>8</v>
      </c>
      <c r="C3327" s="1" t="s">
        <v>12</v>
      </c>
      <c r="D3327" s="1" t="s">
        <v>10</v>
      </c>
      <c r="E3327" s="1">
        <v>784</v>
      </c>
      <c r="F3327" s="1">
        <v>24.22</v>
      </c>
      <c r="G3327" s="1">
        <v>6</v>
      </c>
      <c r="H3327" s="1">
        <v>130.66666670000001</v>
      </c>
    </row>
    <row r="3328" spans="1:8" ht="15.75" thickBot="1" x14ac:dyDescent="0.3">
      <c r="A3328" s="1">
        <v>2015</v>
      </c>
      <c r="B3328" s="1" t="s">
        <v>40</v>
      </c>
      <c r="C3328" s="1" t="s">
        <v>15</v>
      </c>
      <c r="D3328" s="1" t="s">
        <v>32</v>
      </c>
      <c r="E3328" s="1">
        <v>1556.36</v>
      </c>
      <c r="F3328" s="1">
        <v>126.44</v>
      </c>
      <c r="G3328" s="1">
        <v>111</v>
      </c>
      <c r="H3328" s="1">
        <v>14.021261259999999</v>
      </c>
    </row>
    <row r="3329" spans="1:8" ht="15.75" thickBot="1" x14ac:dyDescent="0.3">
      <c r="A3329" s="1">
        <v>2014</v>
      </c>
      <c r="B3329" s="1" t="s">
        <v>20</v>
      </c>
      <c r="C3329" s="1" t="s">
        <v>21</v>
      </c>
      <c r="D3329" s="1" t="s">
        <v>32</v>
      </c>
      <c r="E3329" s="1">
        <v>4214070.0999999996</v>
      </c>
      <c r="F3329" s="1">
        <v>178993.5</v>
      </c>
      <c r="G3329" s="1">
        <v>162231</v>
      </c>
      <c r="H3329" s="1">
        <v>25.975738920000001</v>
      </c>
    </row>
    <row r="3330" spans="1:8" ht="15.75" thickBot="1" x14ac:dyDescent="0.3">
      <c r="A3330" s="1">
        <v>2017</v>
      </c>
      <c r="B3330" s="1" t="s">
        <v>16</v>
      </c>
      <c r="C3330" s="1" t="s">
        <v>26</v>
      </c>
      <c r="D3330" s="1" t="s">
        <v>34</v>
      </c>
      <c r="E3330" s="1">
        <v>1409757.96</v>
      </c>
      <c r="F3330" s="1">
        <v>54221.37</v>
      </c>
      <c r="G3330" s="1">
        <v>37518</v>
      </c>
      <c r="H3330" s="1">
        <v>37.575509359999998</v>
      </c>
    </row>
    <row r="3331" spans="1:8" ht="15.75" thickBot="1" x14ac:dyDescent="0.3">
      <c r="A3331" s="1">
        <v>2015</v>
      </c>
      <c r="B3331" s="1" t="s">
        <v>12</v>
      </c>
      <c r="C3331" s="1" t="s">
        <v>28</v>
      </c>
      <c r="D3331" s="1" t="s">
        <v>29</v>
      </c>
      <c r="E3331" s="1">
        <v>6100651.3499999996</v>
      </c>
      <c r="F3331" s="1">
        <v>178145.71</v>
      </c>
      <c r="G3331" s="1">
        <v>9438</v>
      </c>
      <c r="H3331" s="1">
        <v>646.39238720000003</v>
      </c>
    </row>
    <row r="3332" spans="1:8" ht="15.75" thickBot="1" x14ac:dyDescent="0.3">
      <c r="A3332" s="1">
        <v>2017</v>
      </c>
      <c r="B3332" s="1" t="s">
        <v>40</v>
      </c>
      <c r="C3332" s="1" t="s">
        <v>26</v>
      </c>
      <c r="D3332" s="1" t="s">
        <v>13</v>
      </c>
      <c r="E3332" s="1">
        <v>1283</v>
      </c>
      <c r="F3332" s="1">
        <v>1.75</v>
      </c>
      <c r="G3332" s="1">
        <v>16</v>
      </c>
      <c r="H3332" s="1">
        <v>80.1875</v>
      </c>
    </row>
    <row r="3333" spans="1:8" ht="15.75" thickBot="1" x14ac:dyDescent="0.3">
      <c r="A3333" s="1">
        <v>2017</v>
      </c>
      <c r="B3333" s="1" t="s">
        <v>35</v>
      </c>
      <c r="C3333" s="1" t="s">
        <v>33</v>
      </c>
      <c r="D3333" s="1" t="s">
        <v>31</v>
      </c>
      <c r="E3333" s="1">
        <v>405.85</v>
      </c>
      <c r="F3333" s="1">
        <v>19.54</v>
      </c>
      <c r="G3333" s="1">
        <v>45</v>
      </c>
      <c r="H3333" s="1">
        <v>9.0188888889999994</v>
      </c>
    </row>
    <row r="3334" spans="1:8" ht="15.75" thickBot="1" x14ac:dyDescent="0.3">
      <c r="A3334" s="1">
        <v>2015</v>
      </c>
      <c r="B3334" s="1" t="s">
        <v>16</v>
      </c>
      <c r="C3334" s="1" t="s">
        <v>9</v>
      </c>
      <c r="D3334" s="1" t="s">
        <v>32</v>
      </c>
      <c r="E3334" s="1">
        <v>470456.97</v>
      </c>
      <c r="F3334" s="1">
        <v>13778.29</v>
      </c>
      <c r="G3334" s="1">
        <v>55455</v>
      </c>
      <c r="H3334" s="1">
        <v>8.4835807410000008</v>
      </c>
    </row>
    <row r="3335" spans="1:8" ht="15.75" thickBot="1" x14ac:dyDescent="0.3">
      <c r="A3335" s="1">
        <v>2014</v>
      </c>
      <c r="B3335" s="1" t="s">
        <v>35</v>
      </c>
      <c r="C3335" s="1" t="s">
        <v>26</v>
      </c>
      <c r="D3335" s="1" t="s">
        <v>19</v>
      </c>
      <c r="E3335" s="1">
        <v>1455.65</v>
      </c>
      <c r="F3335" s="1">
        <v>344.85</v>
      </c>
      <c r="G3335" s="1">
        <v>308</v>
      </c>
      <c r="H3335" s="1">
        <v>4.7261363640000003</v>
      </c>
    </row>
    <row r="3336" spans="1:8" ht="15.75" thickBot="1" x14ac:dyDescent="0.3">
      <c r="A3336" s="1">
        <v>2016</v>
      </c>
      <c r="B3336" s="1" t="s">
        <v>35</v>
      </c>
      <c r="C3336" s="1" t="s">
        <v>23</v>
      </c>
      <c r="D3336" s="1" t="s">
        <v>13</v>
      </c>
      <c r="E3336" s="1">
        <v>-1</v>
      </c>
      <c r="F3336" s="1">
        <v>0</v>
      </c>
      <c r="G3336" s="1">
        <v>2</v>
      </c>
      <c r="H3336" s="1">
        <v>-0.5</v>
      </c>
    </row>
    <row r="3337" spans="1:8" ht="15.75" thickBot="1" x14ac:dyDescent="0.3">
      <c r="A3337" s="1">
        <v>2017</v>
      </c>
      <c r="B3337" s="1" t="s">
        <v>12</v>
      </c>
      <c r="C3337" s="1" t="s">
        <v>18</v>
      </c>
      <c r="D3337" s="1" t="s">
        <v>27</v>
      </c>
      <c r="E3337" s="1">
        <v>1725458.07</v>
      </c>
      <c r="F3337" s="1">
        <v>61390.74</v>
      </c>
      <c r="G3337" s="1">
        <v>26781</v>
      </c>
      <c r="H3337" s="1">
        <v>64.428440690000002</v>
      </c>
    </row>
    <row r="3338" spans="1:8" ht="15.75" thickBot="1" x14ac:dyDescent="0.3">
      <c r="A3338" s="1">
        <v>2014</v>
      </c>
      <c r="B3338" s="1" t="s">
        <v>30</v>
      </c>
      <c r="C3338" s="1" t="s">
        <v>33</v>
      </c>
      <c r="D3338" s="1" t="s">
        <v>24</v>
      </c>
      <c r="E3338" s="1">
        <v>33672746.259999998</v>
      </c>
      <c r="F3338" s="1">
        <v>1024110.22</v>
      </c>
      <c r="G3338" s="1">
        <v>179545</v>
      </c>
      <c r="H3338" s="1">
        <v>187.54488430000001</v>
      </c>
    </row>
    <row r="3339" spans="1:8" ht="15.75" thickBot="1" x14ac:dyDescent="0.3">
      <c r="A3339" s="1">
        <v>2014</v>
      </c>
      <c r="B3339" s="1" t="s">
        <v>35</v>
      </c>
      <c r="C3339" s="1" t="s">
        <v>33</v>
      </c>
      <c r="D3339" s="1" t="s">
        <v>10</v>
      </c>
      <c r="E3339" s="1">
        <v>70.5</v>
      </c>
      <c r="F3339" s="1">
        <v>2.34</v>
      </c>
      <c r="G3339" s="1">
        <v>68</v>
      </c>
      <c r="H3339" s="1">
        <v>1.036764706</v>
      </c>
    </row>
    <row r="3340" spans="1:8" ht="15.75" thickBot="1" x14ac:dyDescent="0.3">
      <c r="A3340" s="1">
        <v>2015</v>
      </c>
      <c r="B3340" s="1" t="s">
        <v>11</v>
      </c>
      <c r="C3340" s="1" t="s">
        <v>23</v>
      </c>
      <c r="D3340" s="1" t="s">
        <v>32</v>
      </c>
      <c r="E3340" s="1">
        <v>48777040.020000003</v>
      </c>
      <c r="F3340" s="1">
        <v>1709439.48</v>
      </c>
      <c r="G3340" s="1">
        <v>1251696</v>
      </c>
      <c r="H3340" s="1">
        <v>38.968759200000001</v>
      </c>
    </row>
    <row r="3341" spans="1:8" ht="15.75" thickBot="1" x14ac:dyDescent="0.3">
      <c r="A3341" s="1">
        <v>2014</v>
      </c>
      <c r="B3341" s="1" t="s">
        <v>30</v>
      </c>
      <c r="C3341" s="1" t="s">
        <v>9</v>
      </c>
      <c r="D3341" s="1" t="s">
        <v>13</v>
      </c>
      <c r="E3341" s="1">
        <v>355</v>
      </c>
      <c r="F3341" s="1">
        <v>5.68</v>
      </c>
      <c r="G3341" s="1">
        <v>4</v>
      </c>
      <c r="H3341" s="1">
        <v>88.75</v>
      </c>
    </row>
    <row r="3342" spans="1:8" ht="15.75" thickBot="1" x14ac:dyDescent="0.3">
      <c r="A3342" s="1">
        <v>2016</v>
      </c>
      <c r="B3342" s="1" t="s">
        <v>17</v>
      </c>
      <c r="C3342" s="1" t="s">
        <v>21</v>
      </c>
      <c r="D3342" s="1" t="s">
        <v>22</v>
      </c>
      <c r="E3342" s="1">
        <v>1671185.81</v>
      </c>
      <c r="F3342" s="1">
        <v>51941.09</v>
      </c>
      <c r="G3342" s="1">
        <v>97418</v>
      </c>
      <c r="H3342" s="1">
        <v>17.154794899999999</v>
      </c>
    </row>
    <row r="3343" spans="1:8" ht="15.75" thickBot="1" x14ac:dyDescent="0.3">
      <c r="A3343" s="1">
        <v>2014</v>
      </c>
      <c r="B3343" s="1" t="s">
        <v>35</v>
      </c>
      <c r="C3343" s="1" t="s">
        <v>25</v>
      </c>
      <c r="D3343" s="1" t="s">
        <v>29</v>
      </c>
      <c r="E3343" s="1">
        <v>526.95000000000005</v>
      </c>
      <c r="F3343" s="1">
        <v>11.43</v>
      </c>
      <c r="G3343" s="1">
        <v>12</v>
      </c>
      <c r="H3343" s="1">
        <v>43.912500000000001</v>
      </c>
    </row>
    <row r="3344" spans="1:8" ht="15.75" thickBot="1" x14ac:dyDescent="0.3">
      <c r="A3344" s="1">
        <v>2017</v>
      </c>
      <c r="B3344" s="1" t="s">
        <v>14</v>
      </c>
      <c r="C3344" s="1" t="s">
        <v>25</v>
      </c>
      <c r="D3344" s="1" t="s">
        <v>32</v>
      </c>
      <c r="E3344" s="1">
        <v>99835012.159999996</v>
      </c>
      <c r="F3344" s="1">
        <v>3862536.48</v>
      </c>
      <c r="G3344" s="1">
        <v>2431873</v>
      </c>
      <c r="H3344" s="1">
        <v>41.052724449999999</v>
      </c>
    </row>
    <row r="3345" spans="1:8" ht="15.75" thickBot="1" x14ac:dyDescent="0.3">
      <c r="A3345" s="1">
        <v>2017</v>
      </c>
      <c r="B3345" s="1" t="s">
        <v>20</v>
      </c>
      <c r="C3345" s="1" t="s">
        <v>15</v>
      </c>
      <c r="D3345" s="1" t="s">
        <v>27</v>
      </c>
      <c r="E3345" s="1">
        <v>2522569.38</v>
      </c>
      <c r="F3345" s="1">
        <v>93065.27</v>
      </c>
      <c r="G3345" s="1">
        <v>50605</v>
      </c>
      <c r="H3345" s="1">
        <v>49.848224090000002</v>
      </c>
    </row>
    <row r="3346" spans="1:8" ht="15.75" thickBot="1" x14ac:dyDescent="0.3">
      <c r="A3346" s="1">
        <v>2016</v>
      </c>
      <c r="B3346" s="1" t="s">
        <v>12</v>
      </c>
      <c r="C3346" s="1" t="s">
        <v>12</v>
      </c>
      <c r="D3346" s="1" t="s">
        <v>10</v>
      </c>
      <c r="E3346" s="1">
        <v>2818176.01</v>
      </c>
      <c r="F3346" s="1">
        <v>86633.22</v>
      </c>
      <c r="G3346" s="1">
        <v>58917</v>
      </c>
      <c r="H3346" s="1">
        <v>47.832985559999997</v>
      </c>
    </row>
    <row r="3347" spans="1:8" ht="15.75" thickBot="1" x14ac:dyDescent="0.3">
      <c r="A3347" s="1">
        <v>2017</v>
      </c>
      <c r="B3347" s="1" t="s">
        <v>12</v>
      </c>
      <c r="C3347" s="1" t="s">
        <v>15</v>
      </c>
      <c r="D3347" s="1" t="s">
        <v>10</v>
      </c>
      <c r="E3347" s="1">
        <v>3763979.15</v>
      </c>
      <c r="F3347" s="1">
        <v>115119.8</v>
      </c>
      <c r="G3347" s="1">
        <v>69092</v>
      </c>
      <c r="H3347" s="1">
        <v>54.477785419999996</v>
      </c>
    </row>
    <row r="3348" spans="1:8" ht="15.75" thickBot="1" x14ac:dyDescent="0.3">
      <c r="A3348" s="1">
        <v>2015</v>
      </c>
      <c r="B3348" s="1" t="s">
        <v>8</v>
      </c>
      <c r="C3348" s="1" t="s">
        <v>9</v>
      </c>
      <c r="D3348" s="1" t="s">
        <v>32</v>
      </c>
      <c r="E3348" s="1">
        <v>176</v>
      </c>
      <c r="F3348" s="1">
        <v>6.77</v>
      </c>
      <c r="G3348" s="1">
        <v>5</v>
      </c>
      <c r="H3348" s="1">
        <v>35.200000000000003</v>
      </c>
    </row>
    <row r="3349" spans="1:8" ht="15.75" thickBot="1" x14ac:dyDescent="0.3">
      <c r="A3349" s="1">
        <v>2015</v>
      </c>
      <c r="B3349" s="1" t="s">
        <v>14</v>
      </c>
      <c r="C3349" s="1" t="s">
        <v>21</v>
      </c>
      <c r="D3349" s="1" t="s">
        <v>19</v>
      </c>
      <c r="E3349" s="1">
        <v>52986884.530000001</v>
      </c>
      <c r="F3349" s="1">
        <v>1822771.83</v>
      </c>
      <c r="G3349" s="1">
        <v>429545</v>
      </c>
      <c r="H3349" s="1">
        <v>123.35584059999999</v>
      </c>
    </row>
    <row r="3350" spans="1:8" ht="15.75" thickBot="1" x14ac:dyDescent="0.3">
      <c r="A3350" s="1">
        <v>2014</v>
      </c>
      <c r="B3350" s="1" t="s">
        <v>20</v>
      </c>
      <c r="C3350" s="1" t="s">
        <v>21</v>
      </c>
      <c r="D3350" s="1" t="s">
        <v>29</v>
      </c>
      <c r="E3350" s="1">
        <v>506121.22</v>
      </c>
      <c r="F3350" s="1">
        <v>17809.7</v>
      </c>
      <c r="G3350" s="1">
        <v>6217</v>
      </c>
      <c r="H3350" s="1">
        <v>81.409235969999997</v>
      </c>
    </row>
    <row r="3351" spans="1:8" ht="15.75" thickBot="1" x14ac:dyDescent="0.3">
      <c r="A3351" s="1">
        <v>2017</v>
      </c>
      <c r="B3351" s="1" t="s">
        <v>12</v>
      </c>
      <c r="C3351" s="1" t="s">
        <v>21</v>
      </c>
      <c r="D3351" s="1" t="s">
        <v>34</v>
      </c>
      <c r="E3351" s="1">
        <v>52947.33</v>
      </c>
      <c r="F3351" s="1">
        <v>1992.85</v>
      </c>
      <c r="G3351" s="1">
        <v>1877</v>
      </c>
      <c r="H3351" s="1">
        <v>28.208486950000001</v>
      </c>
    </row>
    <row r="3352" spans="1:8" ht="15.75" thickBot="1" x14ac:dyDescent="0.3">
      <c r="A3352" s="1">
        <v>2017</v>
      </c>
      <c r="B3352" s="1" t="s">
        <v>16</v>
      </c>
      <c r="C3352" s="1" t="s">
        <v>21</v>
      </c>
      <c r="D3352" s="1" t="s">
        <v>19</v>
      </c>
      <c r="E3352" s="1">
        <v>122649523.40000001</v>
      </c>
      <c r="F3352" s="1">
        <v>3246981.14</v>
      </c>
      <c r="G3352" s="1">
        <v>497141</v>
      </c>
      <c r="H3352" s="1">
        <v>246.70973309999999</v>
      </c>
    </row>
    <row r="3353" spans="1:8" ht="15.75" thickBot="1" x14ac:dyDescent="0.3">
      <c r="A3353" s="1">
        <v>2017</v>
      </c>
      <c r="B3353" s="1" t="s">
        <v>12</v>
      </c>
      <c r="C3353" s="1" t="s">
        <v>9</v>
      </c>
      <c r="D3353" s="1" t="s">
        <v>34</v>
      </c>
      <c r="E3353" s="1">
        <v>0.99</v>
      </c>
      <c r="F3353" s="1">
        <v>0.1</v>
      </c>
      <c r="G3353" s="1">
        <v>24</v>
      </c>
      <c r="H3353" s="1">
        <v>4.1250000000000002E-2</v>
      </c>
    </row>
    <row r="3354" spans="1:8" ht="15.75" thickBot="1" x14ac:dyDescent="0.3">
      <c r="A3354" s="1">
        <v>2014</v>
      </c>
      <c r="B3354" s="1" t="s">
        <v>20</v>
      </c>
      <c r="C3354" s="1" t="s">
        <v>25</v>
      </c>
      <c r="D3354" s="1" t="s">
        <v>27</v>
      </c>
      <c r="E3354" s="1">
        <v>11201128.17</v>
      </c>
      <c r="F3354" s="1">
        <v>447988.54</v>
      </c>
      <c r="G3354" s="1">
        <v>343058</v>
      </c>
      <c r="H3354" s="1">
        <v>32.650829219999999</v>
      </c>
    </row>
    <row r="3355" spans="1:8" ht="15.75" thickBot="1" x14ac:dyDescent="0.3">
      <c r="A3355" s="1">
        <v>2014</v>
      </c>
      <c r="B3355" s="1" t="s">
        <v>8</v>
      </c>
      <c r="C3355" s="1" t="s">
        <v>9</v>
      </c>
      <c r="D3355" s="1" t="s">
        <v>13</v>
      </c>
      <c r="E3355" s="1">
        <v>44.75</v>
      </c>
      <c r="F3355" s="1">
        <v>0</v>
      </c>
      <c r="G3355" s="1">
        <v>1</v>
      </c>
      <c r="H3355" s="1">
        <v>44.75</v>
      </c>
    </row>
    <row r="3356" spans="1:8" ht="15.75" thickBot="1" x14ac:dyDescent="0.3">
      <c r="A3356" s="1">
        <v>2016</v>
      </c>
      <c r="B3356" s="1" t="s">
        <v>35</v>
      </c>
      <c r="C3356" s="1" t="s">
        <v>9</v>
      </c>
      <c r="D3356" s="1" t="s">
        <v>32</v>
      </c>
      <c r="E3356" s="1">
        <v>12097.56</v>
      </c>
      <c r="F3356" s="1">
        <v>419.25</v>
      </c>
      <c r="G3356" s="1">
        <v>982</v>
      </c>
      <c r="H3356" s="1">
        <v>12.319307540000001</v>
      </c>
    </row>
    <row r="3357" spans="1:8" ht="15.75" thickBot="1" x14ac:dyDescent="0.3">
      <c r="A3357" s="1">
        <v>2014</v>
      </c>
      <c r="B3357" s="1" t="s">
        <v>20</v>
      </c>
      <c r="C3357" s="1" t="s">
        <v>33</v>
      </c>
      <c r="D3357" s="1" t="s">
        <v>31</v>
      </c>
      <c r="E3357" s="1">
        <v>37605.83</v>
      </c>
      <c r="F3357" s="1">
        <v>1545.13</v>
      </c>
      <c r="G3357" s="1">
        <v>1494</v>
      </c>
      <c r="H3357" s="1">
        <v>25.171238290000002</v>
      </c>
    </row>
    <row r="3358" spans="1:8" ht="15.75" thickBot="1" x14ac:dyDescent="0.3">
      <c r="A3358" s="1">
        <v>2014</v>
      </c>
      <c r="B3358" s="1" t="s">
        <v>17</v>
      </c>
      <c r="C3358" s="1" t="s">
        <v>21</v>
      </c>
      <c r="D3358" s="1" t="s">
        <v>22</v>
      </c>
      <c r="E3358" s="1">
        <v>1470496.87</v>
      </c>
      <c r="F3358" s="1">
        <v>47688.39</v>
      </c>
      <c r="G3358" s="1">
        <v>101553</v>
      </c>
      <c r="H3358" s="1">
        <v>14.480092859999999</v>
      </c>
    </row>
    <row r="3359" spans="1:8" ht="15.75" thickBot="1" x14ac:dyDescent="0.3">
      <c r="A3359" s="1">
        <v>2015</v>
      </c>
      <c r="B3359" s="1" t="s">
        <v>17</v>
      </c>
      <c r="C3359" s="1" t="s">
        <v>9</v>
      </c>
      <c r="D3359" s="1" t="s">
        <v>27</v>
      </c>
      <c r="E3359" s="1">
        <v>102785770.2</v>
      </c>
      <c r="F3359" s="1">
        <v>3322049.41</v>
      </c>
      <c r="G3359" s="1">
        <v>1213779</v>
      </c>
      <c r="H3359" s="1">
        <v>84.682442350000002</v>
      </c>
    </row>
    <row r="3360" spans="1:8" ht="15.75" thickBot="1" x14ac:dyDescent="0.3">
      <c r="A3360" s="1">
        <v>2016</v>
      </c>
      <c r="B3360" s="1" t="s">
        <v>8</v>
      </c>
      <c r="C3360" s="1" t="s">
        <v>21</v>
      </c>
      <c r="D3360" s="1" t="s">
        <v>32</v>
      </c>
      <c r="E3360" s="1">
        <v>411.8</v>
      </c>
      <c r="F3360" s="1">
        <v>18.940000000000001</v>
      </c>
      <c r="G3360" s="1">
        <v>12</v>
      </c>
      <c r="H3360" s="1">
        <v>34.316666669999996</v>
      </c>
    </row>
    <row r="3361" spans="1:8" ht="15.75" thickBot="1" x14ac:dyDescent="0.3">
      <c r="A3361" s="1">
        <v>2016</v>
      </c>
      <c r="B3361" s="1" t="s">
        <v>17</v>
      </c>
      <c r="C3361" s="1" t="s">
        <v>28</v>
      </c>
      <c r="D3361" s="1" t="s">
        <v>10</v>
      </c>
      <c r="E3361" s="1">
        <v>44168795.539999999</v>
      </c>
      <c r="F3361" s="1">
        <v>1400043.8</v>
      </c>
      <c r="G3361" s="1">
        <v>704340</v>
      </c>
      <c r="H3361" s="1">
        <v>62.709480560000003</v>
      </c>
    </row>
    <row r="3362" spans="1:8" ht="15.75" thickBot="1" x14ac:dyDescent="0.3">
      <c r="A3362" s="1">
        <v>2015</v>
      </c>
      <c r="B3362" s="1" t="s">
        <v>16</v>
      </c>
      <c r="C3362" s="1" t="s">
        <v>25</v>
      </c>
      <c r="D3362" s="1" t="s">
        <v>19</v>
      </c>
      <c r="E3362" s="1">
        <v>93773357.209999993</v>
      </c>
      <c r="F3362" s="1">
        <v>3129290</v>
      </c>
      <c r="G3362" s="1">
        <v>480198</v>
      </c>
      <c r="H3362" s="1">
        <v>195.2806076</v>
      </c>
    </row>
    <row r="3363" spans="1:8" ht="15.75" thickBot="1" x14ac:dyDescent="0.3">
      <c r="A3363" s="1">
        <v>2015</v>
      </c>
      <c r="B3363" s="1" t="s">
        <v>20</v>
      </c>
      <c r="C3363" s="1" t="s">
        <v>26</v>
      </c>
      <c r="D3363" s="1" t="s">
        <v>13</v>
      </c>
      <c r="E3363" s="1">
        <v>14324.45</v>
      </c>
      <c r="F3363" s="1">
        <v>492.83</v>
      </c>
      <c r="G3363" s="1">
        <v>361</v>
      </c>
      <c r="H3363" s="1">
        <v>39.679916900000002</v>
      </c>
    </row>
    <row r="3364" spans="1:8" ht="15.75" thickBot="1" x14ac:dyDescent="0.3">
      <c r="A3364" s="1">
        <v>2017</v>
      </c>
      <c r="B3364" s="1" t="s">
        <v>17</v>
      </c>
      <c r="C3364" s="1" t="s">
        <v>25</v>
      </c>
      <c r="D3364" s="1" t="s">
        <v>27</v>
      </c>
      <c r="E3364" s="1">
        <v>797839237</v>
      </c>
      <c r="F3364" s="1">
        <v>28653144.780000001</v>
      </c>
      <c r="G3364" s="1">
        <v>14460842</v>
      </c>
      <c r="H3364" s="1">
        <v>55.17239155</v>
      </c>
    </row>
    <row r="3365" spans="1:8" ht="15.75" thickBot="1" x14ac:dyDescent="0.3">
      <c r="A3365" s="1">
        <v>2015</v>
      </c>
      <c r="B3365" s="1" t="s">
        <v>20</v>
      </c>
      <c r="C3365" s="1" t="s">
        <v>12</v>
      </c>
      <c r="D3365" s="1" t="s">
        <v>29</v>
      </c>
      <c r="E3365" s="1">
        <v>886346.76</v>
      </c>
      <c r="F3365" s="1">
        <v>30993.87</v>
      </c>
      <c r="G3365" s="1">
        <v>7626</v>
      </c>
      <c r="H3365" s="1">
        <v>116.22695520000001</v>
      </c>
    </row>
    <row r="3366" spans="1:8" ht="15.75" thickBot="1" x14ac:dyDescent="0.3">
      <c r="A3366" s="1">
        <v>2015</v>
      </c>
      <c r="B3366" s="1" t="s">
        <v>11</v>
      </c>
      <c r="C3366" s="1" t="s">
        <v>12</v>
      </c>
      <c r="D3366" s="1" t="s">
        <v>10</v>
      </c>
      <c r="E3366" s="1">
        <v>103997382.2</v>
      </c>
      <c r="F3366" s="1">
        <v>2550675.1</v>
      </c>
      <c r="G3366" s="1">
        <v>1706123</v>
      </c>
      <c r="H3366" s="1">
        <v>60.955383730000001</v>
      </c>
    </row>
    <row r="3367" spans="1:8" ht="15.75" thickBot="1" x14ac:dyDescent="0.3">
      <c r="A3367" s="1">
        <v>2017</v>
      </c>
      <c r="B3367" s="1" t="s">
        <v>20</v>
      </c>
      <c r="C3367" s="1" t="s">
        <v>23</v>
      </c>
      <c r="D3367" s="1" t="s">
        <v>13</v>
      </c>
      <c r="E3367" s="1">
        <v>206027.08</v>
      </c>
      <c r="F3367" s="1">
        <v>7522.3</v>
      </c>
      <c r="G3367" s="1">
        <v>14619</v>
      </c>
      <c r="H3367" s="1">
        <v>14.0931035</v>
      </c>
    </row>
    <row r="3368" spans="1:8" ht="15.75" thickBot="1" x14ac:dyDescent="0.3">
      <c r="A3368" s="1">
        <v>2015</v>
      </c>
      <c r="B3368" s="1" t="s">
        <v>14</v>
      </c>
      <c r="C3368" s="1" t="s">
        <v>23</v>
      </c>
      <c r="D3368" s="1" t="s">
        <v>22</v>
      </c>
      <c r="E3368" s="1">
        <v>6187.2</v>
      </c>
      <c r="F3368" s="1">
        <v>174.85</v>
      </c>
      <c r="G3368" s="1">
        <v>346</v>
      </c>
      <c r="H3368" s="1">
        <v>17.88208092</v>
      </c>
    </row>
    <row r="3369" spans="1:8" ht="15.75" thickBot="1" x14ac:dyDescent="0.3">
      <c r="A3369" s="1">
        <v>2017</v>
      </c>
      <c r="B3369" s="1" t="s">
        <v>35</v>
      </c>
      <c r="C3369" s="1" t="s">
        <v>12</v>
      </c>
      <c r="D3369" s="1" t="s">
        <v>13</v>
      </c>
      <c r="E3369" s="1">
        <v>220.37</v>
      </c>
      <c r="F3369" s="1">
        <v>9.14</v>
      </c>
      <c r="G3369" s="1">
        <v>35</v>
      </c>
      <c r="H3369" s="1">
        <v>6.2962857139999997</v>
      </c>
    </row>
    <row r="3370" spans="1:8" ht="15.75" thickBot="1" x14ac:dyDescent="0.3">
      <c r="A3370" s="1">
        <v>2016</v>
      </c>
      <c r="B3370" s="1" t="s">
        <v>30</v>
      </c>
      <c r="C3370" s="1" t="s">
        <v>15</v>
      </c>
      <c r="D3370" s="1" t="s">
        <v>32</v>
      </c>
      <c r="E3370" s="1">
        <v>22179828.809999999</v>
      </c>
      <c r="F3370" s="1">
        <v>827842.63</v>
      </c>
      <c r="G3370" s="1">
        <v>441289</v>
      </c>
      <c r="H3370" s="1">
        <v>50.261458609999998</v>
      </c>
    </row>
    <row r="3371" spans="1:8" ht="15.75" thickBot="1" x14ac:dyDescent="0.3">
      <c r="A3371" s="1">
        <v>2017</v>
      </c>
      <c r="B3371" s="1" t="s">
        <v>12</v>
      </c>
      <c r="C3371" s="1" t="s">
        <v>9</v>
      </c>
      <c r="D3371" s="1" t="s">
        <v>10</v>
      </c>
      <c r="E3371" s="1">
        <v>1861575.28</v>
      </c>
      <c r="F3371" s="1">
        <v>65811.289999999994</v>
      </c>
      <c r="G3371" s="1">
        <v>42537</v>
      </c>
      <c r="H3371" s="1">
        <v>43.763671160000001</v>
      </c>
    </row>
    <row r="3372" spans="1:8" ht="15.75" thickBot="1" x14ac:dyDescent="0.3">
      <c r="A3372" s="1">
        <v>2015</v>
      </c>
      <c r="B3372" s="1" t="s">
        <v>14</v>
      </c>
      <c r="C3372" s="1" t="s">
        <v>33</v>
      </c>
      <c r="D3372" s="1" t="s">
        <v>10</v>
      </c>
      <c r="E3372" s="1">
        <v>7775024.7699999996</v>
      </c>
      <c r="F3372" s="1">
        <v>289177.3</v>
      </c>
      <c r="G3372" s="1">
        <v>148705</v>
      </c>
      <c r="H3372" s="1">
        <v>52.284891360000003</v>
      </c>
    </row>
    <row r="3373" spans="1:8" ht="15.75" thickBot="1" x14ac:dyDescent="0.3">
      <c r="A3373" s="1">
        <v>2015</v>
      </c>
      <c r="B3373" s="1" t="s">
        <v>16</v>
      </c>
      <c r="C3373" s="1" t="s">
        <v>26</v>
      </c>
      <c r="D3373" s="1" t="s">
        <v>32</v>
      </c>
      <c r="E3373" s="1">
        <v>66859353.780000001</v>
      </c>
      <c r="F3373" s="1">
        <v>2664960.4500000002</v>
      </c>
      <c r="G3373" s="1">
        <v>1414589</v>
      </c>
      <c r="H3373" s="1">
        <v>47.264155019999997</v>
      </c>
    </row>
    <row r="3374" spans="1:8" ht="15.75" thickBot="1" x14ac:dyDescent="0.3">
      <c r="A3374" s="1">
        <v>2016</v>
      </c>
      <c r="B3374" s="1" t="s">
        <v>14</v>
      </c>
      <c r="C3374" s="1" t="s">
        <v>18</v>
      </c>
      <c r="D3374" s="1" t="s">
        <v>32</v>
      </c>
      <c r="E3374" s="1">
        <v>27737573.789999999</v>
      </c>
      <c r="F3374" s="1">
        <v>967718.96</v>
      </c>
      <c r="G3374" s="1">
        <v>473951</v>
      </c>
      <c r="H3374" s="1">
        <v>58.524138129999997</v>
      </c>
    </row>
    <row r="3375" spans="1:8" ht="15.75" thickBot="1" x14ac:dyDescent="0.3">
      <c r="A3375" s="1">
        <v>2016</v>
      </c>
      <c r="B3375" s="1" t="s">
        <v>8</v>
      </c>
      <c r="C3375" s="1" t="s">
        <v>18</v>
      </c>
      <c r="D3375" s="1" t="s">
        <v>27</v>
      </c>
      <c r="E3375" s="1">
        <v>1687.29</v>
      </c>
      <c r="F3375" s="1">
        <v>71.430000000000007</v>
      </c>
      <c r="G3375" s="1">
        <v>29</v>
      </c>
      <c r="H3375" s="1">
        <v>58.182413789999998</v>
      </c>
    </row>
    <row r="3376" spans="1:8" ht="15.75" thickBot="1" x14ac:dyDescent="0.3">
      <c r="A3376" s="1">
        <v>2014</v>
      </c>
      <c r="B3376" s="1" t="s">
        <v>16</v>
      </c>
      <c r="C3376" s="1" t="s">
        <v>23</v>
      </c>
      <c r="D3376" s="1" t="s">
        <v>27</v>
      </c>
      <c r="E3376" s="1">
        <v>571189389.70000005</v>
      </c>
      <c r="F3376" s="1">
        <v>23042054.449999999</v>
      </c>
      <c r="G3376" s="1">
        <v>13144248</v>
      </c>
      <c r="H3376" s="1">
        <v>43.455463539999997</v>
      </c>
    </row>
    <row r="3377" spans="1:8" ht="15.75" thickBot="1" x14ac:dyDescent="0.3">
      <c r="A3377" s="1">
        <v>2014</v>
      </c>
      <c r="B3377" s="1" t="s">
        <v>14</v>
      </c>
      <c r="C3377" s="1" t="s">
        <v>12</v>
      </c>
      <c r="D3377" s="1" t="s">
        <v>10</v>
      </c>
      <c r="E3377" s="1">
        <v>2422787.54</v>
      </c>
      <c r="F3377" s="1">
        <v>91990.66</v>
      </c>
      <c r="G3377" s="1">
        <v>42620</v>
      </c>
      <c r="H3377" s="1">
        <v>56.846258560000003</v>
      </c>
    </row>
    <row r="3378" spans="1:8" ht="15.75" thickBot="1" x14ac:dyDescent="0.3">
      <c r="A3378" s="1">
        <v>2017</v>
      </c>
      <c r="B3378" s="1" t="s">
        <v>17</v>
      </c>
      <c r="C3378" s="1" t="s">
        <v>28</v>
      </c>
      <c r="D3378" s="1" t="s">
        <v>29</v>
      </c>
      <c r="E3378" s="1">
        <v>109185393.8</v>
      </c>
      <c r="F3378" s="1">
        <v>3261085.48</v>
      </c>
      <c r="G3378" s="1">
        <v>124021</v>
      </c>
      <c r="H3378" s="1">
        <v>880.3782731</v>
      </c>
    </row>
    <row r="3379" spans="1:8" ht="15.75" thickBot="1" x14ac:dyDescent="0.3">
      <c r="A3379" s="1">
        <v>2016</v>
      </c>
      <c r="B3379" s="1" t="s">
        <v>11</v>
      </c>
      <c r="C3379" s="1" t="s">
        <v>9</v>
      </c>
      <c r="D3379" s="1" t="s">
        <v>32</v>
      </c>
      <c r="E3379" s="1">
        <v>179451555.59999999</v>
      </c>
      <c r="F3379" s="1">
        <v>4946130.4000000004</v>
      </c>
      <c r="G3379" s="1">
        <v>2975280</v>
      </c>
      <c r="H3379" s="1">
        <v>60.314174010000002</v>
      </c>
    </row>
    <row r="3380" spans="1:8" ht="15.75" thickBot="1" x14ac:dyDescent="0.3">
      <c r="A3380" s="1">
        <v>2016</v>
      </c>
      <c r="B3380" s="1" t="s">
        <v>11</v>
      </c>
      <c r="C3380" s="1" t="s">
        <v>25</v>
      </c>
      <c r="D3380" s="1" t="s">
        <v>10</v>
      </c>
      <c r="E3380" s="1">
        <v>583947074.70000005</v>
      </c>
      <c r="F3380" s="1">
        <v>12318442.02</v>
      </c>
      <c r="G3380" s="1">
        <v>8658840</v>
      </c>
      <c r="H3380" s="1">
        <v>67.4394116</v>
      </c>
    </row>
    <row r="3381" spans="1:8" ht="15.75" thickBot="1" x14ac:dyDescent="0.3">
      <c r="A3381" s="1">
        <v>2014</v>
      </c>
      <c r="B3381" s="1" t="s">
        <v>17</v>
      </c>
      <c r="C3381" s="1" t="s">
        <v>25</v>
      </c>
      <c r="D3381" s="1" t="s">
        <v>13</v>
      </c>
      <c r="E3381" s="1">
        <v>59079.96</v>
      </c>
      <c r="F3381" s="1">
        <v>1810.91</v>
      </c>
      <c r="G3381" s="1">
        <v>877</v>
      </c>
      <c r="H3381" s="1">
        <v>67.365974910000006</v>
      </c>
    </row>
    <row r="3382" spans="1:8" ht="15.75" thickBot="1" x14ac:dyDescent="0.3">
      <c r="A3382" s="1">
        <v>2014</v>
      </c>
      <c r="B3382" s="1" t="s">
        <v>35</v>
      </c>
      <c r="C3382" s="1" t="s">
        <v>21</v>
      </c>
      <c r="D3382" s="1" t="s">
        <v>24</v>
      </c>
      <c r="E3382" s="1">
        <v>-1502.99</v>
      </c>
      <c r="F3382" s="1">
        <v>30.45</v>
      </c>
      <c r="G3382" s="1">
        <v>41</v>
      </c>
      <c r="H3382" s="1">
        <v>-36.658292680000002</v>
      </c>
    </row>
    <row r="3383" spans="1:8" ht="15.75" thickBot="1" x14ac:dyDescent="0.3">
      <c r="A3383" s="1">
        <v>2017</v>
      </c>
      <c r="B3383" s="1" t="s">
        <v>8</v>
      </c>
      <c r="C3383" s="1" t="s">
        <v>21</v>
      </c>
      <c r="D3383" s="1" t="s">
        <v>29</v>
      </c>
      <c r="E3383" s="1">
        <v>120.5</v>
      </c>
      <c r="F3383" s="1">
        <v>8.09</v>
      </c>
      <c r="G3383" s="1">
        <v>1</v>
      </c>
      <c r="H3383" s="1">
        <v>120.5</v>
      </c>
    </row>
    <row r="3384" spans="1:8" ht="15.75" thickBot="1" x14ac:dyDescent="0.3">
      <c r="A3384" s="1">
        <v>2016</v>
      </c>
      <c r="B3384" s="1" t="s">
        <v>14</v>
      </c>
      <c r="C3384" s="1" t="s">
        <v>26</v>
      </c>
      <c r="D3384" s="1" t="s">
        <v>27</v>
      </c>
      <c r="E3384" s="1">
        <v>273234104.39999998</v>
      </c>
      <c r="F3384" s="1">
        <v>12297296.58</v>
      </c>
      <c r="G3384" s="1">
        <v>10968530</v>
      </c>
      <c r="H3384" s="1">
        <v>24.910731370000001</v>
      </c>
    </row>
    <row r="3385" spans="1:8" ht="15.75" thickBot="1" x14ac:dyDescent="0.3">
      <c r="A3385" s="1">
        <v>2015</v>
      </c>
      <c r="B3385" s="1" t="s">
        <v>17</v>
      </c>
      <c r="C3385" s="1" t="s">
        <v>23</v>
      </c>
      <c r="D3385" s="1" t="s">
        <v>22</v>
      </c>
      <c r="E3385" s="1">
        <v>606167.26</v>
      </c>
      <c r="F3385" s="1">
        <v>23535.97</v>
      </c>
      <c r="G3385" s="1">
        <v>33446</v>
      </c>
      <c r="H3385" s="1">
        <v>18.123759490000001</v>
      </c>
    </row>
    <row r="3386" spans="1:8" ht="15.75" thickBot="1" x14ac:dyDescent="0.3">
      <c r="A3386" s="1">
        <v>2017</v>
      </c>
      <c r="B3386" s="1" t="s">
        <v>12</v>
      </c>
      <c r="C3386" s="1" t="s">
        <v>28</v>
      </c>
      <c r="D3386" s="1" t="s">
        <v>19</v>
      </c>
      <c r="E3386" s="1">
        <v>34616837.770000003</v>
      </c>
      <c r="F3386" s="1">
        <v>635884.80000000005</v>
      </c>
      <c r="G3386" s="1">
        <v>69039</v>
      </c>
      <c r="H3386" s="1">
        <v>501.40989539999998</v>
      </c>
    </row>
    <row r="3387" spans="1:8" ht="15.75" thickBot="1" x14ac:dyDescent="0.3">
      <c r="A3387" s="1">
        <v>2014</v>
      </c>
      <c r="B3387" s="1" t="s">
        <v>16</v>
      </c>
      <c r="C3387" s="1" t="s">
        <v>33</v>
      </c>
      <c r="D3387" s="1" t="s">
        <v>24</v>
      </c>
      <c r="E3387" s="1">
        <v>35679496.600000001</v>
      </c>
      <c r="F3387" s="1">
        <v>1195485.01</v>
      </c>
      <c r="G3387" s="1">
        <v>168850</v>
      </c>
      <c r="H3387" s="1">
        <v>211.3088339</v>
      </c>
    </row>
    <row r="3388" spans="1:8" ht="15.75" thickBot="1" x14ac:dyDescent="0.3">
      <c r="A3388" s="1">
        <v>2017</v>
      </c>
      <c r="B3388" s="1" t="s">
        <v>16</v>
      </c>
      <c r="C3388" s="1" t="s">
        <v>9</v>
      </c>
      <c r="D3388" s="1" t="s">
        <v>27</v>
      </c>
      <c r="E3388" s="1">
        <v>103761372.90000001</v>
      </c>
      <c r="F3388" s="1">
        <v>3816322.59</v>
      </c>
      <c r="G3388" s="1">
        <v>2020982</v>
      </c>
      <c r="H3388" s="1">
        <v>51.342056939999999</v>
      </c>
    </row>
    <row r="3389" spans="1:8" ht="15.75" thickBot="1" x14ac:dyDescent="0.3">
      <c r="A3389" s="1">
        <v>2015</v>
      </c>
      <c r="B3389" s="1" t="s">
        <v>16</v>
      </c>
      <c r="C3389" s="1" t="s">
        <v>18</v>
      </c>
      <c r="D3389" s="1" t="s">
        <v>32</v>
      </c>
      <c r="E3389" s="1">
        <v>30275132.300000001</v>
      </c>
      <c r="F3389" s="1">
        <v>1066904.92</v>
      </c>
      <c r="G3389" s="1">
        <v>419332</v>
      </c>
      <c r="H3389" s="1">
        <v>72.198478289999997</v>
      </c>
    </row>
    <row r="3390" spans="1:8" ht="15.75" thickBot="1" x14ac:dyDescent="0.3">
      <c r="A3390" s="1">
        <v>2016</v>
      </c>
      <c r="B3390" s="1" t="s">
        <v>11</v>
      </c>
      <c r="C3390" s="1" t="s">
        <v>25</v>
      </c>
      <c r="D3390" s="1" t="s">
        <v>31</v>
      </c>
      <c r="E3390" s="1">
        <v>44413512.130000003</v>
      </c>
      <c r="F3390" s="1">
        <v>1299617.42</v>
      </c>
      <c r="G3390" s="1">
        <v>931742</v>
      </c>
      <c r="H3390" s="1">
        <v>47.667178389999997</v>
      </c>
    </row>
    <row r="3391" spans="1:8" ht="15.75" thickBot="1" x14ac:dyDescent="0.3">
      <c r="A3391" s="1">
        <v>2016</v>
      </c>
      <c r="B3391" s="1" t="s">
        <v>30</v>
      </c>
      <c r="C3391" s="1" t="s">
        <v>12</v>
      </c>
      <c r="D3391" s="1" t="s">
        <v>19</v>
      </c>
      <c r="E3391" s="1">
        <v>104658482.5</v>
      </c>
      <c r="F3391" s="1">
        <v>2618237.0499999998</v>
      </c>
      <c r="G3391" s="1">
        <v>806998</v>
      </c>
      <c r="H3391" s="1">
        <v>129.68865170000001</v>
      </c>
    </row>
    <row r="3392" spans="1:8" ht="15.75" thickBot="1" x14ac:dyDescent="0.3">
      <c r="A3392" s="1">
        <v>2016</v>
      </c>
      <c r="B3392" s="1" t="s">
        <v>40</v>
      </c>
      <c r="C3392" s="1" t="s">
        <v>18</v>
      </c>
      <c r="D3392" s="1" t="s">
        <v>13</v>
      </c>
      <c r="E3392" s="1">
        <v>215.99</v>
      </c>
      <c r="F3392" s="1">
        <v>2.1</v>
      </c>
      <c r="G3392" s="1">
        <v>5</v>
      </c>
      <c r="H3392" s="1">
        <v>43.198</v>
      </c>
    </row>
    <row r="3393" spans="1:8" ht="15.75" thickBot="1" x14ac:dyDescent="0.3">
      <c r="A3393" s="1">
        <v>2017</v>
      </c>
      <c r="B3393" s="1" t="s">
        <v>11</v>
      </c>
      <c r="C3393" s="1" t="s">
        <v>18</v>
      </c>
      <c r="D3393" s="1" t="s">
        <v>29</v>
      </c>
      <c r="E3393" s="1">
        <v>1023180.05</v>
      </c>
      <c r="F3393" s="1">
        <v>27444.22</v>
      </c>
      <c r="G3393" s="1">
        <v>2021</v>
      </c>
      <c r="H3393" s="1">
        <v>506.27414649999997</v>
      </c>
    </row>
    <row r="3394" spans="1:8" ht="15.75" thickBot="1" x14ac:dyDescent="0.3">
      <c r="A3394" s="1">
        <v>2015</v>
      </c>
      <c r="B3394" s="1" t="s">
        <v>8</v>
      </c>
      <c r="C3394" s="1" t="s">
        <v>28</v>
      </c>
      <c r="D3394" s="1" t="s">
        <v>36</v>
      </c>
      <c r="E3394" s="1">
        <v>19356</v>
      </c>
      <c r="F3394" s="1">
        <v>131.57</v>
      </c>
      <c r="G3394" s="1">
        <v>456</v>
      </c>
      <c r="H3394" s="1">
        <v>42.447368419999997</v>
      </c>
    </row>
    <row r="3395" spans="1:8" ht="15.75" thickBot="1" x14ac:dyDescent="0.3">
      <c r="A3395" s="1">
        <v>2014</v>
      </c>
      <c r="B3395" s="1" t="s">
        <v>14</v>
      </c>
      <c r="C3395" s="1" t="s">
        <v>28</v>
      </c>
      <c r="D3395" s="1" t="s">
        <v>32</v>
      </c>
      <c r="E3395" s="1">
        <v>50104245.799999997</v>
      </c>
      <c r="F3395" s="1">
        <v>1966085.1</v>
      </c>
      <c r="G3395" s="1">
        <v>1268890</v>
      </c>
      <c r="H3395" s="1">
        <v>39.486674020000002</v>
      </c>
    </row>
    <row r="3396" spans="1:8" ht="15.75" thickBot="1" x14ac:dyDescent="0.3">
      <c r="A3396" s="1">
        <v>2017</v>
      </c>
      <c r="B3396" s="1" t="s">
        <v>35</v>
      </c>
      <c r="C3396" s="1" t="s">
        <v>21</v>
      </c>
      <c r="D3396" s="1" t="s">
        <v>10</v>
      </c>
      <c r="E3396" s="1">
        <v>-723.97</v>
      </c>
      <c r="F3396" s="1">
        <v>102.13</v>
      </c>
      <c r="G3396" s="1">
        <v>322</v>
      </c>
      <c r="H3396" s="1">
        <v>-2.2483540369999999</v>
      </c>
    </row>
    <row r="3397" spans="1:8" ht="15.75" thickBot="1" x14ac:dyDescent="0.3">
      <c r="A3397" s="1">
        <v>2017</v>
      </c>
      <c r="B3397" s="1" t="s">
        <v>40</v>
      </c>
      <c r="C3397" s="1" t="s">
        <v>21</v>
      </c>
      <c r="D3397" s="1" t="s">
        <v>31</v>
      </c>
      <c r="E3397" s="1">
        <v>1457.4</v>
      </c>
      <c r="F3397" s="1">
        <v>51.28</v>
      </c>
      <c r="G3397" s="1">
        <v>29</v>
      </c>
      <c r="H3397" s="1">
        <v>50.25517241</v>
      </c>
    </row>
    <row r="3398" spans="1:8" ht="15.75" thickBot="1" x14ac:dyDescent="0.3">
      <c r="A3398" s="1">
        <v>2016</v>
      </c>
      <c r="B3398" s="1" t="s">
        <v>12</v>
      </c>
      <c r="C3398" s="1" t="s">
        <v>28</v>
      </c>
      <c r="D3398" s="1" t="s">
        <v>10</v>
      </c>
      <c r="E3398" s="1">
        <v>2835759.34</v>
      </c>
      <c r="F3398" s="1">
        <v>75211.48</v>
      </c>
      <c r="G3398" s="1">
        <v>42163</v>
      </c>
      <c r="H3398" s="1">
        <v>67.257058079999993</v>
      </c>
    </row>
    <row r="3399" spans="1:8" ht="15.75" thickBot="1" x14ac:dyDescent="0.3">
      <c r="A3399" s="1">
        <v>2017</v>
      </c>
      <c r="B3399" s="1" t="s">
        <v>35</v>
      </c>
      <c r="C3399" s="1" t="s">
        <v>23</v>
      </c>
      <c r="D3399" s="1" t="s">
        <v>27</v>
      </c>
      <c r="E3399" s="1">
        <v>13026.75</v>
      </c>
      <c r="F3399" s="1">
        <v>663.63</v>
      </c>
      <c r="G3399" s="1">
        <v>593</v>
      </c>
      <c r="H3399" s="1">
        <v>21.96753794</v>
      </c>
    </row>
    <row r="3400" spans="1:8" ht="15.75" thickBot="1" x14ac:dyDescent="0.3">
      <c r="A3400" s="1">
        <v>2017</v>
      </c>
      <c r="B3400" s="1" t="s">
        <v>30</v>
      </c>
      <c r="C3400" s="1" t="s">
        <v>18</v>
      </c>
      <c r="D3400" s="1" t="s">
        <v>19</v>
      </c>
      <c r="E3400" s="1">
        <v>59240828.359999999</v>
      </c>
      <c r="F3400" s="1">
        <v>1361722.91</v>
      </c>
      <c r="G3400" s="1">
        <v>357530</v>
      </c>
      <c r="H3400" s="1">
        <v>165.69470630000001</v>
      </c>
    </row>
    <row r="3401" spans="1:8" ht="15.75" thickBot="1" x14ac:dyDescent="0.3">
      <c r="A3401" s="1">
        <v>2014</v>
      </c>
      <c r="B3401" s="1" t="s">
        <v>14</v>
      </c>
      <c r="C3401" s="1" t="s">
        <v>33</v>
      </c>
      <c r="D3401" s="1" t="s">
        <v>29</v>
      </c>
      <c r="E3401" s="1">
        <v>12647439.42</v>
      </c>
      <c r="F3401" s="1">
        <v>409995.52000000002</v>
      </c>
      <c r="G3401" s="1">
        <v>65542</v>
      </c>
      <c r="H3401" s="1">
        <v>192.96694360000001</v>
      </c>
    </row>
    <row r="3402" spans="1:8" ht="15.75" thickBot="1" x14ac:dyDescent="0.3">
      <c r="A3402" s="1">
        <v>2014</v>
      </c>
      <c r="B3402" s="1" t="s">
        <v>20</v>
      </c>
      <c r="C3402" s="1" t="s">
        <v>18</v>
      </c>
      <c r="D3402" s="1" t="s">
        <v>19</v>
      </c>
      <c r="E3402" s="1">
        <v>1020231.18</v>
      </c>
      <c r="F3402" s="1">
        <v>33984.370000000003</v>
      </c>
      <c r="G3402" s="1">
        <v>11319</v>
      </c>
      <c r="H3402" s="1">
        <v>90.134391730000004</v>
      </c>
    </row>
    <row r="3403" spans="1:8" ht="15.75" thickBot="1" x14ac:dyDescent="0.3">
      <c r="A3403" s="1">
        <v>2016</v>
      </c>
      <c r="B3403" s="1" t="s">
        <v>11</v>
      </c>
      <c r="C3403" s="1" t="s">
        <v>26</v>
      </c>
      <c r="D3403" s="1" t="s">
        <v>27</v>
      </c>
      <c r="E3403" s="1">
        <v>265439364.80000001</v>
      </c>
      <c r="F3403" s="1">
        <v>7445609.8399999999</v>
      </c>
      <c r="G3403" s="1">
        <v>4857383</v>
      </c>
      <c r="H3403" s="1">
        <v>54.646579199999998</v>
      </c>
    </row>
    <row r="3404" spans="1:8" ht="15.75" thickBot="1" x14ac:dyDescent="0.3">
      <c r="A3404" s="1">
        <v>2016</v>
      </c>
      <c r="B3404" s="1" t="s">
        <v>12</v>
      </c>
      <c r="C3404" s="1" t="s">
        <v>9</v>
      </c>
      <c r="D3404" s="1" t="s">
        <v>29</v>
      </c>
      <c r="E3404" s="1">
        <v>67190.5</v>
      </c>
      <c r="F3404" s="1">
        <v>1181.51</v>
      </c>
      <c r="G3404" s="1">
        <v>251</v>
      </c>
      <c r="H3404" s="1">
        <v>267.69123509999997</v>
      </c>
    </row>
    <row r="3405" spans="1:8" ht="15.75" thickBot="1" x14ac:dyDescent="0.3">
      <c r="A3405" s="1">
        <v>2014</v>
      </c>
      <c r="B3405" s="1" t="s">
        <v>35</v>
      </c>
      <c r="C3405" s="1" t="s">
        <v>9</v>
      </c>
      <c r="D3405" s="1" t="s">
        <v>10</v>
      </c>
      <c r="E3405" s="1">
        <v>18.75</v>
      </c>
      <c r="F3405" s="1">
        <v>4.49</v>
      </c>
      <c r="G3405" s="1">
        <v>276</v>
      </c>
      <c r="H3405" s="1">
        <v>6.7934782609999994E-2</v>
      </c>
    </row>
    <row r="3406" spans="1:8" ht="15.75" thickBot="1" x14ac:dyDescent="0.3">
      <c r="A3406" s="1">
        <v>2017</v>
      </c>
      <c r="B3406" s="1" t="s">
        <v>30</v>
      </c>
      <c r="C3406" s="1" t="s">
        <v>9</v>
      </c>
      <c r="D3406" s="1" t="s">
        <v>34</v>
      </c>
      <c r="E3406" s="1">
        <v>0</v>
      </c>
      <c r="F3406" s="1">
        <v>1.2</v>
      </c>
      <c r="G3406" s="1">
        <v>65</v>
      </c>
      <c r="H3406" s="1">
        <v>0</v>
      </c>
    </row>
    <row r="3407" spans="1:8" ht="15.75" thickBot="1" x14ac:dyDescent="0.3">
      <c r="A3407" s="1">
        <v>2014</v>
      </c>
      <c r="B3407" s="1" t="s">
        <v>16</v>
      </c>
      <c r="C3407" s="1" t="s">
        <v>28</v>
      </c>
      <c r="D3407" s="1" t="s">
        <v>27</v>
      </c>
      <c r="E3407" s="1">
        <v>568876407.39999998</v>
      </c>
      <c r="F3407" s="1">
        <v>20364423.43</v>
      </c>
      <c r="G3407" s="1">
        <v>7860097</v>
      </c>
      <c r="H3407" s="1">
        <v>72.375240070000004</v>
      </c>
    </row>
    <row r="3408" spans="1:8" ht="15.75" thickBot="1" x14ac:dyDescent="0.3">
      <c r="A3408" s="1">
        <v>2017</v>
      </c>
      <c r="B3408" s="1" t="s">
        <v>12</v>
      </c>
      <c r="C3408" s="1" t="s">
        <v>15</v>
      </c>
      <c r="D3408" s="1" t="s">
        <v>31</v>
      </c>
      <c r="E3408" s="1">
        <v>399611.92</v>
      </c>
      <c r="F3408" s="1">
        <v>11991.85</v>
      </c>
      <c r="G3408" s="1">
        <v>7060</v>
      </c>
      <c r="H3408" s="1">
        <v>56.602254960000003</v>
      </c>
    </row>
    <row r="3409" spans="1:8" ht="15.75" thickBot="1" x14ac:dyDescent="0.3">
      <c r="A3409" s="1">
        <v>2017</v>
      </c>
      <c r="B3409" s="1" t="s">
        <v>17</v>
      </c>
      <c r="C3409" s="1" t="s">
        <v>33</v>
      </c>
      <c r="D3409" s="1" t="s">
        <v>27</v>
      </c>
      <c r="E3409" s="1">
        <v>624208202.10000002</v>
      </c>
      <c r="F3409" s="1">
        <v>22045162.539999999</v>
      </c>
      <c r="G3409" s="1">
        <v>10032564</v>
      </c>
      <c r="H3409" s="1">
        <v>62.218212819999998</v>
      </c>
    </row>
    <row r="3410" spans="1:8" ht="15.75" thickBot="1" x14ac:dyDescent="0.3">
      <c r="A3410" s="1">
        <v>2017</v>
      </c>
      <c r="B3410" s="1" t="s">
        <v>11</v>
      </c>
      <c r="C3410" s="1" t="s">
        <v>9</v>
      </c>
      <c r="D3410" s="1" t="s">
        <v>29</v>
      </c>
      <c r="E3410" s="1">
        <v>26719.06</v>
      </c>
      <c r="F3410" s="1">
        <v>535.66</v>
      </c>
      <c r="G3410" s="1">
        <v>74</v>
      </c>
      <c r="H3410" s="1">
        <v>361.06837839999997</v>
      </c>
    </row>
    <row r="3411" spans="1:8" ht="15.75" thickBot="1" x14ac:dyDescent="0.3">
      <c r="A3411" s="1">
        <v>2016</v>
      </c>
      <c r="B3411" s="1" t="s">
        <v>12</v>
      </c>
      <c r="C3411" s="1" t="s">
        <v>12</v>
      </c>
      <c r="D3411" s="1" t="s">
        <v>29</v>
      </c>
      <c r="E3411" s="1">
        <v>3064612.43</v>
      </c>
      <c r="F3411" s="1">
        <v>89637.85</v>
      </c>
      <c r="G3411" s="1">
        <v>8239</v>
      </c>
      <c r="H3411" s="1">
        <v>371.96412550000002</v>
      </c>
    </row>
    <row r="3412" spans="1:8" ht="15.75" thickBot="1" x14ac:dyDescent="0.3">
      <c r="A3412" s="1">
        <v>2017</v>
      </c>
      <c r="B3412" s="1" t="s">
        <v>14</v>
      </c>
      <c r="C3412" s="1" t="s">
        <v>28</v>
      </c>
      <c r="D3412" s="1" t="s">
        <v>22</v>
      </c>
      <c r="E3412" s="1">
        <v>8149.87</v>
      </c>
      <c r="F3412" s="1">
        <v>280.14999999999998</v>
      </c>
      <c r="G3412" s="1">
        <v>309</v>
      </c>
      <c r="H3412" s="1">
        <v>26.374983820000001</v>
      </c>
    </row>
    <row r="3413" spans="1:8" ht="15.75" thickBot="1" x14ac:dyDescent="0.3">
      <c r="A3413" s="1">
        <v>2016</v>
      </c>
      <c r="B3413" s="1" t="s">
        <v>20</v>
      </c>
      <c r="C3413" s="1" t="s">
        <v>21</v>
      </c>
      <c r="D3413" s="1" t="s">
        <v>31</v>
      </c>
      <c r="E3413" s="1">
        <v>59244.23</v>
      </c>
      <c r="F3413" s="1">
        <v>2432.31</v>
      </c>
      <c r="G3413" s="1">
        <v>2235</v>
      </c>
      <c r="H3413" s="1">
        <v>26.507485460000002</v>
      </c>
    </row>
    <row r="3414" spans="1:8" ht="15.75" thickBot="1" x14ac:dyDescent="0.3">
      <c r="A3414" s="1">
        <v>2014</v>
      </c>
      <c r="B3414" s="1" t="s">
        <v>8</v>
      </c>
      <c r="C3414" s="1" t="s">
        <v>12</v>
      </c>
      <c r="D3414" s="1" t="s">
        <v>27</v>
      </c>
      <c r="E3414" s="1">
        <v>9129.89</v>
      </c>
      <c r="F3414" s="1">
        <v>315.54000000000002</v>
      </c>
      <c r="G3414" s="1">
        <v>97</v>
      </c>
      <c r="H3414" s="1">
        <v>94.122577320000005</v>
      </c>
    </row>
    <row r="3415" spans="1:8" ht="15.75" thickBot="1" x14ac:dyDescent="0.3">
      <c r="A3415" s="1">
        <v>2015</v>
      </c>
      <c r="B3415" s="1" t="s">
        <v>12</v>
      </c>
      <c r="C3415" s="1" t="s">
        <v>25</v>
      </c>
      <c r="D3415" s="1" t="s">
        <v>32</v>
      </c>
      <c r="E3415" s="1">
        <v>7631186.96</v>
      </c>
      <c r="F3415" s="1">
        <v>287270.43</v>
      </c>
      <c r="G3415" s="1">
        <v>177020</v>
      </c>
      <c r="H3415" s="1">
        <v>43.109179529999999</v>
      </c>
    </row>
    <row r="3416" spans="1:8" ht="15.75" thickBot="1" x14ac:dyDescent="0.3">
      <c r="A3416" s="1">
        <v>2016</v>
      </c>
      <c r="B3416" s="1" t="s">
        <v>8</v>
      </c>
      <c r="C3416" s="1" t="s">
        <v>12</v>
      </c>
      <c r="D3416" s="1" t="s">
        <v>27</v>
      </c>
      <c r="E3416" s="1">
        <v>3439.51</v>
      </c>
      <c r="F3416" s="1">
        <v>164.04</v>
      </c>
      <c r="G3416" s="1">
        <v>199</v>
      </c>
      <c r="H3416" s="1">
        <v>17.283969849999998</v>
      </c>
    </row>
    <row r="3417" spans="1:8" ht="15.75" thickBot="1" x14ac:dyDescent="0.3">
      <c r="A3417" s="1">
        <v>2016</v>
      </c>
      <c r="B3417" s="1" t="s">
        <v>12</v>
      </c>
      <c r="C3417" s="1" t="s">
        <v>25</v>
      </c>
      <c r="D3417" s="1" t="s">
        <v>32</v>
      </c>
      <c r="E3417" s="1">
        <v>9234597.4000000004</v>
      </c>
      <c r="F3417" s="1">
        <v>342616.85</v>
      </c>
      <c r="G3417" s="1">
        <v>186073</v>
      </c>
      <c r="H3417" s="1">
        <v>49.628895110000002</v>
      </c>
    </row>
    <row r="3418" spans="1:8" ht="15.75" thickBot="1" x14ac:dyDescent="0.3">
      <c r="A3418" s="1">
        <v>2014</v>
      </c>
      <c r="B3418" s="1" t="s">
        <v>30</v>
      </c>
      <c r="C3418" s="1" t="s">
        <v>15</v>
      </c>
      <c r="D3418" s="1" t="s">
        <v>32</v>
      </c>
      <c r="E3418" s="1">
        <v>10132655.529999999</v>
      </c>
      <c r="F3418" s="1">
        <v>384190.28</v>
      </c>
      <c r="G3418" s="1">
        <v>210554</v>
      </c>
      <c r="H3418" s="1">
        <v>48.123785490000003</v>
      </c>
    </row>
    <row r="3419" spans="1:8" ht="15.75" thickBot="1" x14ac:dyDescent="0.3">
      <c r="A3419" s="1">
        <v>2017</v>
      </c>
      <c r="B3419" s="1" t="s">
        <v>30</v>
      </c>
      <c r="C3419" s="1" t="s">
        <v>21</v>
      </c>
      <c r="D3419" s="1" t="s">
        <v>24</v>
      </c>
      <c r="E3419" s="1">
        <v>54311103.969999999</v>
      </c>
      <c r="F3419" s="1">
        <v>1852000.65</v>
      </c>
      <c r="G3419" s="1">
        <v>275519</v>
      </c>
      <c r="H3419" s="1">
        <v>197.1228989</v>
      </c>
    </row>
    <row r="3420" spans="1:8" ht="15.75" thickBot="1" x14ac:dyDescent="0.3">
      <c r="A3420" s="1">
        <v>2017</v>
      </c>
      <c r="B3420" s="1" t="s">
        <v>16</v>
      </c>
      <c r="C3420" s="1" t="s">
        <v>28</v>
      </c>
      <c r="D3420" s="1" t="s">
        <v>27</v>
      </c>
      <c r="E3420" s="1">
        <v>619871484.20000005</v>
      </c>
      <c r="F3420" s="1">
        <v>22014542.370000001</v>
      </c>
      <c r="G3420" s="1">
        <v>8281806</v>
      </c>
      <c r="H3420" s="1">
        <v>74.84738041</v>
      </c>
    </row>
    <row r="3421" spans="1:8" ht="15.75" thickBot="1" x14ac:dyDescent="0.3">
      <c r="A3421" s="1">
        <v>2017</v>
      </c>
      <c r="B3421" s="1" t="s">
        <v>14</v>
      </c>
      <c r="C3421" s="1" t="s">
        <v>9</v>
      </c>
      <c r="D3421" s="1" t="s">
        <v>27</v>
      </c>
      <c r="E3421" s="1">
        <v>33272335.940000001</v>
      </c>
      <c r="F3421" s="1">
        <v>1338663.79</v>
      </c>
      <c r="G3421" s="1">
        <v>1051134</v>
      </c>
      <c r="H3421" s="1">
        <v>31.65375294</v>
      </c>
    </row>
    <row r="3422" spans="1:8" ht="15.75" thickBot="1" x14ac:dyDescent="0.3">
      <c r="A3422" s="1">
        <v>2014</v>
      </c>
      <c r="B3422" s="1" t="s">
        <v>8</v>
      </c>
      <c r="C3422" s="1" t="s">
        <v>21</v>
      </c>
      <c r="D3422" s="1" t="s">
        <v>27</v>
      </c>
      <c r="E3422" s="1">
        <v>17000.05</v>
      </c>
      <c r="F3422" s="1">
        <v>475.43</v>
      </c>
      <c r="G3422" s="1">
        <v>162</v>
      </c>
      <c r="H3422" s="1">
        <v>104.9385802</v>
      </c>
    </row>
    <row r="3423" spans="1:8" ht="15.75" thickBot="1" x14ac:dyDescent="0.3">
      <c r="A3423" s="1">
        <v>2014</v>
      </c>
      <c r="B3423" s="1" t="s">
        <v>11</v>
      </c>
      <c r="C3423" s="1" t="s">
        <v>23</v>
      </c>
      <c r="D3423" s="1" t="s">
        <v>31</v>
      </c>
      <c r="E3423" s="1">
        <v>4365391.0999999996</v>
      </c>
      <c r="F3423" s="1">
        <v>132949.45000000001</v>
      </c>
      <c r="G3423" s="1">
        <v>119951</v>
      </c>
      <c r="H3423" s="1">
        <v>36.393119689999999</v>
      </c>
    </row>
    <row r="3424" spans="1:8" ht="15.75" thickBot="1" x14ac:dyDescent="0.3">
      <c r="A3424" s="1">
        <v>2014</v>
      </c>
      <c r="B3424" s="1" t="s">
        <v>11</v>
      </c>
      <c r="C3424" s="1" t="s">
        <v>12</v>
      </c>
      <c r="D3424" s="1" t="s">
        <v>32</v>
      </c>
      <c r="E3424" s="1">
        <v>58109260.840000004</v>
      </c>
      <c r="F3424" s="1">
        <v>2067411.72</v>
      </c>
      <c r="G3424" s="1">
        <v>1263426</v>
      </c>
      <c r="H3424" s="1">
        <v>45.99340273</v>
      </c>
    </row>
    <row r="3425" spans="1:8" ht="15.75" thickBot="1" x14ac:dyDescent="0.3">
      <c r="A3425" s="1">
        <v>2014</v>
      </c>
      <c r="B3425" s="1" t="s">
        <v>11</v>
      </c>
      <c r="C3425" s="1" t="s">
        <v>9</v>
      </c>
      <c r="D3425" s="1" t="s">
        <v>19</v>
      </c>
      <c r="E3425" s="1">
        <v>10923.62</v>
      </c>
      <c r="F3425" s="1">
        <v>556.92999999999995</v>
      </c>
      <c r="G3425" s="1">
        <v>569</v>
      </c>
      <c r="H3425" s="1">
        <v>19.19792619</v>
      </c>
    </row>
    <row r="3426" spans="1:8" ht="15.75" thickBot="1" x14ac:dyDescent="0.3">
      <c r="A3426" s="1">
        <v>2015</v>
      </c>
      <c r="B3426" s="1" t="s">
        <v>17</v>
      </c>
      <c r="C3426" s="1" t="s">
        <v>26</v>
      </c>
      <c r="D3426" s="1" t="s">
        <v>27</v>
      </c>
      <c r="E3426" s="1">
        <v>566412495.5</v>
      </c>
      <c r="F3426" s="1">
        <v>19970335.09</v>
      </c>
      <c r="G3426" s="1">
        <v>8946148</v>
      </c>
      <c r="H3426" s="1">
        <v>63.31356194</v>
      </c>
    </row>
    <row r="3427" spans="1:8" ht="15.75" thickBot="1" x14ac:dyDescent="0.3">
      <c r="A3427" s="1">
        <v>2015</v>
      </c>
      <c r="B3427" s="1" t="s">
        <v>20</v>
      </c>
      <c r="C3427" s="1" t="s">
        <v>25</v>
      </c>
      <c r="D3427" s="1" t="s">
        <v>24</v>
      </c>
      <c r="E3427" s="1">
        <v>814888.5</v>
      </c>
      <c r="F3427" s="1">
        <v>29135.27</v>
      </c>
      <c r="G3427" s="1">
        <v>9715</v>
      </c>
      <c r="H3427" s="1">
        <v>83.879413279999994</v>
      </c>
    </row>
    <row r="3428" spans="1:8" ht="15.75" thickBot="1" x14ac:dyDescent="0.3">
      <c r="A3428" s="1">
        <v>2015</v>
      </c>
      <c r="B3428" s="1" t="s">
        <v>14</v>
      </c>
      <c r="C3428" s="1" t="s">
        <v>9</v>
      </c>
      <c r="D3428" s="1" t="s">
        <v>29</v>
      </c>
      <c r="E3428" s="1">
        <v>107293.43</v>
      </c>
      <c r="F3428" s="1">
        <v>1543.42</v>
      </c>
      <c r="G3428" s="1">
        <v>870</v>
      </c>
      <c r="H3428" s="1">
        <v>123.3257816</v>
      </c>
    </row>
    <row r="3429" spans="1:8" ht="15.75" thickBot="1" x14ac:dyDescent="0.3">
      <c r="A3429" s="1">
        <v>2017</v>
      </c>
      <c r="B3429" s="1" t="s">
        <v>8</v>
      </c>
      <c r="C3429" s="1" t="s">
        <v>21</v>
      </c>
      <c r="D3429" s="1" t="s">
        <v>10</v>
      </c>
      <c r="E3429" s="1">
        <v>1005.5</v>
      </c>
      <c r="F3429" s="1">
        <v>38.380000000000003</v>
      </c>
      <c r="G3429" s="1">
        <v>12</v>
      </c>
      <c r="H3429" s="1">
        <v>83.791666669999998</v>
      </c>
    </row>
    <row r="3430" spans="1:8" ht="15.75" thickBot="1" x14ac:dyDescent="0.3">
      <c r="A3430" s="1">
        <v>2015</v>
      </c>
      <c r="B3430" s="1" t="s">
        <v>17</v>
      </c>
      <c r="C3430" s="1" t="s">
        <v>25</v>
      </c>
      <c r="D3430" s="1" t="s">
        <v>13</v>
      </c>
      <c r="E3430" s="1">
        <v>484344.93</v>
      </c>
      <c r="F3430" s="1">
        <v>15427.37</v>
      </c>
      <c r="G3430" s="1">
        <v>9611</v>
      </c>
      <c r="H3430" s="1">
        <v>50.39485277</v>
      </c>
    </row>
    <row r="3431" spans="1:8" ht="15.75" thickBot="1" x14ac:dyDescent="0.3">
      <c r="A3431" s="1">
        <v>2015</v>
      </c>
      <c r="B3431" s="1" t="s">
        <v>8</v>
      </c>
      <c r="C3431" s="1" t="s">
        <v>25</v>
      </c>
      <c r="D3431" s="1" t="s">
        <v>27</v>
      </c>
      <c r="E3431" s="1">
        <v>15705.66</v>
      </c>
      <c r="F3431" s="1">
        <v>579.32000000000005</v>
      </c>
      <c r="G3431" s="1">
        <v>550</v>
      </c>
      <c r="H3431" s="1">
        <v>28.55574545</v>
      </c>
    </row>
    <row r="3432" spans="1:8" ht="15.75" thickBot="1" x14ac:dyDescent="0.3">
      <c r="A3432" s="1">
        <v>2017</v>
      </c>
      <c r="B3432" s="1" t="s">
        <v>35</v>
      </c>
      <c r="C3432" s="1" t="s">
        <v>21</v>
      </c>
      <c r="D3432" s="1" t="s">
        <v>13</v>
      </c>
      <c r="E3432" s="1">
        <v>504.97</v>
      </c>
      <c r="F3432" s="1">
        <v>15.59</v>
      </c>
      <c r="G3432" s="1">
        <v>55</v>
      </c>
      <c r="H3432" s="1">
        <v>9.1812727269999996</v>
      </c>
    </row>
    <row r="3433" spans="1:8" ht="15.75" thickBot="1" x14ac:dyDescent="0.3">
      <c r="A3433" s="1">
        <v>2014</v>
      </c>
      <c r="B3433" s="1" t="s">
        <v>14</v>
      </c>
      <c r="C3433" s="1" t="s">
        <v>9</v>
      </c>
      <c r="D3433" s="1" t="s">
        <v>32</v>
      </c>
      <c r="E3433" s="1">
        <v>272558.53000000003</v>
      </c>
      <c r="F3433" s="1">
        <v>9430.69</v>
      </c>
      <c r="G3433" s="1">
        <v>36475</v>
      </c>
      <c r="H3433" s="1">
        <v>7.4724751200000004</v>
      </c>
    </row>
    <row r="3434" spans="1:8" ht="15.75" thickBot="1" x14ac:dyDescent="0.3">
      <c r="A3434" s="1">
        <v>2015</v>
      </c>
      <c r="B3434" s="1" t="s">
        <v>12</v>
      </c>
      <c r="C3434" s="1" t="s">
        <v>25</v>
      </c>
      <c r="D3434" s="1" t="s">
        <v>10</v>
      </c>
      <c r="E3434" s="1">
        <v>6003048.4400000004</v>
      </c>
      <c r="F3434" s="1">
        <v>149237.45000000001</v>
      </c>
      <c r="G3434" s="1">
        <v>81995</v>
      </c>
      <c r="H3434" s="1">
        <v>73.212371970000007</v>
      </c>
    </row>
    <row r="3435" spans="1:8" ht="15.75" thickBot="1" x14ac:dyDescent="0.3">
      <c r="A3435" s="1">
        <v>2016</v>
      </c>
      <c r="B3435" s="1" t="s">
        <v>20</v>
      </c>
      <c r="C3435" s="1" t="s">
        <v>9</v>
      </c>
      <c r="D3435" s="1" t="s">
        <v>27</v>
      </c>
      <c r="E3435" s="1">
        <v>25885.05</v>
      </c>
      <c r="F3435" s="1">
        <v>750.68</v>
      </c>
      <c r="G3435" s="1">
        <v>1239</v>
      </c>
      <c r="H3435" s="1">
        <v>20.89188862</v>
      </c>
    </row>
    <row r="3436" spans="1:8" ht="15.75" thickBot="1" x14ac:dyDescent="0.3">
      <c r="A3436" s="1">
        <v>2016</v>
      </c>
      <c r="B3436" s="1" t="s">
        <v>20</v>
      </c>
      <c r="C3436" s="1" t="s">
        <v>26</v>
      </c>
      <c r="D3436" s="1" t="s">
        <v>13</v>
      </c>
      <c r="E3436" s="1">
        <v>66697.06</v>
      </c>
      <c r="F3436" s="1">
        <v>2026.46</v>
      </c>
      <c r="G3436" s="1">
        <v>2199</v>
      </c>
      <c r="H3436" s="1">
        <v>30.33063211</v>
      </c>
    </row>
    <row r="3437" spans="1:8" ht="15.75" thickBot="1" x14ac:dyDescent="0.3">
      <c r="A3437" s="1">
        <v>2014</v>
      </c>
      <c r="B3437" s="1" t="s">
        <v>11</v>
      </c>
      <c r="C3437" s="1" t="s">
        <v>21</v>
      </c>
      <c r="D3437" s="1" t="s">
        <v>10</v>
      </c>
      <c r="E3437" s="1">
        <v>164664755.59999999</v>
      </c>
      <c r="F3437" s="1">
        <v>3529334.98</v>
      </c>
      <c r="G3437" s="1">
        <v>2060770</v>
      </c>
      <c r="H3437" s="1">
        <v>79.904480179999993</v>
      </c>
    </row>
    <row r="3438" spans="1:8" ht="15.75" thickBot="1" x14ac:dyDescent="0.3">
      <c r="A3438" s="1">
        <v>2014</v>
      </c>
      <c r="B3438" s="1" t="s">
        <v>8</v>
      </c>
      <c r="C3438" s="1" t="s">
        <v>9</v>
      </c>
      <c r="D3438" s="1" t="s">
        <v>27</v>
      </c>
      <c r="E3438" s="1">
        <v>1154.54</v>
      </c>
      <c r="F3438" s="1">
        <v>38.25</v>
      </c>
      <c r="G3438" s="1">
        <v>16</v>
      </c>
      <c r="H3438" s="1">
        <v>72.158749999999998</v>
      </c>
    </row>
    <row r="3439" spans="1:8" ht="15.75" thickBot="1" x14ac:dyDescent="0.3">
      <c r="A3439" s="1">
        <v>2014</v>
      </c>
      <c r="B3439" s="1" t="s">
        <v>11</v>
      </c>
      <c r="C3439" s="1" t="s">
        <v>23</v>
      </c>
      <c r="D3439" s="1" t="s">
        <v>13</v>
      </c>
      <c r="E3439" s="1">
        <v>1699.19</v>
      </c>
      <c r="F3439" s="1">
        <v>47.38</v>
      </c>
      <c r="G3439" s="1">
        <v>53</v>
      </c>
      <c r="H3439" s="1">
        <v>32.060188680000003</v>
      </c>
    </row>
    <row r="3440" spans="1:8" ht="15.75" thickBot="1" x14ac:dyDescent="0.3">
      <c r="A3440" s="1">
        <v>2015</v>
      </c>
      <c r="B3440" s="1" t="s">
        <v>35</v>
      </c>
      <c r="C3440" s="1" t="s">
        <v>15</v>
      </c>
      <c r="D3440" s="1" t="s">
        <v>10</v>
      </c>
      <c r="E3440" s="1">
        <v>156.02000000000001</v>
      </c>
      <c r="F3440" s="1">
        <v>4.82</v>
      </c>
      <c r="G3440" s="1">
        <v>43</v>
      </c>
      <c r="H3440" s="1">
        <v>3.6283720929999999</v>
      </c>
    </row>
    <row r="3441" spans="1:8" ht="15.75" thickBot="1" x14ac:dyDescent="0.3">
      <c r="A3441" s="1">
        <v>2017</v>
      </c>
      <c r="B3441" s="1" t="s">
        <v>8</v>
      </c>
      <c r="C3441" s="1" t="s">
        <v>23</v>
      </c>
      <c r="D3441" s="1" t="s">
        <v>29</v>
      </c>
      <c r="E3441" s="1">
        <v>229.75</v>
      </c>
      <c r="F3441" s="1">
        <v>7.27</v>
      </c>
      <c r="G3441" s="1">
        <v>2</v>
      </c>
      <c r="H3441" s="1">
        <v>114.875</v>
      </c>
    </row>
    <row r="3442" spans="1:8" ht="15.75" thickBot="1" x14ac:dyDescent="0.3">
      <c r="A3442" s="1">
        <v>2017</v>
      </c>
      <c r="B3442" s="1" t="s">
        <v>14</v>
      </c>
      <c r="C3442" s="1" t="s">
        <v>26</v>
      </c>
      <c r="D3442" s="1" t="s">
        <v>22</v>
      </c>
      <c r="E3442" s="1">
        <v>9288.01</v>
      </c>
      <c r="F3442" s="1">
        <v>339.57</v>
      </c>
      <c r="G3442" s="1">
        <v>677</v>
      </c>
      <c r="H3442" s="1">
        <v>13.719364840000001</v>
      </c>
    </row>
    <row r="3443" spans="1:8" ht="15.75" thickBot="1" x14ac:dyDescent="0.3">
      <c r="A3443" s="1">
        <v>2014</v>
      </c>
      <c r="B3443" s="1" t="s">
        <v>20</v>
      </c>
      <c r="C3443" s="1" t="s">
        <v>33</v>
      </c>
      <c r="D3443" s="1" t="s">
        <v>22</v>
      </c>
      <c r="E3443" s="1">
        <v>556.22</v>
      </c>
      <c r="F3443" s="1">
        <v>25.26</v>
      </c>
      <c r="G3443" s="1">
        <v>129</v>
      </c>
      <c r="H3443" s="1">
        <v>4.3117829460000001</v>
      </c>
    </row>
    <row r="3444" spans="1:8" ht="15.75" thickBot="1" x14ac:dyDescent="0.3">
      <c r="A3444" s="1">
        <v>2017</v>
      </c>
      <c r="B3444" s="1" t="s">
        <v>40</v>
      </c>
      <c r="C3444" s="1" t="s">
        <v>18</v>
      </c>
      <c r="D3444" s="1" t="s">
        <v>27</v>
      </c>
      <c r="E3444" s="1">
        <v>15600.2</v>
      </c>
      <c r="F3444" s="1">
        <v>510.87</v>
      </c>
      <c r="G3444" s="1">
        <v>86</v>
      </c>
      <c r="H3444" s="1">
        <v>181.3976744</v>
      </c>
    </row>
    <row r="3445" spans="1:8" ht="15.75" thickBot="1" x14ac:dyDescent="0.3">
      <c r="A3445" s="1">
        <v>2015</v>
      </c>
      <c r="B3445" s="1" t="s">
        <v>16</v>
      </c>
      <c r="C3445" s="1" t="s">
        <v>33</v>
      </c>
      <c r="D3445" s="1" t="s">
        <v>13</v>
      </c>
      <c r="E3445" s="1">
        <v>449764.76</v>
      </c>
      <c r="F3445" s="1">
        <v>15021.42</v>
      </c>
      <c r="G3445" s="1">
        <v>8281</v>
      </c>
      <c r="H3445" s="1">
        <v>54.312855939999999</v>
      </c>
    </row>
    <row r="3446" spans="1:8" ht="15.75" thickBot="1" x14ac:dyDescent="0.3">
      <c r="A3446" s="1">
        <v>2015</v>
      </c>
      <c r="B3446" s="1" t="s">
        <v>20</v>
      </c>
      <c r="C3446" s="1" t="s">
        <v>33</v>
      </c>
      <c r="D3446" s="1" t="s">
        <v>32</v>
      </c>
      <c r="E3446" s="1">
        <v>7163504.25</v>
      </c>
      <c r="F3446" s="1">
        <v>288384.45</v>
      </c>
      <c r="G3446" s="1">
        <v>240825</v>
      </c>
      <c r="H3446" s="1">
        <v>29.745683589999999</v>
      </c>
    </row>
    <row r="3447" spans="1:8" ht="15.75" thickBot="1" x14ac:dyDescent="0.3">
      <c r="A3447" s="1">
        <v>2014</v>
      </c>
      <c r="B3447" s="1" t="s">
        <v>11</v>
      </c>
      <c r="C3447" s="1" t="s">
        <v>9</v>
      </c>
      <c r="D3447" s="1" t="s">
        <v>29</v>
      </c>
      <c r="E3447" s="1">
        <v>190525.63</v>
      </c>
      <c r="F3447" s="1">
        <v>6650.94</v>
      </c>
      <c r="G3447" s="1">
        <v>464</v>
      </c>
      <c r="H3447" s="1">
        <v>410.6155819</v>
      </c>
    </row>
    <row r="3448" spans="1:8" ht="15.75" thickBot="1" x14ac:dyDescent="0.3">
      <c r="A3448" s="1">
        <v>2015</v>
      </c>
      <c r="B3448" s="1" t="s">
        <v>14</v>
      </c>
      <c r="C3448" s="1" t="s">
        <v>18</v>
      </c>
      <c r="D3448" s="1" t="s">
        <v>29</v>
      </c>
      <c r="E3448" s="1">
        <v>7099651.96</v>
      </c>
      <c r="F3448" s="1">
        <v>220518.39999999999</v>
      </c>
      <c r="G3448" s="1">
        <v>24718</v>
      </c>
      <c r="H3448" s="1">
        <v>287.22598749999997</v>
      </c>
    </row>
    <row r="3449" spans="1:8" ht="15.75" thickBot="1" x14ac:dyDescent="0.3">
      <c r="A3449" s="1">
        <v>2016</v>
      </c>
      <c r="B3449" s="1" t="s">
        <v>30</v>
      </c>
      <c r="C3449" s="1" t="s">
        <v>23</v>
      </c>
      <c r="D3449" s="1" t="s">
        <v>29</v>
      </c>
      <c r="E3449" s="1">
        <v>7407522.1399999997</v>
      </c>
      <c r="F3449" s="1">
        <v>259927.99</v>
      </c>
      <c r="G3449" s="1">
        <v>55503</v>
      </c>
      <c r="H3449" s="1">
        <v>133.4616532</v>
      </c>
    </row>
    <row r="3450" spans="1:8" ht="15.75" thickBot="1" x14ac:dyDescent="0.3">
      <c r="A3450" s="1">
        <v>2016</v>
      </c>
      <c r="B3450" s="1" t="s">
        <v>40</v>
      </c>
      <c r="C3450" s="1" t="s">
        <v>9</v>
      </c>
      <c r="D3450" s="1" t="s">
        <v>27</v>
      </c>
      <c r="E3450" s="1">
        <v>5821.94</v>
      </c>
      <c r="F3450" s="1">
        <v>238.74</v>
      </c>
      <c r="G3450" s="1">
        <v>80</v>
      </c>
      <c r="H3450" s="1">
        <v>72.774249999999995</v>
      </c>
    </row>
    <row r="3451" spans="1:8" ht="15.75" thickBot="1" x14ac:dyDescent="0.3">
      <c r="A3451" s="1">
        <v>2016</v>
      </c>
      <c r="B3451" s="1" t="s">
        <v>17</v>
      </c>
      <c r="C3451" s="1" t="s">
        <v>23</v>
      </c>
      <c r="D3451" s="1" t="s">
        <v>32</v>
      </c>
      <c r="E3451" s="1">
        <v>59203746.130000003</v>
      </c>
      <c r="F3451" s="1">
        <v>2254557.9900000002</v>
      </c>
      <c r="G3451" s="1">
        <v>1286751</v>
      </c>
      <c r="H3451" s="1">
        <v>46.010258499999999</v>
      </c>
    </row>
    <row r="3452" spans="1:8" ht="15.75" thickBot="1" x14ac:dyDescent="0.3">
      <c r="A3452" s="1">
        <v>2014</v>
      </c>
      <c r="B3452" s="1" t="s">
        <v>16</v>
      </c>
      <c r="C3452" s="1" t="s">
        <v>25</v>
      </c>
      <c r="D3452" s="1" t="s">
        <v>32</v>
      </c>
      <c r="E3452" s="1">
        <v>84836401.099999994</v>
      </c>
      <c r="F3452" s="1">
        <v>3297489.56</v>
      </c>
      <c r="G3452" s="1">
        <v>1728914</v>
      </c>
      <c r="H3452" s="1">
        <v>49.069185109999999</v>
      </c>
    </row>
    <row r="3453" spans="1:8" ht="15.75" thickBot="1" x14ac:dyDescent="0.3">
      <c r="A3453" s="1">
        <v>2017</v>
      </c>
      <c r="B3453" s="1" t="s">
        <v>16</v>
      </c>
      <c r="C3453" s="1" t="s">
        <v>23</v>
      </c>
      <c r="D3453" s="1" t="s">
        <v>32</v>
      </c>
      <c r="E3453" s="1">
        <v>65471499.25</v>
      </c>
      <c r="F3453" s="1">
        <v>2687764.37</v>
      </c>
      <c r="G3453" s="1">
        <v>1538836</v>
      </c>
      <c r="H3453" s="1">
        <v>42.546118790000001</v>
      </c>
    </row>
    <row r="3454" spans="1:8" ht="15.75" thickBot="1" x14ac:dyDescent="0.3">
      <c r="A3454" s="1">
        <v>2015</v>
      </c>
      <c r="B3454" s="1" t="s">
        <v>35</v>
      </c>
      <c r="C3454" s="1" t="s">
        <v>21</v>
      </c>
      <c r="D3454" s="1" t="s">
        <v>32</v>
      </c>
      <c r="E3454" s="1">
        <v>5591.91</v>
      </c>
      <c r="F3454" s="1">
        <v>295.14999999999998</v>
      </c>
      <c r="G3454" s="1">
        <v>924</v>
      </c>
      <c r="H3454" s="1">
        <v>6.0518506490000004</v>
      </c>
    </row>
    <row r="3455" spans="1:8" ht="15.75" thickBot="1" x14ac:dyDescent="0.3">
      <c r="A3455" s="1">
        <v>2015</v>
      </c>
      <c r="B3455" s="1" t="s">
        <v>14</v>
      </c>
      <c r="C3455" s="1" t="s">
        <v>21</v>
      </c>
      <c r="D3455" s="1" t="s">
        <v>10</v>
      </c>
      <c r="E3455" s="1">
        <v>6623949.3799999999</v>
      </c>
      <c r="F3455" s="1">
        <v>247458.87</v>
      </c>
      <c r="G3455" s="1">
        <v>130827</v>
      </c>
      <c r="H3455" s="1">
        <v>50.631363399999998</v>
      </c>
    </row>
    <row r="3456" spans="1:8" ht="15.75" thickBot="1" x14ac:dyDescent="0.3">
      <c r="A3456" s="1">
        <v>2017</v>
      </c>
      <c r="B3456" s="1" t="s">
        <v>17</v>
      </c>
      <c r="C3456" s="1" t="s">
        <v>33</v>
      </c>
      <c r="D3456" s="1" t="s">
        <v>13</v>
      </c>
      <c r="E3456" s="1">
        <v>8984402.6799999997</v>
      </c>
      <c r="F3456" s="1">
        <v>295712.5</v>
      </c>
      <c r="G3456" s="1">
        <v>201877</v>
      </c>
      <c r="H3456" s="1">
        <v>44.504340169999999</v>
      </c>
    </row>
    <row r="3457" spans="1:8" ht="15.75" thickBot="1" x14ac:dyDescent="0.3">
      <c r="A3457" s="1">
        <v>2017</v>
      </c>
      <c r="B3457" s="1" t="s">
        <v>17</v>
      </c>
      <c r="C3457" s="1" t="s">
        <v>21</v>
      </c>
      <c r="D3457" s="1" t="s">
        <v>31</v>
      </c>
      <c r="E3457" s="1">
        <v>49302081.810000002</v>
      </c>
      <c r="F3457" s="1">
        <v>1595429.8</v>
      </c>
      <c r="G3457" s="1">
        <v>854652</v>
      </c>
      <c r="H3457" s="1">
        <v>57.686733089999997</v>
      </c>
    </row>
    <row r="3458" spans="1:8" ht="15.75" thickBot="1" x14ac:dyDescent="0.3">
      <c r="A3458" s="1">
        <v>2015</v>
      </c>
      <c r="B3458" s="1" t="s">
        <v>17</v>
      </c>
      <c r="C3458" s="1" t="s">
        <v>12</v>
      </c>
      <c r="D3458" s="1" t="s">
        <v>13</v>
      </c>
      <c r="E3458" s="1">
        <v>193656.08</v>
      </c>
      <c r="F3458" s="1">
        <v>6355.38</v>
      </c>
      <c r="G3458" s="1">
        <v>4687</v>
      </c>
      <c r="H3458" s="1">
        <v>41.317704290000002</v>
      </c>
    </row>
    <row r="3459" spans="1:8" ht="15.75" thickBot="1" x14ac:dyDescent="0.3">
      <c r="A3459" s="1">
        <v>2014</v>
      </c>
      <c r="B3459" s="1" t="s">
        <v>8</v>
      </c>
      <c r="C3459" s="1" t="s">
        <v>28</v>
      </c>
      <c r="D3459" s="1" t="s">
        <v>36</v>
      </c>
      <c r="E3459" s="1">
        <v>20482.72</v>
      </c>
      <c r="F3459" s="1">
        <v>124.15</v>
      </c>
      <c r="G3459" s="1">
        <v>471</v>
      </c>
      <c r="H3459" s="1">
        <v>43.487728240000003</v>
      </c>
    </row>
    <row r="3460" spans="1:8" ht="15.75" thickBot="1" x14ac:dyDescent="0.3">
      <c r="A3460" s="1">
        <v>2016</v>
      </c>
      <c r="B3460" s="1" t="s">
        <v>11</v>
      </c>
      <c r="C3460" s="1" t="s">
        <v>12</v>
      </c>
      <c r="D3460" s="1" t="s">
        <v>13</v>
      </c>
      <c r="E3460" s="1">
        <v>1273616.99</v>
      </c>
      <c r="F3460" s="1">
        <v>41829.25</v>
      </c>
      <c r="G3460" s="1">
        <v>170908</v>
      </c>
      <c r="H3460" s="1">
        <v>7.4520618699999996</v>
      </c>
    </row>
    <row r="3461" spans="1:8" ht="15.75" thickBot="1" x14ac:dyDescent="0.3">
      <c r="A3461" s="1">
        <v>2014</v>
      </c>
      <c r="B3461" s="1" t="s">
        <v>11</v>
      </c>
      <c r="C3461" s="1" t="s">
        <v>25</v>
      </c>
      <c r="D3461" s="1" t="s">
        <v>31</v>
      </c>
      <c r="E3461" s="1">
        <v>12594025.24</v>
      </c>
      <c r="F3461" s="1">
        <v>413242.64</v>
      </c>
      <c r="G3461" s="1">
        <v>376062</v>
      </c>
      <c r="H3461" s="1">
        <v>33.489225820000001</v>
      </c>
    </row>
    <row r="3462" spans="1:8" ht="15.75" thickBot="1" x14ac:dyDescent="0.3">
      <c r="A3462" s="1">
        <v>2017</v>
      </c>
      <c r="B3462" s="1" t="s">
        <v>30</v>
      </c>
      <c r="C3462" s="1" t="s">
        <v>26</v>
      </c>
      <c r="D3462" s="1" t="s">
        <v>19</v>
      </c>
      <c r="E3462" s="1">
        <v>235236674.5</v>
      </c>
      <c r="F3462" s="1">
        <v>5435564.4000000004</v>
      </c>
      <c r="G3462" s="1">
        <v>1949043</v>
      </c>
      <c r="H3462" s="1">
        <v>120.69342469999999</v>
      </c>
    </row>
    <row r="3463" spans="1:8" ht="15.75" thickBot="1" x14ac:dyDescent="0.3">
      <c r="A3463" s="1">
        <v>2017</v>
      </c>
      <c r="B3463" s="1" t="s">
        <v>17</v>
      </c>
      <c r="C3463" s="1" t="s">
        <v>21</v>
      </c>
      <c r="D3463" s="1" t="s">
        <v>22</v>
      </c>
      <c r="E3463" s="1">
        <v>1731567.18</v>
      </c>
      <c r="F3463" s="1">
        <v>66256.61</v>
      </c>
      <c r="G3463" s="1">
        <v>110574</v>
      </c>
      <c r="H3463" s="1">
        <v>15.65980411</v>
      </c>
    </row>
    <row r="3464" spans="1:8" ht="15.75" thickBot="1" x14ac:dyDescent="0.3">
      <c r="A3464" s="1">
        <v>2016</v>
      </c>
      <c r="B3464" s="1" t="s">
        <v>17</v>
      </c>
      <c r="C3464" s="1" t="s">
        <v>23</v>
      </c>
      <c r="D3464" s="1" t="s">
        <v>31</v>
      </c>
      <c r="E3464" s="1">
        <v>9180879.6600000001</v>
      </c>
      <c r="F3464" s="1">
        <v>306177.18</v>
      </c>
      <c r="G3464" s="1">
        <v>176609</v>
      </c>
      <c r="H3464" s="1">
        <v>51.984211790000003</v>
      </c>
    </row>
    <row r="3465" spans="1:8" ht="15.75" thickBot="1" x14ac:dyDescent="0.3">
      <c r="A3465" s="1">
        <v>2017</v>
      </c>
      <c r="B3465" s="1" t="s">
        <v>12</v>
      </c>
      <c r="C3465" s="1" t="s">
        <v>33</v>
      </c>
      <c r="D3465" s="1" t="s">
        <v>29</v>
      </c>
      <c r="E3465" s="1">
        <v>5355161.1500000004</v>
      </c>
      <c r="F3465" s="1">
        <v>165687.44</v>
      </c>
      <c r="G3465" s="1">
        <v>13032</v>
      </c>
      <c r="H3465" s="1">
        <v>410.92396789999998</v>
      </c>
    </row>
    <row r="3466" spans="1:8" ht="15.75" thickBot="1" x14ac:dyDescent="0.3">
      <c r="A3466" s="1">
        <v>2016</v>
      </c>
      <c r="B3466" s="1" t="s">
        <v>14</v>
      </c>
      <c r="C3466" s="1" t="s">
        <v>21</v>
      </c>
      <c r="D3466" s="1" t="s">
        <v>13</v>
      </c>
      <c r="E3466" s="1">
        <v>1785399.14</v>
      </c>
      <c r="F3466" s="1">
        <v>63669.59</v>
      </c>
      <c r="G3466" s="1">
        <v>60475</v>
      </c>
      <c r="H3466" s="1">
        <v>29.522929139999999</v>
      </c>
    </row>
    <row r="3467" spans="1:8" ht="15.75" thickBot="1" x14ac:dyDescent="0.3">
      <c r="A3467" s="1">
        <v>2015</v>
      </c>
      <c r="B3467" s="1" t="s">
        <v>11</v>
      </c>
      <c r="C3467" s="1" t="s">
        <v>18</v>
      </c>
      <c r="D3467" s="1" t="s">
        <v>29</v>
      </c>
      <c r="E3467" s="1">
        <v>591891.28</v>
      </c>
      <c r="F3467" s="1">
        <v>16727.05</v>
      </c>
      <c r="G3467" s="1">
        <v>1390</v>
      </c>
      <c r="H3467" s="1">
        <v>425.82106470000002</v>
      </c>
    </row>
    <row r="3468" spans="1:8" ht="15.75" thickBot="1" x14ac:dyDescent="0.3">
      <c r="A3468" s="1">
        <v>2017</v>
      </c>
      <c r="B3468" s="1" t="s">
        <v>35</v>
      </c>
      <c r="C3468" s="1" t="s">
        <v>18</v>
      </c>
      <c r="D3468" s="1" t="s">
        <v>31</v>
      </c>
      <c r="E3468" s="1">
        <v>78.88</v>
      </c>
      <c r="F3468" s="1">
        <v>3.19</v>
      </c>
      <c r="G3468" s="1">
        <v>4</v>
      </c>
      <c r="H3468" s="1">
        <v>19.72</v>
      </c>
    </row>
    <row r="3469" spans="1:8" ht="15.75" thickBot="1" x14ac:dyDescent="0.3">
      <c r="A3469" s="1">
        <v>2015</v>
      </c>
      <c r="B3469" s="1" t="s">
        <v>17</v>
      </c>
      <c r="C3469" s="1" t="s">
        <v>9</v>
      </c>
      <c r="D3469" s="1" t="s">
        <v>31</v>
      </c>
      <c r="E3469" s="1">
        <v>935588688.5</v>
      </c>
      <c r="F3469" s="1">
        <v>25616101.5</v>
      </c>
      <c r="G3469" s="1">
        <v>10654887</v>
      </c>
      <c r="H3469" s="1">
        <v>87.808410219999999</v>
      </c>
    </row>
    <row r="3470" spans="1:8" ht="15.75" thickBot="1" x14ac:dyDescent="0.3">
      <c r="A3470" s="1">
        <v>2014</v>
      </c>
      <c r="B3470" s="1" t="s">
        <v>30</v>
      </c>
      <c r="C3470" s="1" t="s">
        <v>21</v>
      </c>
      <c r="D3470" s="1" t="s">
        <v>19</v>
      </c>
      <c r="E3470" s="1">
        <v>243639860.40000001</v>
      </c>
      <c r="F3470" s="1">
        <v>6423672.2199999997</v>
      </c>
      <c r="G3470" s="1">
        <v>1722271</v>
      </c>
      <c r="H3470" s="1">
        <v>141.46429939999999</v>
      </c>
    </row>
    <row r="3471" spans="1:8" ht="15.75" thickBot="1" x14ac:dyDescent="0.3">
      <c r="A3471" s="1">
        <v>2017</v>
      </c>
      <c r="B3471" s="1" t="s">
        <v>20</v>
      </c>
      <c r="C3471" s="1" t="s">
        <v>23</v>
      </c>
      <c r="D3471" s="1" t="s">
        <v>19</v>
      </c>
      <c r="E3471" s="1">
        <v>1590213.63</v>
      </c>
      <c r="F3471" s="1">
        <v>47569.31</v>
      </c>
      <c r="G3471" s="1">
        <v>96164</v>
      </c>
      <c r="H3471" s="1">
        <v>16.536475500000002</v>
      </c>
    </row>
    <row r="3472" spans="1:8" ht="15.75" thickBot="1" x14ac:dyDescent="0.3">
      <c r="A3472" s="1">
        <v>2015</v>
      </c>
      <c r="B3472" s="1" t="s">
        <v>20</v>
      </c>
      <c r="C3472" s="1" t="s">
        <v>15</v>
      </c>
      <c r="D3472" s="1" t="s">
        <v>19</v>
      </c>
      <c r="E3472" s="1">
        <v>3128330.66</v>
      </c>
      <c r="F3472" s="1">
        <v>107634.72</v>
      </c>
      <c r="G3472" s="1">
        <v>36791</v>
      </c>
      <c r="H3472" s="1">
        <v>85.029780650000006</v>
      </c>
    </row>
    <row r="3473" spans="1:8" ht="15.75" thickBot="1" x14ac:dyDescent="0.3">
      <c r="A3473" s="1">
        <v>2017</v>
      </c>
      <c r="B3473" s="1" t="s">
        <v>11</v>
      </c>
      <c r="C3473" s="1" t="s">
        <v>9</v>
      </c>
      <c r="D3473" s="1" t="s">
        <v>19</v>
      </c>
      <c r="E3473" s="1">
        <v>4318.5</v>
      </c>
      <c r="F3473" s="1">
        <v>108.44</v>
      </c>
      <c r="G3473" s="1">
        <v>789</v>
      </c>
      <c r="H3473" s="1">
        <v>5.4733840300000001</v>
      </c>
    </row>
    <row r="3474" spans="1:8" ht="15.75" thickBot="1" x14ac:dyDescent="0.3">
      <c r="A3474" s="1">
        <v>2014</v>
      </c>
      <c r="B3474" s="1" t="s">
        <v>20</v>
      </c>
      <c r="C3474" s="1" t="s">
        <v>25</v>
      </c>
      <c r="D3474" s="1" t="s">
        <v>22</v>
      </c>
      <c r="E3474" s="1">
        <v>420.11</v>
      </c>
      <c r="F3474" s="1">
        <v>18.79</v>
      </c>
      <c r="G3474" s="1">
        <v>299</v>
      </c>
      <c r="H3474" s="1">
        <v>1.405050167</v>
      </c>
    </row>
    <row r="3475" spans="1:8" ht="15.75" thickBot="1" x14ac:dyDescent="0.3">
      <c r="A3475" s="1">
        <v>2017</v>
      </c>
      <c r="B3475" s="1" t="s">
        <v>17</v>
      </c>
      <c r="C3475" s="1" t="s">
        <v>15</v>
      </c>
      <c r="D3475" s="1" t="s">
        <v>34</v>
      </c>
      <c r="E3475" s="1">
        <v>383641.36</v>
      </c>
      <c r="F3475" s="1">
        <v>12685.4</v>
      </c>
      <c r="G3475" s="1">
        <v>7608</v>
      </c>
      <c r="H3475" s="1">
        <v>50.426046270000001</v>
      </c>
    </row>
    <row r="3476" spans="1:8" ht="15.75" thickBot="1" x14ac:dyDescent="0.3">
      <c r="A3476" s="1">
        <v>2014</v>
      </c>
      <c r="B3476" s="1" t="s">
        <v>30</v>
      </c>
      <c r="C3476" s="1" t="s">
        <v>9</v>
      </c>
      <c r="D3476" s="1" t="s">
        <v>27</v>
      </c>
      <c r="E3476" s="1">
        <v>49296436.32</v>
      </c>
      <c r="F3476" s="1">
        <v>1706180.58</v>
      </c>
      <c r="G3476" s="1">
        <v>572937</v>
      </c>
      <c r="H3476" s="1">
        <v>86.041635150000005</v>
      </c>
    </row>
    <row r="3477" spans="1:8" ht="15.75" thickBot="1" x14ac:dyDescent="0.3">
      <c r="A3477" s="1">
        <v>2015</v>
      </c>
      <c r="B3477" s="1" t="s">
        <v>12</v>
      </c>
      <c r="C3477" s="1" t="s">
        <v>18</v>
      </c>
      <c r="D3477" s="1" t="s">
        <v>24</v>
      </c>
      <c r="E3477" s="1">
        <v>1754149.96</v>
      </c>
      <c r="F3477" s="1">
        <v>51979.57</v>
      </c>
      <c r="G3477" s="1">
        <v>4229</v>
      </c>
      <c r="H3477" s="1">
        <v>414.79072120000001</v>
      </c>
    </row>
    <row r="3478" spans="1:8" ht="15.75" thickBot="1" x14ac:dyDescent="0.3">
      <c r="A3478" s="1">
        <v>2015</v>
      </c>
      <c r="B3478" s="1" t="s">
        <v>12</v>
      </c>
      <c r="C3478" s="1" t="s">
        <v>18</v>
      </c>
      <c r="D3478" s="1" t="s">
        <v>29</v>
      </c>
      <c r="E3478" s="1">
        <v>1460501.17</v>
      </c>
      <c r="F3478" s="1">
        <v>44831.45</v>
      </c>
      <c r="G3478" s="1">
        <v>4078</v>
      </c>
      <c r="H3478" s="1">
        <v>358.14153260000001</v>
      </c>
    </row>
    <row r="3479" spans="1:8" ht="15.75" thickBot="1" x14ac:dyDescent="0.3">
      <c r="A3479" s="1">
        <v>2017</v>
      </c>
      <c r="B3479" s="1" t="s">
        <v>11</v>
      </c>
      <c r="C3479" s="1" t="s">
        <v>15</v>
      </c>
      <c r="D3479" s="1" t="s">
        <v>24</v>
      </c>
      <c r="E3479" s="1">
        <v>4518115.12</v>
      </c>
      <c r="F3479" s="1">
        <v>149009</v>
      </c>
      <c r="G3479" s="1">
        <v>14550</v>
      </c>
      <c r="H3479" s="1">
        <v>310.52337590000002</v>
      </c>
    </row>
    <row r="3480" spans="1:8" ht="15.75" thickBot="1" x14ac:dyDescent="0.3">
      <c r="A3480" s="1">
        <v>2016</v>
      </c>
      <c r="B3480" s="1" t="s">
        <v>12</v>
      </c>
      <c r="C3480" s="1" t="s">
        <v>28</v>
      </c>
      <c r="D3480" s="1" t="s">
        <v>19</v>
      </c>
      <c r="E3480" s="1">
        <v>28706078.690000001</v>
      </c>
      <c r="F3480" s="1">
        <v>633801.68999999994</v>
      </c>
      <c r="G3480" s="1">
        <v>60268</v>
      </c>
      <c r="H3480" s="1">
        <v>476.30713960000003</v>
      </c>
    </row>
    <row r="3481" spans="1:8" ht="15.75" thickBot="1" x14ac:dyDescent="0.3">
      <c r="A3481" s="1">
        <v>2015</v>
      </c>
      <c r="B3481" s="1" t="s">
        <v>35</v>
      </c>
      <c r="C3481" s="1" t="s">
        <v>28</v>
      </c>
      <c r="D3481" s="1" t="s">
        <v>13</v>
      </c>
      <c r="E3481" s="1">
        <v>0.33</v>
      </c>
      <c r="F3481" s="1">
        <v>0.31</v>
      </c>
      <c r="G3481" s="1">
        <v>13</v>
      </c>
      <c r="H3481" s="1">
        <v>2.5384615379999999E-2</v>
      </c>
    </row>
    <row r="3482" spans="1:8" ht="15.75" thickBot="1" x14ac:dyDescent="0.3">
      <c r="A3482" s="1">
        <v>2016</v>
      </c>
      <c r="B3482" s="1" t="s">
        <v>11</v>
      </c>
      <c r="C3482" s="1" t="s">
        <v>9</v>
      </c>
      <c r="D3482" s="1" t="s">
        <v>22</v>
      </c>
      <c r="E3482" s="1">
        <v>7242.26</v>
      </c>
      <c r="F3482" s="1">
        <v>650.75</v>
      </c>
      <c r="G3482" s="1">
        <v>54048</v>
      </c>
      <c r="H3482" s="1">
        <v>0.13399681760000001</v>
      </c>
    </row>
    <row r="3483" spans="1:8" ht="15.75" thickBot="1" x14ac:dyDescent="0.3">
      <c r="A3483" s="1">
        <v>2014</v>
      </c>
      <c r="B3483" s="1" t="s">
        <v>40</v>
      </c>
      <c r="C3483" s="1" t="s">
        <v>25</v>
      </c>
      <c r="D3483" s="1" t="s">
        <v>19</v>
      </c>
      <c r="E3483" s="1">
        <v>26461.37</v>
      </c>
      <c r="F3483" s="1">
        <v>732.83</v>
      </c>
      <c r="G3483" s="1">
        <v>250</v>
      </c>
      <c r="H3483" s="1">
        <v>105.84547999999999</v>
      </c>
    </row>
    <row r="3484" spans="1:8" ht="15.75" thickBot="1" x14ac:dyDescent="0.3">
      <c r="A3484" s="1">
        <v>2014</v>
      </c>
      <c r="B3484" s="1" t="s">
        <v>17</v>
      </c>
      <c r="C3484" s="1" t="s">
        <v>12</v>
      </c>
      <c r="D3484" s="1" t="s">
        <v>27</v>
      </c>
      <c r="E3484" s="1">
        <v>395600145.30000001</v>
      </c>
      <c r="F3484" s="1">
        <v>13923316.49</v>
      </c>
      <c r="G3484" s="1">
        <v>5490874</v>
      </c>
      <c r="H3484" s="1">
        <v>72.04684451</v>
      </c>
    </row>
    <row r="3485" spans="1:8" ht="15.75" thickBot="1" x14ac:dyDescent="0.3">
      <c r="A3485" s="1">
        <v>2017</v>
      </c>
      <c r="B3485" s="1" t="s">
        <v>14</v>
      </c>
      <c r="C3485" s="1" t="s">
        <v>28</v>
      </c>
      <c r="D3485" s="1" t="s">
        <v>31</v>
      </c>
      <c r="E3485" s="1">
        <v>1049259.3600000001</v>
      </c>
      <c r="F3485" s="1">
        <v>40039.839999999997</v>
      </c>
      <c r="G3485" s="1">
        <v>23348</v>
      </c>
      <c r="H3485" s="1">
        <v>44.940010280000003</v>
      </c>
    </row>
    <row r="3486" spans="1:8" ht="15.75" thickBot="1" x14ac:dyDescent="0.3">
      <c r="A3486" s="1">
        <v>2017</v>
      </c>
      <c r="B3486" s="1" t="s">
        <v>11</v>
      </c>
      <c r="C3486" s="1" t="s">
        <v>12</v>
      </c>
      <c r="D3486" s="1" t="s">
        <v>34</v>
      </c>
      <c r="E3486" s="1">
        <v>340825.95</v>
      </c>
      <c r="F3486" s="1">
        <v>8790.11</v>
      </c>
      <c r="G3486" s="1">
        <v>8954</v>
      </c>
      <c r="H3486" s="1">
        <v>38.064099839999997</v>
      </c>
    </row>
    <row r="3487" spans="1:8" ht="15.75" thickBot="1" x14ac:dyDescent="0.3">
      <c r="A3487" s="1">
        <v>2016</v>
      </c>
      <c r="B3487" s="1" t="s">
        <v>17</v>
      </c>
      <c r="C3487" s="1" t="s">
        <v>9</v>
      </c>
      <c r="D3487" s="1" t="s">
        <v>27</v>
      </c>
      <c r="E3487" s="1">
        <v>122719081.5</v>
      </c>
      <c r="F3487" s="1">
        <v>3963324.72</v>
      </c>
      <c r="G3487" s="1">
        <v>1669829</v>
      </c>
      <c r="H3487" s="1">
        <v>73.492005140000003</v>
      </c>
    </row>
    <row r="3488" spans="1:8" ht="15.75" thickBot="1" x14ac:dyDescent="0.3">
      <c r="A3488" s="1">
        <v>2016</v>
      </c>
      <c r="B3488" s="1" t="s">
        <v>14</v>
      </c>
      <c r="C3488" s="1" t="s">
        <v>9</v>
      </c>
      <c r="D3488" s="1" t="s">
        <v>29</v>
      </c>
      <c r="E3488" s="1">
        <v>136419.89000000001</v>
      </c>
      <c r="F3488" s="1">
        <v>1569.95</v>
      </c>
      <c r="G3488" s="1">
        <v>944</v>
      </c>
      <c r="H3488" s="1">
        <v>144.51259529999999</v>
      </c>
    </row>
    <row r="3489" spans="1:8" ht="15.75" thickBot="1" x14ac:dyDescent="0.3">
      <c r="A3489" s="1">
        <v>2014</v>
      </c>
      <c r="B3489" s="1" t="s">
        <v>20</v>
      </c>
      <c r="C3489" s="1" t="s">
        <v>25</v>
      </c>
      <c r="D3489" s="1" t="s">
        <v>24</v>
      </c>
      <c r="E3489" s="1">
        <v>690404.21</v>
      </c>
      <c r="F3489" s="1">
        <v>24089.4</v>
      </c>
      <c r="G3489" s="1">
        <v>8997</v>
      </c>
      <c r="H3489" s="1">
        <v>76.737157940000003</v>
      </c>
    </row>
    <row r="3490" spans="1:8" ht="15.75" thickBot="1" x14ac:dyDescent="0.3">
      <c r="A3490" s="1">
        <v>2014</v>
      </c>
      <c r="B3490" s="1" t="s">
        <v>30</v>
      </c>
      <c r="C3490" s="1" t="s">
        <v>9</v>
      </c>
      <c r="D3490" s="1" t="s">
        <v>32</v>
      </c>
      <c r="E3490" s="1">
        <v>35312.120000000003</v>
      </c>
      <c r="F3490" s="1">
        <v>3021.98</v>
      </c>
      <c r="G3490" s="1">
        <v>7702</v>
      </c>
      <c r="H3490" s="1">
        <v>4.5847987540000004</v>
      </c>
    </row>
    <row r="3491" spans="1:8" ht="15.75" thickBot="1" x14ac:dyDescent="0.3">
      <c r="A3491" s="1">
        <v>2016</v>
      </c>
      <c r="B3491" s="1" t="s">
        <v>17</v>
      </c>
      <c r="C3491" s="1" t="s">
        <v>12</v>
      </c>
      <c r="D3491" s="1" t="s">
        <v>27</v>
      </c>
      <c r="E3491" s="1">
        <v>278200812</v>
      </c>
      <c r="F3491" s="1">
        <v>9992095.9299999997</v>
      </c>
      <c r="G3491" s="1">
        <v>4315255</v>
      </c>
      <c r="H3491" s="1">
        <v>64.469147710000001</v>
      </c>
    </row>
    <row r="3492" spans="1:8" ht="15.75" thickBot="1" x14ac:dyDescent="0.3">
      <c r="A3492" s="1">
        <v>2015</v>
      </c>
      <c r="B3492" s="1" t="s">
        <v>8</v>
      </c>
      <c r="C3492" s="1" t="s">
        <v>28</v>
      </c>
      <c r="D3492" s="1" t="s">
        <v>24</v>
      </c>
      <c r="E3492" s="1">
        <v>660</v>
      </c>
      <c r="F3492" s="1">
        <v>19.440000000000001</v>
      </c>
      <c r="G3492" s="1">
        <v>1</v>
      </c>
      <c r="H3492" s="1">
        <v>660</v>
      </c>
    </row>
    <row r="3493" spans="1:8" ht="15.75" thickBot="1" x14ac:dyDescent="0.3">
      <c r="A3493" s="1">
        <v>2014</v>
      </c>
      <c r="B3493" s="1" t="s">
        <v>40</v>
      </c>
      <c r="C3493" s="1" t="s">
        <v>28</v>
      </c>
      <c r="D3493" s="1" t="s">
        <v>27</v>
      </c>
      <c r="E3493" s="1">
        <v>78897.14</v>
      </c>
      <c r="F3493" s="1">
        <v>2003.78</v>
      </c>
      <c r="G3493" s="1">
        <v>969</v>
      </c>
      <c r="H3493" s="1">
        <v>81.421197109999994</v>
      </c>
    </row>
    <row r="3494" spans="1:8" ht="15.75" thickBot="1" x14ac:dyDescent="0.3">
      <c r="A3494" s="1">
        <v>2014</v>
      </c>
      <c r="B3494" s="1" t="s">
        <v>16</v>
      </c>
      <c r="C3494" s="1" t="s">
        <v>9</v>
      </c>
      <c r="D3494" s="1" t="s">
        <v>10</v>
      </c>
      <c r="E3494" s="1">
        <v>3260.33</v>
      </c>
      <c r="F3494" s="1">
        <v>328.16</v>
      </c>
      <c r="G3494" s="1">
        <v>1420</v>
      </c>
      <c r="H3494" s="1">
        <v>2.2960070419999998</v>
      </c>
    </row>
    <row r="3495" spans="1:8" ht="15.75" thickBot="1" x14ac:dyDescent="0.3">
      <c r="A3495" s="1">
        <v>2015</v>
      </c>
      <c r="B3495" s="1" t="s">
        <v>12</v>
      </c>
      <c r="C3495" s="1" t="s">
        <v>33</v>
      </c>
      <c r="D3495" s="1" t="s">
        <v>10</v>
      </c>
      <c r="E3495" s="1">
        <v>8777497.5199999996</v>
      </c>
      <c r="F3495" s="1">
        <v>218324.84</v>
      </c>
      <c r="G3495" s="1">
        <v>117261</v>
      </c>
      <c r="H3495" s="1">
        <v>74.854363509999999</v>
      </c>
    </row>
    <row r="3496" spans="1:8" ht="15.75" thickBot="1" x14ac:dyDescent="0.3">
      <c r="A3496" s="1">
        <v>2016</v>
      </c>
      <c r="B3496" s="1" t="s">
        <v>20</v>
      </c>
      <c r="C3496" s="1" t="s">
        <v>9</v>
      </c>
      <c r="D3496" s="1" t="s">
        <v>32</v>
      </c>
      <c r="E3496" s="1">
        <v>39327.800000000003</v>
      </c>
      <c r="F3496" s="1">
        <v>1358.68</v>
      </c>
      <c r="G3496" s="1">
        <v>8288</v>
      </c>
      <c r="H3496" s="1">
        <v>4.7451496139999998</v>
      </c>
    </row>
    <row r="3497" spans="1:8" ht="15.75" thickBot="1" x14ac:dyDescent="0.3">
      <c r="A3497" s="1">
        <v>2014</v>
      </c>
      <c r="B3497" s="1" t="s">
        <v>35</v>
      </c>
      <c r="C3497" s="1" t="s">
        <v>15</v>
      </c>
      <c r="D3497" s="1" t="s">
        <v>27</v>
      </c>
      <c r="E3497" s="1">
        <v>6594.29</v>
      </c>
      <c r="F3497" s="1">
        <v>523.73</v>
      </c>
      <c r="G3497" s="1">
        <v>310</v>
      </c>
      <c r="H3497" s="1">
        <v>21.271903229999999</v>
      </c>
    </row>
    <row r="3498" spans="1:8" ht="15.75" thickBot="1" x14ac:dyDescent="0.3">
      <c r="A3498" s="1">
        <v>2014</v>
      </c>
      <c r="B3498" s="1" t="s">
        <v>35</v>
      </c>
      <c r="C3498" s="1" t="s">
        <v>9</v>
      </c>
      <c r="D3498" s="1" t="s">
        <v>32</v>
      </c>
      <c r="E3498" s="1">
        <v>5058.46</v>
      </c>
      <c r="F3498" s="1">
        <v>822.68</v>
      </c>
      <c r="G3498" s="1">
        <v>3352</v>
      </c>
      <c r="H3498" s="1">
        <v>1.509087112</v>
      </c>
    </row>
    <row r="3499" spans="1:8" ht="15.75" thickBot="1" x14ac:dyDescent="0.3">
      <c r="A3499" s="1">
        <v>2017</v>
      </c>
      <c r="B3499" s="1" t="s">
        <v>30</v>
      </c>
      <c r="C3499" s="1" t="s">
        <v>12</v>
      </c>
      <c r="D3499" s="1" t="s">
        <v>27</v>
      </c>
      <c r="E3499" s="1">
        <v>204748864.90000001</v>
      </c>
      <c r="F3499" s="1">
        <v>7669601.46</v>
      </c>
      <c r="G3499" s="1">
        <v>3662473</v>
      </c>
      <c r="H3499" s="1">
        <v>55.904539069999998</v>
      </c>
    </row>
    <row r="3500" spans="1:8" ht="15.75" thickBot="1" x14ac:dyDescent="0.3">
      <c r="A3500" s="1">
        <v>2017</v>
      </c>
      <c r="B3500" s="1" t="s">
        <v>12</v>
      </c>
      <c r="C3500" s="1" t="s">
        <v>9</v>
      </c>
      <c r="D3500" s="1" t="s">
        <v>29</v>
      </c>
      <c r="E3500" s="1">
        <v>27579.7</v>
      </c>
      <c r="F3500" s="1">
        <v>262.47000000000003</v>
      </c>
      <c r="G3500" s="1">
        <v>164</v>
      </c>
      <c r="H3500" s="1">
        <v>168.16890240000001</v>
      </c>
    </row>
    <row r="3501" spans="1:8" x14ac:dyDescent="0.25">
      <c r="B3501">
        <f>COUNTA(_xlfn.UNIQUE(B5:B3500))</f>
        <v>10</v>
      </c>
      <c r="C3501">
        <f>COUNTA(_xlfn.UNIQUE(C5:C3500))</f>
        <v>11</v>
      </c>
      <c r="D3501">
        <f>COUNTA(_xlfn.UNIQUE(D5:D3500))</f>
        <v>12</v>
      </c>
    </row>
  </sheetData>
  <autoFilter ref="A4:H3500" xr:uid="{BD0013E6-282E-4AF8-A409-A760831C076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83E1-458A-40F3-8797-B2876B12275C}">
  <dimension ref="A6:D64"/>
  <sheetViews>
    <sheetView workbookViewId="0">
      <selection activeCell="B10" sqref="B10"/>
    </sheetView>
  </sheetViews>
  <sheetFormatPr defaultRowHeight="15" x14ac:dyDescent="0.25"/>
  <cols>
    <col min="1" max="1" width="25.85546875" bestFit="1" customWidth="1"/>
    <col min="2" max="2" width="21.42578125" bestFit="1" customWidth="1"/>
    <col min="3" max="3" width="15.5703125" bestFit="1" customWidth="1"/>
    <col min="4" max="4" width="23.42578125" bestFit="1" customWidth="1"/>
    <col min="5" max="5" width="27" bestFit="1" customWidth="1"/>
  </cols>
  <sheetData>
    <row r="6" spans="1:2" x14ac:dyDescent="0.25">
      <c r="A6" s="3" t="s">
        <v>38</v>
      </c>
      <c r="B6" t="s">
        <v>48</v>
      </c>
    </row>
    <row r="7" spans="1:2" x14ac:dyDescent="0.25">
      <c r="A7" s="4" t="s">
        <v>10</v>
      </c>
      <c r="B7" s="5">
        <v>9.6206187538594848E-2</v>
      </c>
    </row>
    <row r="8" spans="1:2" x14ac:dyDescent="0.25">
      <c r="A8" s="4" t="s">
        <v>19</v>
      </c>
      <c r="B8" s="5">
        <v>0.11786287406455577</v>
      </c>
    </row>
    <row r="9" spans="1:2" x14ac:dyDescent="0.25">
      <c r="A9" s="4" t="s">
        <v>31</v>
      </c>
      <c r="B9" s="5">
        <v>0.13259071565479635</v>
      </c>
    </row>
    <row r="10" spans="1:2" x14ac:dyDescent="0.25">
      <c r="A10" s="4" t="s">
        <v>32</v>
      </c>
      <c r="B10" s="5">
        <v>0.15674466172404117</v>
      </c>
    </row>
    <row r="11" spans="1:2" x14ac:dyDescent="0.25">
      <c r="A11" s="4" t="s">
        <v>27</v>
      </c>
      <c r="B11" s="5">
        <v>0.49659556101801183</v>
      </c>
    </row>
    <row r="12" spans="1:2" x14ac:dyDescent="0.25">
      <c r="A12" s="4" t="s">
        <v>39</v>
      </c>
      <c r="B12" s="5">
        <v>1</v>
      </c>
    </row>
    <row r="21" spans="1:4" x14ac:dyDescent="0.25">
      <c r="A21" s="3" t="s">
        <v>38</v>
      </c>
      <c r="B21" s="8" t="s">
        <v>42</v>
      </c>
      <c r="D21" s="8" t="s">
        <v>46</v>
      </c>
    </row>
    <row r="22" spans="1:4" x14ac:dyDescent="0.25">
      <c r="A22" s="4">
        <v>2014</v>
      </c>
      <c r="B22" s="8">
        <v>27325360205.760006</v>
      </c>
      <c r="D22" s="8">
        <v>1956</v>
      </c>
    </row>
    <row r="23" spans="1:4" x14ac:dyDescent="0.25">
      <c r="A23" s="4">
        <v>2015</v>
      </c>
      <c r="B23" s="8">
        <v>32868888890.460018</v>
      </c>
    </row>
    <row r="24" spans="1:4" x14ac:dyDescent="0.25">
      <c r="A24" s="4">
        <v>2016</v>
      </c>
      <c r="B24" s="8">
        <v>36524651859.410004</v>
      </c>
      <c r="D24" s="8" t="s">
        <v>47</v>
      </c>
    </row>
    <row r="25" spans="1:4" x14ac:dyDescent="0.25">
      <c r="A25" s="4">
        <v>2017</v>
      </c>
      <c r="B25" s="8">
        <v>43949702283.749977</v>
      </c>
      <c r="D25" s="8">
        <v>1956</v>
      </c>
    </row>
    <row r="26" spans="1:4" x14ac:dyDescent="0.25">
      <c r="A26" s="4" t="s">
        <v>39</v>
      </c>
      <c r="B26" s="8">
        <v>140668603239.38</v>
      </c>
    </row>
    <row r="28" spans="1:4" x14ac:dyDescent="0.25">
      <c r="A28" t="s">
        <v>42</v>
      </c>
      <c r="B28" s="7">
        <f>GETPIVOTDATA("Volume",$A$21)</f>
        <v>140668603239.38</v>
      </c>
    </row>
    <row r="29" spans="1:4" x14ac:dyDescent="0.25">
      <c r="A29" t="s">
        <v>43</v>
      </c>
      <c r="B29">
        <f>GETPIVOTDATA("Transaction_Count",$A$45)</f>
        <v>1956</v>
      </c>
    </row>
    <row r="30" spans="1:4" x14ac:dyDescent="0.25">
      <c r="A30" t="s">
        <v>44</v>
      </c>
      <c r="B30">
        <v>11</v>
      </c>
    </row>
    <row r="31" spans="1:4" x14ac:dyDescent="0.25">
      <c r="A31" t="s">
        <v>45</v>
      </c>
      <c r="B31">
        <v>10</v>
      </c>
    </row>
    <row r="32" spans="1:4" x14ac:dyDescent="0.25">
      <c r="A32" s="3" t="s">
        <v>38</v>
      </c>
      <c r="B32" s="8" t="s">
        <v>50</v>
      </c>
    </row>
    <row r="33" spans="1:2" x14ac:dyDescent="0.25">
      <c r="A33" s="4" t="s">
        <v>17</v>
      </c>
      <c r="B33" s="8">
        <v>1082970830.6700003</v>
      </c>
    </row>
    <row r="34" spans="1:2" x14ac:dyDescent="0.25">
      <c r="A34" s="4" t="s">
        <v>35</v>
      </c>
      <c r="B34" s="8">
        <v>80897.17</v>
      </c>
    </row>
    <row r="35" spans="1:2" x14ac:dyDescent="0.25">
      <c r="A35" s="4" t="s">
        <v>14</v>
      </c>
      <c r="B35" s="8">
        <v>539386822.58000016</v>
      </c>
    </row>
    <row r="36" spans="1:2" x14ac:dyDescent="0.25">
      <c r="A36" s="4" t="s">
        <v>16</v>
      </c>
      <c r="B36" s="8">
        <v>1067289349.0900007</v>
      </c>
    </row>
    <row r="37" spans="1:2" x14ac:dyDescent="0.25">
      <c r="A37" s="4" t="s">
        <v>40</v>
      </c>
      <c r="B37" s="8">
        <v>116014.38000000002</v>
      </c>
    </row>
    <row r="38" spans="1:2" x14ac:dyDescent="0.25">
      <c r="A38" s="4" t="s">
        <v>12</v>
      </c>
      <c r="B38" s="8">
        <v>70888045.079999968</v>
      </c>
    </row>
    <row r="39" spans="1:2" x14ac:dyDescent="0.25">
      <c r="A39" s="4" t="s">
        <v>30</v>
      </c>
      <c r="B39" s="8">
        <v>869033493.72999966</v>
      </c>
    </row>
    <row r="40" spans="1:2" x14ac:dyDescent="0.25">
      <c r="A40" s="4" t="s">
        <v>8</v>
      </c>
      <c r="B40" s="8">
        <v>19081.699999999993</v>
      </c>
    </row>
    <row r="41" spans="1:2" x14ac:dyDescent="0.25">
      <c r="A41" s="4" t="s">
        <v>11</v>
      </c>
      <c r="B41" s="8">
        <v>920143488.23000002</v>
      </c>
    </row>
    <row r="42" spans="1:2" x14ac:dyDescent="0.25">
      <c r="A42" s="4" t="s">
        <v>20</v>
      </c>
      <c r="B42" s="8">
        <v>25361222.940000009</v>
      </c>
    </row>
    <row r="43" spans="1:2" x14ac:dyDescent="0.25">
      <c r="A43" s="4" t="s">
        <v>39</v>
      </c>
      <c r="B43" s="8">
        <v>4575289245.5700006</v>
      </c>
    </row>
    <row r="45" spans="1:2" x14ac:dyDescent="0.25">
      <c r="A45" s="3" t="s">
        <v>38</v>
      </c>
      <c r="B45" s="8" t="s">
        <v>49</v>
      </c>
    </row>
    <row r="46" spans="1:2" x14ac:dyDescent="0.25">
      <c r="A46" s="4">
        <v>2014</v>
      </c>
      <c r="B46" s="8">
        <v>480</v>
      </c>
    </row>
    <row r="47" spans="1:2" x14ac:dyDescent="0.25">
      <c r="A47" s="4">
        <v>2015</v>
      </c>
      <c r="B47" s="8">
        <v>482</v>
      </c>
    </row>
    <row r="48" spans="1:2" x14ac:dyDescent="0.25">
      <c r="A48" s="4">
        <v>2016</v>
      </c>
      <c r="B48" s="8">
        <v>481</v>
      </c>
    </row>
    <row r="49" spans="1:2" x14ac:dyDescent="0.25">
      <c r="A49" s="4">
        <v>2017</v>
      </c>
      <c r="B49" s="8">
        <v>513</v>
      </c>
    </row>
    <row r="50" spans="1:2" x14ac:dyDescent="0.25">
      <c r="A50" s="4" t="s">
        <v>39</v>
      </c>
      <c r="B50" s="8">
        <v>1956</v>
      </c>
    </row>
    <row r="59" spans="1:2" x14ac:dyDescent="0.25">
      <c r="A59" s="3" t="s">
        <v>38</v>
      </c>
      <c r="B59" s="8" t="s">
        <v>51</v>
      </c>
    </row>
    <row r="60" spans="1:2" x14ac:dyDescent="0.25">
      <c r="A60" s="4">
        <v>2014</v>
      </c>
      <c r="B60" s="8">
        <v>66.455035541870743</v>
      </c>
    </row>
    <row r="61" spans="1:2" x14ac:dyDescent="0.25">
      <c r="A61" s="4">
        <v>2015</v>
      </c>
      <c r="B61" s="8">
        <v>65.326452637114613</v>
      </c>
    </row>
    <row r="62" spans="1:2" x14ac:dyDescent="0.25">
      <c r="A62" s="4">
        <v>2016</v>
      </c>
      <c r="B62" s="8">
        <v>62.852878968572021</v>
      </c>
    </row>
    <row r="63" spans="1:2" x14ac:dyDescent="0.25">
      <c r="A63" s="4">
        <v>2017</v>
      </c>
      <c r="B63" s="8">
        <v>63.970247571434321</v>
      </c>
    </row>
    <row r="64" spans="1:2" x14ac:dyDescent="0.25">
      <c r="A64" s="4" t="s">
        <v>39</v>
      </c>
      <c r="B64" s="8">
        <v>64.63943712638843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903B-1F5B-4667-AF80-38EB9501F84B}">
  <dimension ref="A1:U41"/>
  <sheetViews>
    <sheetView showGridLines="0" tabSelected="1" zoomScale="74" workbookViewId="0">
      <selection activeCell="X31" sqref="X31"/>
    </sheetView>
  </sheetViews>
  <sheetFormatPr defaultRowHeight="15" x14ac:dyDescent="0.25"/>
  <cols>
    <col min="5" max="5" width="12" bestFit="1" customWidth="1"/>
  </cols>
  <sheetData>
    <row r="1" spans="1:21" ht="15" customHeight="1" x14ac:dyDescent="0.25">
      <c r="A1" s="15" t="s">
        <v>41</v>
      </c>
      <c r="B1" s="16"/>
      <c r="C1" s="16"/>
      <c r="D1" s="16"/>
      <c r="E1" s="16"/>
      <c r="F1" s="16"/>
      <c r="G1" s="16"/>
      <c r="H1" s="16"/>
      <c r="I1" s="16"/>
      <c r="J1" s="16"/>
      <c r="K1" s="16"/>
      <c r="L1" s="16"/>
      <c r="M1" s="16"/>
      <c r="N1" s="16"/>
      <c r="O1" s="16"/>
      <c r="P1" s="16"/>
      <c r="Q1" s="16"/>
      <c r="R1" s="16"/>
      <c r="S1" s="16"/>
      <c r="T1" s="16"/>
      <c r="U1" s="17"/>
    </row>
    <row r="2" spans="1:21" ht="15" customHeight="1" x14ac:dyDescent="0.25">
      <c r="A2" s="18"/>
      <c r="B2" s="19"/>
      <c r="C2" s="19"/>
      <c r="D2" s="19"/>
      <c r="E2" s="19"/>
      <c r="F2" s="19"/>
      <c r="G2" s="19"/>
      <c r="H2" s="19"/>
      <c r="I2" s="19"/>
      <c r="J2" s="19"/>
      <c r="K2" s="19"/>
      <c r="L2" s="19"/>
      <c r="M2" s="19"/>
      <c r="N2" s="19"/>
      <c r="O2" s="19"/>
      <c r="P2" s="19"/>
      <c r="Q2" s="19"/>
      <c r="R2" s="19"/>
      <c r="S2" s="19"/>
      <c r="T2" s="19"/>
      <c r="U2" s="20"/>
    </row>
    <row r="3" spans="1:21" ht="15.75" customHeight="1" thickBot="1" x14ac:dyDescent="0.3">
      <c r="A3" s="21"/>
      <c r="B3" s="22"/>
      <c r="C3" s="22"/>
      <c r="D3" s="22"/>
      <c r="E3" s="22"/>
      <c r="F3" s="22"/>
      <c r="G3" s="22"/>
      <c r="H3" s="22"/>
      <c r="I3" s="22"/>
      <c r="J3" s="22"/>
      <c r="K3" s="22"/>
      <c r="L3" s="22"/>
      <c r="M3" s="22"/>
      <c r="N3" s="22"/>
      <c r="O3" s="22"/>
      <c r="P3" s="22"/>
      <c r="Q3" s="22"/>
      <c r="R3" s="22"/>
      <c r="S3" s="22"/>
      <c r="T3" s="22"/>
      <c r="U3" s="23"/>
    </row>
    <row r="4" spans="1:21" x14ac:dyDescent="0.25">
      <c r="A4" s="9"/>
      <c r="B4" s="10"/>
      <c r="C4" s="10"/>
      <c r="D4" s="10"/>
      <c r="E4" s="10"/>
      <c r="F4" s="10"/>
      <c r="G4" s="10"/>
      <c r="H4" s="10"/>
      <c r="I4" s="10"/>
      <c r="J4" s="10"/>
      <c r="K4" s="10"/>
      <c r="L4" s="10"/>
      <c r="M4" s="10"/>
      <c r="N4" s="10"/>
      <c r="O4" s="10"/>
      <c r="P4" s="10"/>
      <c r="Q4" s="10"/>
      <c r="R4" s="10"/>
      <c r="S4" s="10"/>
      <c r="T4" s="10"/>
      <c r="U4" s="11"/>
    </row>
    <row r="5" spans="1:21" x14ac:dyDescent="0.25">
      <c r="A5" s="9"/>
      <c r="B5" s="10"/>
      <c r="C5" s="10"/>
      <c r="D5" s="10"/>
      <c r="E5" s="10"/>
      <c r="F5" s="10"/>
      <c r="G5" s="10"/>
      <c r="H5" s="10"/>
      <c r="I5" s="10"/>
      <c r="J5" s="10"/>
      <c r="K5" s="10"/>
      <c r="L5" s="10"/>
      <c r="M5" s="10"/>
      <c r="N5" s="10"/>
      <c r="O5" s="10"/>
      <c r="P5" s="10"/>
      <c r="Q5" s="10"/>
      <c r="R5" s="10"/>
      <c r="S5" s="10"/>
      <c r="T5" s="10"/>
      <c r="U5" s="11"/>
    </row>
    <row r="6" spans="1:21" x14ac:dyDescent="0.25">
      <c r="A6" s="9"/>
      <c r="B6" s="10"/>
      <c r="C6" s="10"/>
      <c r="D6" s="10"/>
      <c r="E6" s="10"/>
      <c r="F6" s="10"/>
      <c r="G6" s="10"/>
      <c r="H6" s="10"/>
      <c r="I6" s="10"/>
      <c r="J6" s="10"/>
      <c r="K6" s="10"/>
      <c r="L6" s="10"/>
      <c r="M6" s="10"/>
      <c r="N6" s="10"/>
      <c r="O6" s="10"/>
      <c r="P6" s="10"/>
      <c r="Q6" s="10"/>
      <c r="R6" s="10"/>
      <c r="S6" s="10"/>
      <c r="T6" s="10"/>
      <c r="U6" s="11"/>
    </row>
    <row r="7" spans="1:21" x14ac:dyDescent="0.25">
      <c r="A7" s="9"/>
      <c r="B7" s="10"/>
      <c r="C7" s="10"/>
      <c r="D7" s="10"/>
      <c r="E7" s="10"/>
      <c r="F7" s="10"/>
      <c r="G7" s="10"/>
      <c r="H7" s="10"/>
      <c r="I7" s="10"/>
      <c r="J7" s="10"/>
      <c r="K7" s="10"/>
      <c r="L7" s="10"/>
      <c r="M7" s="10"/>
      <c r="N7" s="10"/>
      <c r="O7" s="10"/>
      <c r="P7" s="10"/>
      <c r="Q7" s="10"/>
      <c r="R7" s="10"/>
      <c r="S7" s="10"/>
      <c r="T7" s="10"/>
      <c r="U7" s="11"/>
    </row>
    <row r="8" spans="1:21" x14ac:dyDescent="0.25">
      <c r="A8" s="9"/>
      <c r="B8" s="10"/>
      <c r="C8" s="10"/>
      <c r="D8" s="10"/>
      <c r="E8" s="10"/>
      <c r="F8" s="10"/>
      <c r="G8" s="10"/>
      <c r="H8" s="10"/>
      <c r="I8" s="10"/>
      <c r="J8" s="10"/>
      <c r="K8" s="10"/>
      <c r="L8" s="10"/>
      <c r="M8" s="10"/>
      <c r="N8" s="10"/>
      <c r="O8" s="10"/>
      <c r="P8" s="10"/>
      <c r="Q8" s="10"/>
      <c r="R8" s="10"/>
      <c r="S8" s="10"/>
      <c r="T8" s="10"/>
      <c r="U8" s="11"/>
    </row>
    <row r="9" spans="1:21" x14ac:dyDescent="0.25">
      <c r="A9" s="9"/>
      <c r="B9" s="10"/>
      <c r="C9" s="10"/>
      <c r="D9" s="10"/>
      <c r="E9" s="10"/>
      <c r="F9" s="10"/>
      <c r="G9" s="10"/>
      <c r="H9" s="10"/>
      <c r="I9" s="10"/>
      <c r="J9" s="10"/>
      <c r="K9" s="10"/>
      <c r="L9" s="10"/>
      <c r="M9" s="10"/>
      <c r="N9" s="10"/>
      <c r="O9" s="10"/>
      <c r="P9" s="10"/>
      <c r="Q9" s="10"/>
      <c r="R9" s="10"/>
      <c r="S9" s="10"/>
      <c r="T9" s="10"/>
      <c r="U9" s="11"/>
    </row>
    <row r="10" spans="1:21" x14ac:dyDescent="0.25">
      <c r="A10" s="9"/>
      <c r="B10" s="10"/>
      <c r="C10" s="10"/>
      <c r="D10" s="10"/>
      <c r="E10" s="10"/>
      <c r="F10" s="10"/>
      <c r="G10" s="10"/>
      <c r="H10" s="10"/>
      <c r="I10" s="10"/>
      <c r="J10" s="10"/>
      <c r="K10" s="10"/>
      <c r="L10" s="10"/>
      <c r="M10" s="10"/>
      <c r="N10" s="10"/>
      <c r="O10" s="10"/>
      <c r="P10" s="10"/>
      <c r="Q10" s="10"/>
      <c r="R10" s="10"/>
      <c r="S10" s="10"/>
      <c r="T10" s="10"/>
      <c r="U10" s="11"/>
    </row>
    <row r="11" spans="1:21" x14ac:dyDescent="0.25">
      <c r="A11" s="9"/>
      <c r="B11" s="10"/>
      <c r="C11" s="10"/>
      <c r="D11" s="10"/>
      <c r="E11" s="10"/>
      <c r="F11" s="10"/>
      <c r="G11" s="10"/>
      <c r="H11" s="10"/>
      <c r="I11" s="10"/>
      <c r="J11" s="10"/>
      <c r="K11" s="10"/>
      <c r="L11" s="10"/>
      <c r="M11" s="10"/>
      <c r="N11" s="10"/>
      <c r="O11" s="10"/>
      <c r="P11" s="10"/>
      <c r="Q11" s="10"/>
      <c r="R11" s="10"/>
      <c r="S11" s="10"/>
      <c r="T11" s="10"/>
      <c r="U11" s="11"/>
    </row>
    <row r="12" spans="1:21" x14ac:dyDescent="0.25">
      <c r="A12" s="9"/>
      <c r="B12" s="10"/>
      <c r="C12" s="10"/>
      <c r="D12" s="10"/>
      <c r="E12" s="10"/>
      <c r="F12" s="10"/>
      <c r="G12" s="10"/>
      <c r="H12" s="10"/>
      <c r="I12" s="10"/>
      <c r="J12" s="10"/>
      <c r="K12" s="10"/>
      <c r="L12" s="10"/>
      <c r="M12" s="10"/>
      <c r="N12" s="10"/>
      <c r="O12" s="10"/>
      <c r="P12" s="10"/>
      <c r="Q12" s="10"/>
      <c r="R12" s="10"/>
      <c r="S12" s="10"/>
      <c r="T12" s="10"/>
      <c r="U12" s="11"/>
    </row>
    <row r="13" spans="1:21" x14ac:dyDescent="0.25">
      <c r="A13" s="9"/>
      <c r="B13" s="10"/>
      <c r="C13" s="10"/>
      <c r="D13" s="10"/>
      <c r="E13" s="10"/>
      <c r="F13" s="10"/>
      <c r="G13" s="10"/>
      <c r="H13" s="10"/>
      <c r="I13" s="10"/>
      <c r="J13" s="10"/>
      <c r="K13" s="10"/>
      <c r="L13" s="10"/>
      <c r="M13" s="10"/>
      <c r="N13" s="10"/>
      <c r="O13" s="10"/>
      <c r="P13" s="10"/>
      <c r="Q13" s="10"/>
      <c r="R13" s="10"/>
      <c r="S13" s="10"/>
      <c r="T13" s="10"/>
      <c r="U13" s="11"/>
    </row>
    <row r="14" spans="1:21" x14ac:dyDescent="0.25">
      <c r="A14" s="9"/>
      <c r="B14" s="10"/>
      <c r="C14" s="10"/>
      <c r="D14" s="10"/>
      <c r="E14" s="10"/>
      <c r="F14" s="10"/>
      <c r="G14" s="10"/>
      <c r="H14" s="10"/>
      <c r="I14" s="10"/>
      <c r="J14" s="10"/>
      <c r="K14" s="10"/>
      <c r="L14" s="10"/>
      <c r="M14" s="10"/>
      <c r="N14" s="10"/>
      <c r="O14" s="10"/>
      <c r="P14" s="10"/>
      <c r="Q14" s="10"/>
      <c r="R14" s="10"/>
      <c r="S14" s="10"/>
      <c r="T14" s="10"/>
      <c r="U14" s="11"/>
    </row>
    <row r="15" spans="1:21" x14ac:dyDescent="0.25">
      <c r="A15" s="9"/>
      <c r="B15" s="10"/>
      <c r="C15" s="10"/>
      <c r="D15" s="10"/>
      <c r="E15" s="10"/>
      <c r="F15" s="10"/>
      <c r="G15" s="10"/>
      <c r="H15" s="10"/>
      <c r="I15" s="10"/>
      <c r="J15" s="10"/>
      <c r="K15" s="10"/>
      <c r="L15" s="10"/>
      <c r="M15" s="10"/>
      <c r="N15" s="10"/>
      <c r="O15" s="10"/>
      <c r="P15" s="10"/>
      <c r="Q15" s="10"/>
      <c r="R15" s="10"/>
      <c r="S15" s="10"/>
      <c r="T15" s="10"/>
      <c r="U15" s="11"/>
    </row>
    <row r="16" spans="1:21" x14ac:dyDescent="0.25">
      <c r="A16" s="9"/>
      <c r="B16" s="10"/>
      <c r="C16" s="10"/>
      <c r="D16" s="10"/>
      <c r="E16" s="10"/>
      <c r="F16" s="10"/>
      <c r="G16" s="10"/>
      <c r="H16" s="10"/>
      <c r="I16" s="10"/>
      <c r="J16" s="10"/>
      <c r="K16" s="10"/>
      <c r="L16" s="10"/>
      <c r="M16" s="10"/>
      <c r="N16" s="10"/>
      <c r="O16" s="10"/>
      <c r="P16" s="10"/>
      <c r="Q16" s="10"/>
      <c r="R16" s="10"/>
      <c r="S16" s="10"/>
      <c r="T16" s="10"/>
      <c r="U16" s="11"/>
    </row>
    <row r="17" spans="1:21" x14ac:dyDescent="0.25">
      <c r="A17" s="9"/>
      <c r="B17" s="10"/>
      <c r="C17" s="10"/>
      <c r="D17" s="10"/>
      <c r="E17" s="10"/>
      <c r="F17" s="10"/>
      <c r="G17" s="10"/>
      <c r="H17" s="10"/>
      <c r="I17" s="10"/>
      <c r="J17" s="10"/>
      <c r="K17" s="10"/>
      <c r="L17" s="10"/>
      <c r="M17" s="10"/>
      <c r="N17" s="10"/>
      <c r="O17" s="10"/>
      <c r="P17" s="10"/>
      <c r="Q17" s="10"/>
      <c r="R17" s="10"/>
      <c r="S17" s="10"/>
      <c r="T17" s="10"/>
      <c r="U17" s="11"/>
    </row>
    <row r="18" spans="1:21" x14ac:dyDescent="0.25">
      <c r="A18" s="9"/>
      <c r="B18" s="10"/>
      <c r="C18" s="10"/>
      <c r="D18" s="10"/>
      <c r="E18" s="10"/>
      <c r="F18" s="10"/>
      <c r="G18" s="10"/>
      <c r="H18" s="10"/>
      <c r="I18" s="10"/>
      <c r="J18" s="10"/>
      <c r="K18" s="10"/>
      <c r="L18" s="10"/>
      <c r="M18" s="10"/>
      <c r="N18" s="10"/>
      <c r="O18" s="10"/>
      <c r="P18" s="10"/>
      <c r="Q18" s="10"/>
      <c r="R18" s="10"/>
      <c r="S18" s="10"/>
      <c r="T18" s="10"/>
      <c r="U18" s="11"/>
    </row>
    <row r="19" spans="1:21" x14ac:dyDescent="0.25">
      <c r="A19" s="9"/>
      <c r="B19" s="10"/>
      <c r="C19" s="10"/>
      <c r="D19" s="10"/>
      <c r="E19" s="10"/>
      <c r="F19" s="10"/>
      <c r="G19" s="10"/>
      <c r="H19" s="10"/>
      <c r="I19" s="10"/>
      <c r="J19" s="10"/>
      <c r="K19" s="10"/>
      <c r="L19" s="10"/>
      <c r="M19" s="10"/>
      <c r="N19" s="10"/>
      <c r="O19" s="10"/>
      <c r="P19" s="10"/>
      <c r="Q19" s="10"/>
      <c r="R19" s="10"/>
      <c r="S19" s="10"/>
      <c r="T19" s="10"/>
      <c r="U19" s="11"/>
    </row>
    <row r="20" spans="1:21" x14ac:dyDescent="0.25">
      <c r="A20" s="9"/>
      <c r="B20" s="10"/>
      <c r="C20" s="10"/>
      <c r="D20" s="10"/>
      <c r="E20" s="10"/>
      <c r="F20" s="10"/>
      <c r="G20" s="10"/>
      <c r="H20" s="10"/>
      <c r="I20" s="10"/>
      <c r="J20" s="10"/>
      <c r="K20" s="10"/>
      <c r="L20" s="10"/>
      <c r="M20" s="10"/>
      <c r="N20" s="10"/>
      <c r="O20" s="10"/>
      <c r="P20" s="10"/>
      <c r="Q20" s="10"/>
      <c r="R20" s="10"/>
      <c r="S20" s="10"/>
      <c r="T20" s="10"/>
      <c r="U20" s="11"/>
    </row>
    <row r="21" spans="1:21" x14ac:dyDescent="0.25">
      <c r="A21" s="9"/>
      <c r="B21" s="10"/>
      <c r="C21" s="10"/>
      <c r="D21" s="10"/>
      <c r="E21" s="10"/>
      <c r="F21" s="10"/>
      <c r="G21" s="10"/>
      <c r="H21" s="10"/>
      <c r="I21" s="10"/>
      <c r="J21" s="10"/>
      <c r="K21" s="10"/>
      <c r="L21" s="10"/>
      <c r="M21" s="10"/>
      <c r="N21" s="10"/>
      <c r="O21" s="10"/>
      <c r="P21" s="10"/>
      <c r="Q21" s="10"/>
      <c r="R21" s="10"/>
      <c r="S21" s="10"/>
      <c r="T21" s="10"/>
      <c r="U21" s="11"/>
    </row>
    <row r="22" spans="1:21" x14ac:dyDescent="0.25">
      <c r="A22" s="9"/>
      <c r="B22" s="10"/>
      <c r="C22" s="10"/>
      <c r="D22" s="10"/>
      <c r="E22" s="10"/>
      <c r="F22" s="10"/>
      <c r="G22" s="10"/>
      <c r="H22" s="10"/>
      <c r="I22" s="10"/>
      <c r="J22" s="10"/>
      <c r="K22" s="10"/>
      <c r="L22" s="10"/>
      <c r="M22" s="10"/>
      <c r="N22" s="10"/>
      <c r="O22" s="10"/>
      <c r="P22" s="10"/>
      <c r="Q22" s="10"/>
      <c r="R22" s="10"/>
      <c r="S22" s="10"/>
      <c r="T22" s="10"/>
      <c r="U22" s="11"/>
    </row>
    <row r="23" spans="1:21" x14ac:dyDescent="0.25">
      <c r="A23" s="9"/>
      <c r="B23" s="10"/>
      <c r="C23" s="10"/>
      <c r="D23" s="10"/>
      <c r="E23" s="10"/>
      <c r="F23" s="10"/>
      <c r="G23" s="10"/>
      <c r="H23" s="10"/>
      <c r="I23" s="10"/>
      <c r="J23" s="10"/>
      <c r="K23" s="10"/>
      <c r="L23" s="10"/>
      <c r="M23" s="10"/>
      <c r="N23" s="10"/>
      <c r="O23" s="10"/>
      <c r="P23" s="10"/>
      <c r="Q23" s="10"/>
      <c r="R23" s="10"/>
      <c r="S23" s="10"/>
      <c r="T23" s="10"/>
      <c r="U23" s="11"/>
    </row>
    <row r="24" spans="1:21" x14ac:dyDescent="0.25">
      <c r="A24" s="9"/>
      <c r="B24" s="10"/>
      <c r="C24" s="10"/>
      <c r="D24" s="10"/>
      <c r="E24" s="10"/>
      <c r="F24" s="10"/>
      <c r="G24" s="10"/>
      <c r="H24" s="10"/>
      <c r="I24" s="10"/>
      <c r="J24" s="10"/>
      <c r="K24" s="10"/>
      <c r="L24" s="10"/>
      <c r="M24" s="10"/>
      <c r="N24" s="10"/>
      <c r="O24" s="10"/>
      <c r="P24" s="10"/>
      <c r="Q24" s="10"/>
      <c r="R24" s="10"/>
      <c r="S24" s="10"/>
      <c r="T24" s="10"/>
      <c r="U24" s="11"/>
    </row>
    <row r="25" spans="1:21" x14ac:dyDescent="0.25">
      <c r="A25" s="9"/>
      <c r="B25" s="10"/>
      <c r="C25" s="10"/>
      <c r="D25" s="10"/>
      <c r="E25" s="10"/>
      <c r="F25" s="10"/>
      <c r="G25" s="10"/>
      <c r="H25" s="10"/>
      <c r="I25" s="10"/>
      <c r="J25" s="10"/>
      <c r="K25" s="10"/>
      <c r="L25" s="10"/>
      <c r="M25" s="10"/>
      <c r="N25" s="10"/>
      <c r="O25" s="10"/>
      <c r="P25" s="10"/>
      <c r="Q25" s="10"/>
      <c r="R25" s="10"/>
      <c r="S25" s="10"/>
      <c r="T25" s="10"/>
      <c r="U25" s="11"/>
    </row>
    <row r="26" spans="1:21" x14ac:dyDescent="0.25">
      <c r="A26" s="9"/>
      <c r="B26" s="10"/>
      <c r="C26" s="10"/>
      <c r="D26" s="10"/>
      <c r="E26" s="10"/>
      <c r="F26" s="10"/>
      <c r="G26" s="10"/>
      <c r="H26" s="10"/>
      <c r="I26" s="10"/>
      <c r="J26" s="10"/>
      <c r="K26" s="10"/>
      <c r="L26" s="10"/>
      <c r="M26" s="10"/>
      <c r="N26" s="10"/>
      <c r="O26" s="10"/>
      <c r="P26" s="10"/>
      <c r="Q26" s="10"/>
      <c r="R26" s="10"/>
      <c r="S26" s="10"/>
      <c r="T26" s="10"/>
      <c r="U26" s="11"/>
    </row>
    <row r="27" spans="1:21" x14ac:dyDescent="0.25">
      <c r="A27" s="9"/>
      <c r="B27" s="10"/>
      <c r="C27" s="10"/>
      <c r="D27" s="10"/>
      <c r="E27" s="10"/>
      <c r="F27" s="10"/>
      <c r="G27" s="10"/>
      <c r="H27" s="10"/>
      <c r="I27" s="10"/>
      <c r="J27" s="10"/>
      <c r="K27" s="10"/>
      <c r="L27" s="10"/>
      <c r="M27" s="10"/>
      <c r="N27" s="10"/>
      <c r="O27" s="10"/>
      <c r="P27" s="10"/>
      <c r="Q27" s="10"/>
      <c r="R27" s="10"/>
      <c r="S27" s="10"/>
      <c r="T27" s="10"/>
      <c r="U27" s="11"/>
    </row>
    <row r="28" spans="1:21" x14ac:dyDescent="0.25">
      <c r="A28" s="9"/>
      <c r="B28" s="10"/>
      <c r="C28" s="10"/>
      <c r="D28" s="10"/>
      <c r="E28" s="10"/>
      <c r="F28" s="10"/>
      <c r="G28" s="10"/>
      <c r="H28" s="10"/>
      <c r="I28" s="10"/>
      <c r="J28" s="10"/>
      <c r="K28" s="10"/>
      <c r="L28" s="10"/>
      <c r="M28" s="10"/>
      <c r="N28" s="10"/>
      <c r="O28" s="10"/>
      <c r="P28" s="10"/>
      <c r="Q28" s="10"/>
      <c r="R28" s="10"/>
      <c r="S28" s="10"/>
      <c r="T28" s="10"/>
      <c r="U28" s="11"/>
    </row>
    <row r="29" spans="1:21" x14ac:dyDescent="0.25">
      <c r="A29" s="9"/>
      <c r="B29" s="10"/>
      <c r="C29" s="10"/>
      <c r="D29" s="10"/>
      <c r="E29" s="10"/>
      <c r="F29" s="10"/>
      <c r="G29" s="10"/>
      <c r="H29" s="10"/>
      <c r="I29" s="10"/>
      <c r="J29" s="10"/>
      <c r="K29" s="10"/>
      <c r="L29" s="10"/>
      <c r="M29" s="10"/>
      <c r="N29" s="10"/>
      <c r="O29" s="10"/>
      <c r="P29" s="10"/>
      <c r="Q29" s="10"/>
      <c r="R29" s="10"/>
      <c r="S29" s="10"/>
      <c r="T29" s="10"/>
      <c r="U29" s="11"/>
    </row>
    <row r="30" spans="1:21" x14ac:dyDescent="0.25">
      <c r="A30" s="9"/>
      <c r="B30" s="10"/>
      <c r="C30" s="10"/>
      <c r="D30" s="10"/>
      <c r="E30" s="10"/>
      <c r="F30" s="10"/>
      <c r="G30" s="10"/>
      <c r="H30" s="10"/>
      <c r="I30" s="10"/>
      <c r="J30" s="10"/>
      <c r="K30" s="10"/>
      <c r="L30" s="10"/>
      <c r="M30" s="10"/>
      <c r="N30" s="10"/>
      <c r="O30" s="10"/>
      <c r="P30" s="10"/>
      <c r="Q30" s="10"/>
      <c r="R30" s="10"/>
      <c r="S30" s="10"/>
      <c r="T30" s="10"/>
      <c r="U30" s="11"/>
    </row>
    <row r="31" spans="1:21" x14ac:dyDescent="0.25">
      <c r="A31" s="9"/>
      <c r="B31" s="10"/>
      <c r="C31" s="10"/>
      <c r="D31" s="10"/>
      <c r="E31" s="10"/>
      <c r="F31" s="10"/>
      <c r="G31" s="10"/>
      <c r="H31" s="10"/>
      <c r="I31" s="10"/>
      <c r="J31" s="10"/>
      <c r="K31" s="10"/>
      <c r="L31" s="10"/>
      <c r="M31" s="10"/>
      <c r="N31" s="10"/>
      <c r="O31" s="10"/>
      <c r="P31" s="10"/>
      <c r="Q31" s="10"/>
      <c r="R31" s="10"/>
      <c r="S31" s="10"/>
      <c r="T31" s="10"/>
      <c r="U31" s="11"/>
    </row>
    <row r="32" spans="1:21" x14ac:dyDescent="0.25">
      <c r="A32" s="9"/>
      <c r="B32" s="10"/>
      <c r="C32" s="10"/>
      <c r="D32" s="10"/>
      <c r="E32" s="10"/>
      <c r="F32" s="10"/>
      <c r="G32" s="10"/>
      <c r="H32" s="10"/>
      <c r="I32" s="10"/>
      <c r="J32" s="10"/>
      <c r="K32" s="10"/>
      <c r="L32" s="10"/>
      <c r="M32" s="10"/>
      <c r="N32" s="10"/>
      <c r="O32" s="10"/>
      <c r="P32" s="10"/>
      <c r="Q32" s="10"/>
      <c r="R32" s="10"/>
      <c r="S32" s="10"/>
      <c r="T32" s="10"/>
      <c r="U32" s="11"/>
    </row>
    <row r="33" spans="1:21" x14ac:dyDescent="0.25">
      <c r="A33" s="9"/>
      <c r="B33" s="10"/>
      <c r="C33" s="10"/>
      <c r="D33" s="10"/>
      <c r="E33" s="10"/>
      <c r="F33" s="10"/>
      <c r="G33" s="10"/>
      <c r="H33" s="10"/>
      <c r="I33" s="10"/>
      <c r="J33" s="10"/>
      <c r="K33" s="10"/>
      <c r="L33" s="10"/>
      <c r="M33" s="10"/>
      <c r="N33" s="10"/>
      <c r="O33" s="10"/>
      <c r="P33" s="10"/>
      <c r="Q33" s="10"/>
      <c r="R33" s="10"/>
      <c r="S33" s="10"/>
      <c r="T33" s="10"/>
      <c r="U33" s="11"/>
    </row>
    <row r="34" spans="1:21" x14ac:dyDescent="0.25">
      <c r="A34" s="9"/>
      <c r="B34" s="10"/>
      <c r="C34" s="10"/>
      <c r="D34" s="10"/>
      <c r="E34" s="10"/>
      <c r="F34" s="10"/>
      <c r="G34" s="10"/>
      <c r="H34" s="10"/>
      <c r="I34" s="10"/>
      <c r="J34" s="10"/>
      <c r="K34" s="10"/>
      <c r="L34" s="10"/>
      <c r="M34" s="10"/>
      <c r="N34" s="10"/>
      <c r="O34" s="10"/>
      <c r="P34" s="10"/>
      <c r="Q34" s="10"/>
      <c r="R34" s="10"/>
      <c r="S34" s="10"/>
      <c r="T34" s="10"/>
      <c r="U34" s="11"/>
    </row>
    <row r="35" spans="1:21" x14ac:dyDescent="0.25">
      <c r="A35" s="9"/>
      <c r="B35" s="10"/>
      <c r="C35" s="10"/>
      <c r="D35" s="10"/>
      <c r="E35" s="10"/>
      <c r="F35" s="10"/>
      <c r="G35" s="10"/>
      <c r="H35" s="10"/>
      <c r="I35" s="10"/>
      <c r="J35" s="10"/>
      <c r="K35" s="10"/>
      <c r="L35" s="10"/>
      <c r="M35" s="10"/>
      <c r="N35" s="10"/>
      <c r="O35" s="10"/>
      <c r="P35" s="10"/>
      <c r="Q35" s="10"/>
      <c r="R35" s="10"/>
      <c r="S35" s="10"/>
      <c r="T35" s="10"/>
      <c r="U35" s="11"/>
    </row>
    <row r="36" spans="1:21" x14ac:dyDescent="0.25">
      <c r="A36" s="9"/>
      <c r="B36" s="10"/>
      <c r="C36" s="10"/>
      <c r="D36" s="10"/>
      <c r="E36" s="10"/>
      <c r="F36" s="10"/>
      <c r="G36" s="10"/>
      <c r="H36" s="10"/>
      <c r="I36" s="10"/>
      <c r="J36" s="10"/>
      <c r="K36" s="10"/>
      <c r="L36" s="10"/>
      <c r="M36" s="10"/>
      <c r="N36" s="10"/>
      <c r="O36" s="10"/>
      <c r="P36" s="10"/>
      <c r="Q36" s="10"/>
      <c r="R36" s="10"/>
      <c r="S36" s="10"/>
      <c r="T36" s="10"/>
      <c r="U36" s="11"/>
    </row>
    <row r="37" spans="1:21" x14ac:dyDescent="0.25">
      <c r="A37" s="9"/>
      <c r="B37" s="10"/>
      <c r="C37" s="10"/>
      <c r="D37" s="10"/>
      <c r="E37" s="10"/>
      <c r="F37" s="10"/>
      <c r="G37" s="10"/>
      <c r="H37" s="10"/>
      <c r="I37" s="10"/>
      <c r="J37" s="10"/>
      <c r="K37" s="10"/>
      <c r="L37" s="10"/>
      <c r="M37" s="10"/>
      <c r="N37" s="10"/>
      <c r="O37" s="10"/>
      <c r="P37" s="10"/>
      <c r="Q37" s="10"/>
      <c r="R37" s="10"/>
      <c r="S37" s="10"/>
      <c r="T37" s="10"/>
      <c r="U37" s="11"/>
    </row>
    <row r="38" spans="1:21" x14ac:dyDescent="0.25">
      <c r="A38" s="9"/>
      <c r="B38" s="10"/>
      <c r="C38" s="10"/>
      <c r="D38" s="10"/>
      <c r="E38" s="10"/>
      <c r="F38" s="10"/>
      <c r="G38" s="10"/>
      <c r="H38" s="10"/>
      <c r="I38" s="10"/>
      <c r="J38" s="10"/>
      <c r="K38" s="10"/>
      <c r="L38" s="10"/>
      <c r="M38" s="10"/>
      <c r="N38" s="10"/>
      <c r="O38" s="10"/>
      <c r="P38" s="10"/>
      <c r="Q38" s="10"/>
      <c r="R38" s="10"/>
      <c r="S38" s="10"/>
      <c r="T38" s="10"/>
      <c r="U38" s="11"/>
    </row>
    <row r="39" spans="1:21" x14ac:dyDescent="0.25">
      <c r="A39" s="9"/>
      <c r="B39" s="10"/>
      <c r="C39" s="10"/>
      <c r="D39" s="10"/>
      <c r="E39" s="10"/>
      <c r="F39" s="10"/>
      <c r="G39" s="10"/>
      <c r="H39" s="10"/>
      <c r="I39" s="10"/>
      <c r="J39" s="10"/>
      <c r="K39" s="10"/>
      <c r="L39" s="10"/>
      <c r="M39" s="10"/>
      <c r="N39" s="10"/>
      <c r="O39" s="10"/>
      <c r="P39" s="10"/>
      <c r="Q39" s="10"/>
      <c r="R39" s="10"/>
      <c r="S39" s="10"/>
      <c r="T39" s="10"/>
      <c r="U39" s="11"/>
    </row>
    <row r="40" spans="1:21" x14ac:dyDescent="0.25">
      <c r="A40" s="9"/>
      <c r="B40" s="10"/>
      <c r="C40" s="10"/>
      <c r="D40" s="10"/>
      <c r="E40" s="10"/>
      <c r="F40" s="10"/>
      <c r="G40" s="10"/>
      <c r="H40" s="10"/>
      <c r="I40" s="10"/>
      <c r="J40" s="10"/>
      <c r="K40" s="10"/>
      <c r="L40" s="10"/>
      <c r="M40" s="10"/>
      <c r="N40" s="10"/>
      <c r="O40" s="10"/>
      <c r="P40" s="10"/>
      <c r="Q40" s="10"/>
      <c r="R40" s="10"/>
      <c r="S40" s="10"/>
      <c r="T40" s="10"/>
      <c r="U40" s="11"/>
    </row>
    <row r="41" spans="1:21" ht="15.75" thickBot="1" x14ac:dyDescent="0.3">
      <c r="A41" s="12"/>
      <c r="B41" s="13"/>
      <c r="C41" s="13"/>
      <c r="D41" s="13"/>
      <c r="E41" s="13"/>
      <c r="F41" s="13"/>
      <c r="G41" s="13"/>
      <c r="H41" s="13"/>
      <c r="I41" s="13"/>
      <c r="J41" s="13"/>
      <c r="K41" s="13"/>
      <c r="L41" s="13"/>
      <c r="M41" s="13"/>
      <c r="N41" s="13"/>
      <c r="O41" s="13"/>
      <c r="P41" s="13"/>
      <c r="Q41" s="13"/>
      <c r="R41" s="13"/>
      <c r="S41" s="13"/>
      <c r="T41" s="13"/>
      <c r="U41" s="14"/>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Sheet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akki singh</dc:creator>
  <cp:lastModifiedBy>akki singh</cp:lastModifiedBy>
  <dcterms:created xsi:type="dcterms:W3CDTF">2026-08-04T05:56:03Z</dcterms:created>
  <dcterms:modified xsi:type="dcterms:W3CDTF">2026-10-12T07:56:47Z</dcterms:modified>
</cp:coreProperties>
</file>